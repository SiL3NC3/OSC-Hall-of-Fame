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INFO" sheetId="2" r:id="rId6"/>
    <sheet state="visible" name="Data" sheetId="3" r:id="rId7"/>
    <sheet state="visible" name="Prizes" sheetId="4" r:id="rId8"/>
  </sheets>
  <definedNames>
    <definedName hidden="1" localSheetId="0" name="_xlnm._FilterDatabase">Results!$A$1:$D$53</definedName>
  </definedNames>
  <calcPr/>
</workbook>
</file>

<file path=xl/sharedStrings.xml><?xml version="1.0" encoding="utf-8"?>
<sst xmlns="http://schemas.openxmlformats.org/spreadsheetml/2006/main" count="409" uniqueCount="191">
  <si>
    <t>Name</t>
  </si>
  <si>
    <t>Score</t>
  </si>
  <si>
    <t>Taron - Bucketlist</t>
  </si>
  <si>
    <t>pts</t>
  </si>
  <si>
    <t>jasinski - As If In Another Lifetime</t>
  </si>
  <si>
    <t>photonic - Reversed</t>
  </si>
  <si>
    <t>schiing - Dubby McWannafly</t>
  </si>
  <si>
    <t>simanus - Ascension</t>
  </si>
  <si>
    <t>tomx2188 - Continuation</t>
  </si>
  <si>
    <t>doctorbob - Sounds Of The DX11</t>
  </si>
  <si>
    <t>Doc Jon - Birth Of The Internet</t>
  </si>
  <si>
    <t>Full Bucket - 1968, 2PM: Leslie Dust</t>
  </si>
  <si>
    <t>TheNeverScene - Wishful Thinking</t>
  </si>
  <si>
    <t>asi4 - Gray, blue and red</t>
  </si>
  <si>
    <t>IrionDaRonin - Pray &amp; Hope</t>
  </si>
  <si>
    <t>Leonard Bowman - All Grown Up</t>
  </si>
  <si>
    <t>jemaudio - Canvas</t>
  </si>
  <si>
    <t>zarf - mono tribe</t>
  </si>
  <si>
    <t>L-EctroBit - DexoLectro</t>
  </si>
  <si>
    <t>ontrackp - Hot Pickles</t>
  </si>
  <si>
    <t>Local Man - Mercurial Midnight</t>
  </si>
  <si>
    <t>solidtrax - Timeless Alpha Juno Deux</t>
  </si>
  <si>
    <t>H-man - Training Waves</t>
  </si>
  <si>
    <t>zicolafaille - CPU Killer</t>
  </si>
  <si>
    <t>bh9090 - Two Steps Forward</t>
  </si>
  <si>
    <t>ElVincente - Brumes</t>
  </si>
  <si>
    <t>Double Tap - Zany Undergrad</t>
  </si>
  <si>
    <t>markheath - OrbiTAL Sails</t>
  </si>
  <si>
    <t>Impedance Music - Prepare To Fight</t>
  </si>
  <si>
    <t>SeBaer - Terpsichore's Day Off</t>
  </si>
  <si>
    <t>Tj Shredder - Arping Alone</t>
  </si>
  <si>
    <t>Neptune - Planet De-Ex-7</t>
  </si>
  <si>
    <t>IV! - Play as long as I'm alive</t>
  </si>
  <si>
    <t>MyLoFy - Casiol Business</t>
  </si>
  <si>
    <t>ELEX - ChiarOSCuro 3 - Redemption</t>
  </si>
  <si>
    <t>MalTone - Andrean Dreams Of Summer</t>
  </si>
  <si>
    <t>nenneb - Time will come</t>
  </si>
  <si>
    <t>liqih - Tarkovsky Trip</t>
  </si>
  <si>
    <t>Eauson - Synth1 KvR OsC</t>
  </si>
  <si>
    <t>Darksynth FX - No Secrets</t>
  </si>
  <si>
    <t>reusenoise - Alien Land</t>
  </si>
  <si>
    <t>RuediRena - Casio Stahl Punk</t>
  </si>
  <si>
    <t>MilksterX - B.M.F</t>
  </si>
  <si>
    <t>The B00 - Surrealistic Picnic Ant</t>
  </si>
  <si>
    <t>h.s.j.e. - This Time I Will</t>
  </si>
  <si>
    <t>_kyle_ - Recursion</t>
  </si>
  <si>
    <t>opdobqo - Emmy And Lara Will Figure It Out</t>
  </si>
  <si>
    <t>3lu5iv3 - Sweaty Joystick</t>
  </si>
  <si>
    <t>gorgorgathgorgorgor - Forge Fury</t>
  </si>
  <si>
    <t>gigue07 - Nord Lead Mood</t>
  </si>
  <si>
    <t>PleaseAdvise - Abandonned chip</t>
  </si>
  <si>
    <t>emikaela - Social Unrest Conference Call</t>
  </si>
  <si>
    <t>nyxeles - Tricking On The Way To The Grocery Store</t>
  </si>
  <si>
    <t>Lint_Huffer7 - Upquark, Downquark, Downquark Makes...</t>
  </si>
  <si>
    <t>Spring Goose - Thrifty</t>
  </si>
  <si>
    <t>Position</t>
  </si>
  <si>
    <t>Voter Name (KVR nick)</t>
  </si>
  <si>
    <t>Hardware</t>
  </si>
  <si>
    <t>Emulation</t>
  </si>
  <si>
    <t>DAW</t>
  </si>
  <si>
    <t>Instances</t>
  </si>
  <si>
    <t>MonoFury by FullBucket</t>
  </si>
  <si>
    <t>MuLab</t>
  </si>
  <si>
    <t>TAL J8. Ableton effects (EQ8, Compressor, Saturation, Reverb, Limiter) + TAL Filter, OTT, CamelCrusher, Valhalla Supermassive</t>
  </si>
  <si>
    <t>Ableton Live</t>
  </si>
  <si>
    <t>TAL U-No-LX, an emulation of the Roland Juno 106, Outerspace - Roland Space Echo, No Tape Modulation used</t>
  </si>
  <si>
    <t>Reaper</t>
  </si>
  <si>
    <t>Dexed (emulation of Yamaha DX7)</t>
  </si>
  <si>
    <t>Studio One</t>
  </si>
  <si>
    <t>Synth1 (Nord Lead 2)</t>
  </si>
  <si>
    <t>PG-8X (emulation of Roland JX-8P)</t>
  </si>
  <si>
    <t>Bitwig</t>
  </si>
  <si>
    <t>1983 Yamaha DX-11. Hardware effects from the Zoom Studio 1201, Boss Digital Reverb RV-1000, Behringer Virtualizer Pro and the FX section of my Yamaha AW16G Hard disk recorder.</t>
  </si>
  <si>
    <t>Korg Mono/Poly VST (based on the synth of the same name manufactured by Korg from 1981 to 1984)</t>
  </si>
  <si>
    <t>Cubase 11</t>
  </si>
  <si>
    <t>Roland VK-8 Organ with its built-in Overdrive and Ring modulator effects</t>
  </si>
  <si>
    <t>Roland JP-8000</t>
  </si>
  <si>
    <t>TAL Bassline101</t>
  </si>
  <si>
    <t xml:space="preserve">SQ8L </t>
  </si>
  <si>
    <t>FL Studio</t>
  </si>
  <si>
    <t>Bleep Labs Nebulophone, hooked it through Zoom H4N as an interface</t>
  </si>
  <si>
    <t>?</t>
  </si>
  <si>
    <t>old Korg Monotribe</t>
  </si>
  <si>
    <t>Ardour</t>
  </si>
  <si>
    <t>Diva</t>
  </si>
  <si>
    <t>Logic pro</t>
  </si>
  <si>
    <t>Synapse Audio's Legend</t>
  </si>
  <si>
    <t>hardware: Roland Alpha Juno 2 from 1986.</t>
  </si>
  <si>
    <t>Nord Modular G1</t>
  </si>
  <si>
    <t>Uhe Repro 5</t>
  </si>
  <si>
    <t>Reason</t>
  </si>
  <si>
    <t>Novation Bass Station II, (purchased 2014)</t>
  </si>
  <si>
    <t>Arturia's Jup-8V emulation of ... the Jupiter 8.</t>
  </si>
  <si>
    <t>TAL J-8</t>
  </si>
  <si>
    <t>Roland D-50 Synthesizer (Built October 1987, purchased 2016/17?) recorded through a Behringer QX1002USB</t>
  </si>
  <si>
    <t>Cherry Audio Surrealistic MG-1 plus modelled after Radioshack Realistic Concertmate MG-1 (built by Moog)</t>
  </si>
  <si>
    <t>A single instance of Cherry Audios CA2600. Played live directly into Bitwig with my LinnStrument and a Tecontrol breath and bite controller for some modulation and arp control...</t>
  </si>
  <si>
    <t>Электроника ЭМ-14 Venta</t>
  </si>
  <si>
    <t>Cakewalk</t>
  </si>
  <si>
    <t>Casio's VL1 emulator</t>
  </si>
  <si>
    <t>Muse</t>
  </si>
  <si>
    <t>KORG Odyssey VSTi - KORG Odyssey 18, SSL Native Console - SLL G console strip 23, Arturia Memory Brigade - Electro Harmonix Memoryman 1, Arturia Tape 201 - Roland Space Echo 1, Soundtoys Primal Tap - Lexicon Prime Time 2, Soundtoys Little Plate - EMT 140 2, PSP 2445 - EMT 244 &amp; 245 3, Native Instruments RC48 - Lexicon LX480 6, Eventide SP2016 - Eventide 2016 (7)</t>
  </si>
  <si>
    <t>Tech:- Clavia Nord Modular ("micro" 4 knobs): recorded 3 times, - Leem fx-16: digital reverb half rack, - Samson MDR 6: 4 channel audio mixer, - MIDI controller: Kaway 61 keys, - Montage and mastering:Ableton Live</t>
  </si>
  <si>
    <t>Brainworx bx_oberhausen, (emulation of the Oberheim SEM)</t>
  </si>
  <si>
    <t>Casio VL-Tone Vl-1 bought around 1982 (20 instances), RuediRena Voltage Starving Box, Shure SM 7b, RuediRena speaker cupping hand for those manual Wah effects.</t>
  </si>
  <si>
    <t>CA2600 Cherry Audio</t>
  </si>
  <si>
    <t>Cherry Audio's Surrealistic MG-1 Plus.</t>
  </si>
  <si>
    <t>kyle - Recursion</t>
  </si>
  <si>
    <t>Nord Lead 2x</t>
  </si>
  <si>
    <t>Arturia DX7-V</t>
  </si>
  <si>
    <t>Fury 800 by Full Bucket, an emulation of the Korg Poly 800</t>
  </si>
  <si>
    <t>OB-Xd</t>
  </si>
  <si>
    <t xml:space="preserve">I imported human speech into Virtual ANS, and derived all sounds from that. </t>
  </si>
  <si>
    <t>Performed entirely on (six instances of) the Behringer Neutron. Sequenced with Jeskola Buzz and Arturia Keystep, Tracked in Audacity, Recorded and edited in Jeskola Buzz</t>
  </si>
  <si>
    <t>Jeskola Buzz</t>
  </si>
  <si>
    <t>Waldorf PPG Wave 3.</t>
  </si>
  <si>
    <t>Gen. Score *</t>
  </si>
  <si>
    <t>_kyle_</t>
  </si>
  <si>
    <t>3lu5iv3</t>
  </si>
  <si>
    <t>asi4</t>
  </si>
  <si>
    <t>bh9090</t>
  </si>
  <si>
    <t>Darksynth FX</t>
  </si>
  <si>
    <t>DocJon</t>
  </si>
  <si>
    <t>doctorbob</t>
  </si>
  <si>
    <t>Double Tap</t>
  </si>
  <si>
    <t>eausonne</t>
  </si>
  <si>
    <t>ELEX</t>
  </si>
  <si>
    <t>ElVincente</t>
  </si>
  <si>
    <t>emikaela</t>
  </si>
  <si>
    <t>FrogsInPants</t>
  </si>
  <si>
    <t>FullBucket</t>
  </si>
  <si>
    <t>GarryO</t>
  </si>
  <si>
    <t>gigue07</t>
  </si>
  <si>
    <t>Gorgorgathgorgorgor</t>
  </si>
  <si>
    <t>H-man</t>
  </si>
  <si>
    <t>h.s.j.e.</t>
  </si>
  <si>
    <t>Impedance-Music</t>
  </si>
  <si>
    <t>IrionDaRonin</t>
  </si>
  <si>
    <t>IV</t>
  </si>
  <si>
    <t>jasinski</t>
  </si>
  <si>
    <t>jemaudio</t>
  </si>
  <si>
    <t>L-EctroBit</t>
  </si>
  <si>
    <t>Leonard Bowman</t>
  </si>
  <si>
    <t>Lint_Huffer7</t>
  </si>
  <si>
    <t>Liqih</t>
  </si>
  <si>
    <t>Local Man</t>
  </si>
  <si>
    <t>MalTone</t>
  </si>
  <si>
    <t>markheath</t>
  </si>
  <si>
    <t>milksterx</t>
  </si>
  <si>
    <t>MyLoFy</t>
  </si>
  <si>
    <t>nenneb</t>
  </si>
  <si>
    <t>Neptune</t>
  </si>
  <si>
    <t>nyxeles</t>
  </si>
  <si>
    <t>ontrackp</t>
  </si>
  <si>
    <t>opdobqo</t>
  </si>
  <si>
    <t>Photonic</t>
  </si>
  <si>
    <t>Pleaseadvise</t>
  </si>
  <si>
    <t>reusenoise</t>
  </si>
  <si>
    <t>RuediRena</t>
  </si>
  <si>
    <t>schiing</t>
  </si>
  <si>
    <t>SeBaer</t>
  </si>
  <si>
    <t>simanus</t>
  </si>
  <si>
    <t>solidtrax</t>
  </si>
  <si>
    <t>Spring Goose</t>
  </si>
  <si>
    <t>Taron</t>
  </si>
  <si>
    <t>TheB00</t>
  </si>
  <si>
    <t>TheNeverScene</t>
  </si>
  <si>
    <t>Tj Shredder</t>
  </si>
  <si>
    <t>tomx2188</t>
  </si>
  <si>
    <t>zarf</t>
  </si>
  <si>
    <t>zicolafaille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</si>
  <si>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</si>
  <si>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</si>
  <si>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</si>
  <si>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</si>
  <si>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</si>
  <si>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</si>
  <si>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</si>
  <si>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</si>
  <si>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</si>
  <si>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</si>
  <si>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</si>
  <si>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</si>
  <si>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</si>
  <si>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United Audio Artists : Scratch Master Pro</t>
  </si>
  <si>
    <t>DONE</t>
  </si>
  <si>
    <t>https://www.jrrshop.com/jrr-sounds-super-natural-jazz-guitar-vol-1</t>
  </si>
  <si>
    <t>Pass</t>
  </si>
  <si>
    <t>N/A</t>
  </si>
  <si>
    <t>Luftrum - Bioscape</t>
  </si>
  <si>
    <t>Audio Thing : Outer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</si>
</sst>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b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b/>
      <color theme="1"/>
      <name val="Sans-serif"/>
    </font>
    <font>
      <color rgb="FF999999"/>
      <name val="Arial"/>
    </font>
    <font>
      <color theme="1"/>
      <name val="Sans-serif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vertical="top"/>
    </xf>
    <xf borderId="0" fillId="0" fontId="9" numFmtId="0" xfId="0" applyAlignment="1" applyFont="1">
      <alignment shrinkToFit="0" vertical="top" wrapText="1"/>
    </xf>
    <xf borderId="0" fillId="0" fontId="9" numFmtId="49" xfId="0" applyAlignment="1" applyFont="1" applyNumberFormat="1">
      <alignment shrinkToFit="0" vertical="top" wrapText="1"/>
    </xf>
    <xf borderId="0" fillId="0" fontId="9" numFmtId="49" xfId="0" applyAlignment="1" applyFont="1" applyNumberFormat="1">
      <alignment vertical="top"/>
    </xf>
    <xf borderId="0" fillId="0" fontId="9" numFmtId="0" xfId="0" applyAlignment="1" applyFont="1">
      <alignment vertical="top"/>
    </xf>
    <xf borderId="0" fillId="0" fontId="10" numFmtId="0" xfId="0" applyAlignment="1" applyFont="1">
      <alignment vertical="top"/>
    </xf>
    <xf borderId="0" fillId="0" fontId="11" numFmtId="0" xfId="0" applyAlignment="1" applyFont="1">
      <alignment horizontal="right" vertical="top"/>
    </xf>
    <xf borderId="0" fillId="0" fontId="11" numFmtId="0" xfId="0" applyAlignment="1" applyFont="1">
      <alignment vertical="top"/>
    </xf>
    <xf borderId="0" fillId="0" fontId="11" numFmtId="49" xfId="0" applyAlignment="1" applyFont="1" applyNumberFormat="1">
      <alignment shrinkToFit="0" vertical="top" wrapText="1"/>
    </xf>
    <xf borderId="0" fillId="0" fontId="11" numFmtId="49" xfId="0" applyAlignment="1" applyFont="1" applyNumberFormat="1">
      <alignment vertical="top"/>
    </xf>
    <xf borderId="0" fillId="0" fontId="3" numFmtId="0" xfId="0" applyAlignment="1" applyFont="1">
      <alignment vertical="top"/>
    </xf>
    <xf borderId="0" fillId="3" fontId="11" numFmtId="0" xfId="0" applyAlignment="1" applyFill="1" applyFont="1">
      <alignment vertical="top"/>
    </xf>
    <xf borderId="0" fillId="0" fontId="11" numFmtId="0" xfId="0" applyAlignment="1" applyFont="1">
      <alignment shrinkToFit="0" vertical="top" wrapText="1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vertical="top"/>
    </xf>
    <xf borderId="0" fillId="2" fontId="11" numFmtId="0" xfId="0" applyAlignment="1" applyFont="1">
      <alignment vertical="top"/>
    </xf>
    <xf borderId="0" fillId="0" fontId="1" numFmtId="49" xfId="0" applyAlignment="1" applyFont="1" applyNumberFormat="1">
      <alignment vertical="top"/>
    </xf>
    <xf borderId="1" fillId="0" fontId="1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0" fillId="0" fontId="12" numFmtId="0" xfId="0" applyAlignment="1" applyFont="1">
      <alignment vertical="top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horizontal="left" vertical="bottom"/>
    </xf>
    <xf borderId="0" fillId="0" fontId="14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4" fontId="1" numFmtId="0" xfId="0" applyAlignment="1" applyFill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5" fontId="15" numFmtId="0" xfId="0" applyAlignment="1" applyFill="1" applyFont="1">
      <alignment vertical="bottom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right" vertical="bottom"/>
    </xf>
    <xf borderId="0" fillId="0" fontId="18" numFmtId="0" xfId="0" applyAlignment="1" applyFont="1">
      <alignment shrinkToFit="0" vertical="bottom" wrapText="0"/>
    </xf>
    <xf borderId="0" fillId="0" fontId="19" numFmtId="49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0" xfId="0" applyAlignment="1" applyFont="1">
      <alignment horizontal="right" vertical="bottom"/>
    </xf>
    <xf borderId="0" fillId="0" fontId="21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4" numFmtId="49" xfId="0" applyAlignment="1" applyFont="1" applyNumberFormat="1">
      <alignment shrinkToFit="0" vertical="bottom" wrapText="0"/>
    </xf>
    <xf borderId="0" fillId="0" fontId="21" numFmtId="49" xfId="0" applyAlignment="1" applyFont="1" applyNumberFormat="1">
      <alignment vertical="bottom"/>
    </xf>
    <xf borderId="0" fillId="0" fontId="21" numFmtId="4" xfId="0" applyAlignment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3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</xdr:col>
      <xdr:colOff>123825</xdr:colOff>
      <xdr:row>62</xdr:row>
      <xdr:rowOff>9525</xdr:rowOff>
    </xdr:from>
    <xdr:ext cx="2533650" cy="2533650"/>
    <xdr:pic>
      <xdr:nvPicPr>
        <xdr:cNvPr id="39781496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WT9Ey3FTl_OFx3SSRhTMji2r-OerWH3hANBar6cBrU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rrshop.com/jrr-sounds-super-natural-jazz-guitar-vol-1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4" width="6.2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5">
        <v>237.0</v>
      </c>
      <c r="D2" s="6" t="s">
        <v>3</v>
      </c>
    </row>
    <row r="3">
      <c r="A3" s="4">
        <v>2.0</v>
      </c>
      <c r="B3" s="5" t="s">
        <v>4</v>
      </c>
      <c r="C3" s="5">
        <v>235.0</v>
      </c>
      <c r="D3" s="6" t="s">
        <v>3</v>
      </c>
    </row>
    <row r="4">
      <c r="A4" s="4">
        <v>3.0</v>
      </c>
      <c r="B4" s="5" t="s">
        <v>5</v>
      </c>
      <c r="C4" s="5">
        <v>231.0</v>
      </c>
      <c r="D4" s="6" t="s">
        <v>3</v>
      </c>
    </row>
    <row r="5">
      <c r="A5" s="4">
        <v>4.0</v>
      </c>
      <c r="B5" s="5" t="s">
        <v>6</v>
      </c>
      <c r="C5" s="5">
        <v>230.0</v>
      </c>
      <c r="D5" s="6" t="s">
        <v>3</v>
      </c>
    </row>
    <row r="6">
      <c r="A6" s="4">
        <v>5.0</v>
      </c>
      <c r="B6" s="5" t="s">
        <v>7</v>
      </c>
      <c r="C6" s="5">
        <v>229.0</v>
      </c>
      <c r="D6" s="6" t="s">
        <v>3</v>
      </c>
    </row>
    <row r="7">
      <c r="A7" s="4">
        <v>6.0</v>
      </c>
      <c r="B7" s="5" t="s">
        <v>8</v>
      </c>
      <c r="C7" s="5">
        <v>223.0</v>
      </c>
      <c r="D7" s="6" t="s">
        <v>3</v>
      </c>
    </row>
    <row r="8">
      <c r="A8" s="4">
        <v>7.0</v>
      </c>
      <c r="B8" s="5" t="s">
        <v>9</v>
      </c>
      <c r="C8" s="5">
        <v>222.0</v>
      </c>
      <c r="D8" s="6" t="s">
        <v>3</v>
      </c>
    </row>
    <row r="9">
      <c r="A9" s="4">
        <v>8.0</v>
      </c>
      <c r="B9" s="5" t="s">
        <v>10</v>
      </c>
      <c r="C9" s="5">
        <v>222.0</v>
      </c>
      <c r="D9" s="6" t="s">
        <v>3</v>
      </c>
    </row>
    <row r="10">
      <c r="A10" s="4">
        <v>9.0</v>
      </c>
      <c r="B10" s="5" t="s">
        <v>11</v>
      </c>
      <c r="C10" s="5">
        <v>220.0</v>
      </c>
      <c r="D10" s="6" t="s">
        <v>3</v>
      </c>
    </row>
    <row r="11">
      <c r="A11" s="4">
        <v>10.0</v>
      </c>
      <c r="B11" s="5" t="s">
        <v>12</v>
      </c>
      <c r="C11" s="5">
        <v>220.0</v>
      </c>
      <c r="D11" s="6" t="s">
        <v>3</v>
      </c>
    </row>
    <row r="12">
      <c r="A12" s="4">
        <v>11.0</v>
      </c>
      <c r="B12" s="5" t="s">
        <v>13</v>
      </c>
      <c r="C12" s="5">
        <v>217.0</v>
      </c>
      <c r="D12" s="6" t="s">
        <v>3</v>
      </c>
    </row>
    <row r="13">
      <c r="A13" s="4">
        <v>12.0</v>
      </c>
      <c r="B13" s="5" t="s">
        <v>14</v>
      </c>
      <c r="C13" s="5">
        <v>217.0</v>
      </c>
      <c r="D13" s="6" t="s">
        <v>3</v>
      </c>
    </row>
    <row r="14">
      <c r="A14" s="4">
        <v>13.0</v>
      </c>
      <c r="B14" s="5" t="s">
        <v>15</v>
      </c>
      <c r="C14" s="5">
        <v>215.0</v>
      </c>
      <c r="D14" s="6" t="s">
        <v>3</v>
      </c>
    </row>
    <row r="15">
      <c r="A15" s="4">
        <v>14.0</v>
      </c>
      <c r="B15" s="5" t="s">
        <v>16</v>
      </c>
      <c r="C15" s="5">
        <v>215.0</v>
      </c>
      <c r="D15" s="6" t="s">
        <v>3</v>
      </c>
    </row>
    <row r="16">
      <c r="A16" s="4">
        <v>15.0</v>
      </c>
      <c r="B16" s="5" t="s">
        <v>17</v>
      </c>
      <c r="C16" s="5">
        <v>214.0</v>
      </c>
      <c r="D16" s="6" t="s">
        <v>3</v>
      </c>
    </row>
    <row r="17">
      <c r="A17" s="4">
        <v>16.0</v>
      </c>
      <c r="B17" s="5" t="s">
        <v>18</v>
      </c>
      <c r="C17" s="5">
        <v>210.0</v>
      </c>
      <c r="D17" s="6" t="s">
        <v>3</v>
      </c>
    </row>
    <row r="18">
      <c r="A18" s="4">
        <v>17.0</v>
      </c>
      <c r="B18" s="5" t="s">
        <v>19</v>
      </c>
      <c r="C18" s="5">
        <v>209.0</v>
      </c>
      <c r="D18" s="6" t="s">
        <v>3</v>
      </c>
    </row>
    <row r="19">
      <c r="A19" s="4">
        <v>18.0</v>
      </c>
      <c r="B19" s="5" t="s">
        <v>20</v>
      </c>
      <c r="C19" s="5">
        <v>208.0</v>
      </c>
      <c r="D19" s="6" t="s">
        <v>3</v>
      </c>
    </row>
    <row r="20">
      <c r="A20" s="4">
        <v>19.0</v>
      </c>
      <c r="B20" s="5" t="s">
        <v>21</v>
      </c>
      <c r="C20" s="5">
        <v>207.0</v>
      </c>
      <c r="D20" s="6" t="s">
        <v>3</v>
      </c>
    </row>
    <row r="21">
      <c r="A21" s="4">
        <v>20.0</v>
      </c>
      <c r="B21" s="5" t="s">
        <v>22</v>
      </c>
      <c r="C21" s="5">
        <v>207.0</v>
      </c>
      <c r="D21" s="6" t="s">
        <v>3</v>
      </c>
    </row>
    <row r="22">
      <c r="A22" s="4">
        <v>21.0</v>
      </c>
      <c r="B22" s="5" t="s">
        <v>23</v>
      </c>
      <c r="C22" s="5">
        <v>206.0</v>
      </c>
      <c r="D22" s="6" t="s">
        <v>3</v>
      </c>
    </row>
    <row r="23">
      <c r="A23" s="4">
        <v>22.0</v>
      </c>
      <c r="B23" s="5" t="s">
        <v>24</v>
      </c>
      <c r="C23" s="5">
        <v>205.0</v>
      </c>
      <c r="D23" s="6" t="s">
        <v>3</v>
      </c>
    </row>
    <row r="24">
      <c r="A24" s="4">
        <v>23.0</v>
      </c>
      <c r="B24" s="5" t="s">
        <v>25</v>
      </c>
      <c r="C24" s="5">
        <v>198.0</v>
      </c>
      <c r="D24" s="6" t="s">
        <v>3</v>
      </c>
    </row>
    <row r="25">
      <c r="A25" s="4">
        <v>24.0</v>
      </c>
      <c r="B25" s="5" t="s">
        <v>26</v>
      </c>
      <c r="C25" s="5">
        <v>196.0</v>
      </c>
      <c r="D25" s="6" t="s">
        <v>3</v>
      </c>
    </row>
    <row r="26">
      <c r="A26" s="4">
        <v>25.0</v>
      </c>
      <c r="B26" s="5" t="s">
        <v>27</v>
      </c>
      <c r="C26" s="5">
        <v>195.0</v>
      </c>
      <c r="D26" s="6" t="s">
        <v>3</v>
      </c>
    </row>
    <row r="27">
      <c r="A27" s="4">
        <v>26.0</v>
      </c>
      <c r="B27" s="5" t="s">
        <v>28</v>
      </c>
      <c r="C27" s="5">
        <v>193.0</v>
      </c>
      <c r="D27" s="6" t="s">
        <v>3</v>
      </c>
    </row>
    <row r="28">
      <c r="A28" s="4">
        <v>27.0</v>
      </c>
      <c r="B28" s="5" t="s">
        <v>29</v>
      </c>
      <c r="C28" s="5">
        <v>191.0</v>
      </c>
      <c r="D28" s="6" t="s">
        <v>3</v>
      </c>
    </row>
    <row r="29">
      <c r="A29" s="4">
        <v>28.0</v>
      </c>
      <c r="B29" s="5" t="s">
        <v>30</v>
      </c>
      <c r="C29" s="5">
        <v>189.0</v>
      </c>
      <c r="D29" s="6" t="s">
        <v>3</v>
      </c>
    </row>
    <row r="30">
      <c r="A30" s="4">
        <v>29.0</v>
      </c>
      <c r="B30" s="5" t="s">
        <v>31</v>
      </c>
      <c r="C30" s="5">
        <v>187.0</v>
      </c>
      <c r="D30" s="6" t="s">
        <v>3</v>
      </c>
    </row>
    <row r="31">
      <c r="A31" s="4">
        <v>30.0</v>
      </c>
      <c r="B31" s="5" t="s">
        <v>32</v>
      </c>
      <c r="C31" s="5">
        <v>186.0</v>
      </c>
      <c r="D31" s="6" t="s">
        <v>3</v>
      </c>
    </row>
    <row r="32">
      <c r="A32" s="4">
        <v>31.0</v>
      </c>
      <c r="B32" s="5" t="s">
        <v>33</v>
      </c>
      <c r="C32" s="5">
        <v>182.0</v>
      </c>
      <c r="D32" s="6" t="s">
        <v>3</v>
      </c>
    </row>
    <row r="33">
      <c r="A33" s="4">
        <v>32.0</v>
      </c>
      <c r="B33" s="5" t="s">
        <v>34</v>
      </c>
      <c r="C33" s="5">
        <v>181.0</v>
      </c>
      <c r="D33" s="6" t="s">
        <v>3</v>
      </c>
    </row>
    <row r="34">
      <c r="A34" s="4">
        <v>33.0</v>
      </c>
      <c r="B34" s="5" t="s">
        <v>35</v>
      </c>
      <c r="C34" s="5">
        <v>181.0</v>
      </c>
      <c r="D34" s="6" t="s">
        <v>3</v>
      </c>
    </row>
    <row r="35">
      <c r="A35" s="4">
        <v>34.0</v>
      </c>
      <c r="B35" s="5" t="s">
        <v>36</v>
      </c>
      <c r="C35" s="5">
        <v>180.0</v>
      </c>
      <c r="D35" s="6" t="s">
        <v>3</v>
      </c>
    </row>
    <row r="36">
      <c r="A36" s="4">
        <v>35.0</v>
      </c>
      <c r="B36" s="5" t="s">
        <v>37</v>
      </c>
      <c r="C36" s="5">
        <v>179.0</v>
      </c>
      <c r="D36" s="6" t="s">
        <v>3</v>
      </c>
    </row>
    <row r="37">
      <c r="A37" s="4">
        <v>36.0</v>
      </c>
      <c r="B37" s="5" t="s">
        <v>38</v>
      </c>
      <c r="C37" s="5">
        <v>179.0</v>
      </c>
      <c r="D37" s="6" t="s">
        <v>3</v>
      </c>
    </row>
    <row r="38">
      <c r="A38" s="4">
        <v>37.0</v>
      </c>
      <c r="B38" s="5" t="s">
        <v>39</v>
      </c>
      <c r="C38" s="5">
        <v>179.0</v>
      </c>
      <c r="D38" s="6" t="s">
        <v>3</v>
      </c>
    </row>
    <row r="39">
      <c r="A39" s="4">
        <v>38.0</v>
      </c>
      <c r="B39" s="5" t="s">
        <v>40</v>
      </c>
      <c r="C39" s="5">
        <v>179.0</v>
      </c>
      <c r="D39" s="6" t="s">
        <v>3</v>
      </c>
    </row>
    <row r="40">
      <c r="A40" s="4">
        <v>39.0</v>
      </c>
      <c r="B40" s="5" t="s">
        <v>41</v>
      </c>
      <c r="C40" s="5">
        <v>176.0</v>
      </c>
      <c r="D40" s="6" t="s">
        <v>3</v>
      </c>
    </row>
    <row r="41">
      <c r="A41" s="4">
        <v>40.0</v>
      </c>
      <c r="B41" s="5" t="s">
        <v>42</v>
      </c>
      <c r="C41" s="5">
        <v>176.0</v>
      </c>
      <c r="D41" s="6" t="s">
        <v>3</v>
      </c>
    </row>
    <row r="42">
      <c r="A42" s="4">
        <v>41.0</v>
      </c>
      <c r="B42" s="5" t="s">
        <v>43</v>
      </c>
      <c r="C42" s="5">
        <v>175.0</v>
      </c>
      <c r="D42" s="6" t="s">
        <v>3</v>
      </c>
    </row>
    <row r="43">
      <c r="A43" s="4">
        <v>42.0</v>
      </c>
      <c r="B43" s="5" t="s">
        <v>44</v>
      </c>
      <c r="C43" s="5">
        <v>171.0</v>
      </c>
      <c r="D43" s="6" t="s">
        <v>3</v>
      </c>
    </row>
    <row r="44">
      <c r="A44" s="4">
        <v>43.0</v>
      </c>
      <c r="B44" s="5" t="s">
        <v>45</v>
      </c>
      <c r="C44" s="5">
        <v>168.0</v>
      </c>
      <c r="D44" s="6" t="s">
        <v>3</v>
      </c>
    </row>
    <row r="45">
      <c r="A45" s="4">
        <v>44.0</v>
      </c>
      <c r="B45" s="5" t="s">
        <v>46</v>
      </c>
      <c r="C45" s="5">
        <v>168.0</v>
      </c>
      <c r="D45" s="6" t="s">
        <v>3</v>
      </c>
    </row>
    <row r="46">
      <c r="A46" s="4">
        <v>45.0</v>
      </c>
      <c r="B46" s="5" t="s">
        <v>47</v>
      </c>
      <c r="C46" s="5">
        <v>164.0</v>
      </c>
      <c r="D46" s="6" t="s">
        <v>3</v>
      </c>
    </row>
    <row r="47">
      <c r="A47" s="4">
        <v>46.0</v>
      </c>
      <c r="B47" s="5" t="s">
        <v>48</v>
      </c>
      <c r="C47" s="5">
        <v>164.0</v>
      </c>
      <c r="D47" s="6" t="s">
        <v>3</v>
      </c>
    </row>
    <row r="48">
      <c r="A48" s="4">
        <v>47.0</v>
      </c>
      <c r="B48" s="5" t="s">
        <v>49</v>
      </c>
      <c r="C48" s="5">
        <v>161.0</v>
      </c>
      <c r="D48" s="6" t="s">
        <v>3</v>
      </c>
    </row>
    <row r="49">
      <c r="A49" s="4">
        <v>48.0</v>
      </c>
      <c r="B49" s="5" t="s">
        <v>50</v>
      </c>
      <c r="C49" s="5">
        <v>159.0</v>
      </c>
      <c r="D49" s="6" t="s">
        <v>3</v>
      </c>
    </row>
    <row r="50">
      <c r="A50" s="4">
        <v>49.0</v>
      </c>
      <c r="B50" s="5" t="s">
        <v>51</v>
      </c>
      <c r="C50" s="5">
        <v>150.0</v>
      </c>
      <c r="D50" s="6" t="s">
        <v>3</v>
      </c>
    </row>
    <row r="51">
      <c r="A51" s="4">
        <v>50.0</v>
      </c>
      <c r="B51" s="5" t="s">
        <v>52</v>
      </c>
      <c r="C51" s="5">
        <v>147.0</v>
      </c>
      <c r="D51" s="6" t="s">
        <v>3</v>
      </c>
    </row>
    <row r="52">
      <c r="A52" s="4">
        <v>51.0</v>
      </c>
      <c r="B52" s="5" t="s">
        <v>53</v>
      </c>
      <c r="C52" s="5">
        <v>144.0</v>
      </c>
      <c r="D52" s="6" t="s">
        <v>3</v>
      </c>
    </row>
    <row r="53">
      <c r="A53" s="4">
        <v>52.0</v>
      </c>
      <c r="B53" s="5" t="s">
        <v>54</v>
      </c>
      <c r="C53" s="5">
        <v>135.0</v>
      </c>
      <c r="D53" s="6" t="s">
        <v>3</v>
      </c>
    </row>
    <row r="112">
      <c r="F112" s="7"/>
      <c r="G112" s="1"/>
      <c r="H112" s="1"/>
      <c r="I112" s="1"/>
      <c r="J112" s="1"/>
      <c r="K112" s="1"/>
      <c r="L112" s="1"/>
    </row>
    <row r="113">
      <c r="F113" s="1"/>
      <c r="G113" s="1"/>
      <c r="H113" s="1"/>
      <c r="I113" s="1"/>
      <c r="J113" s="1"/>
      <c r="K113" s="1"/>
      <c r="L113" s="1"/>
    </row>
    <row r="114">
      <c r="F114" s="7"/>
      <c r="G114" s="1"/>
      <c r="H114" s="1"/>
      <c r="I114" s="1"/>
      <c r="J114" s="1"/>
      <c r="K114" s="1"/>
      <c r="L114" s="1"/>
    </row>
    <row r="115">
      <c r="F115" s="7"/>
      <c r="G115" s="1"/>
      <c r="H115" s="1"/>
      <c r="I115" s="1"/>
      <c r="J115" s="1"/>
      <c r="K115" s="1"/>
      <c r="L115" s="1"/>
    </row>
    <row r="116">
      <c r="F116" s="7"/>
      <c r="G116" s="1"/>
      <c r="H116" s="1"/>
      <c r="I116" s="1"/>
      <c r="J116" s="1"/>
      <c r="K116" s="1"/>
      <c r="L116" s="1"/>
    </row>
    <row r="117">
      <c r="F117" s="7"/>
      <c r="G117" s="1"/>
      <c r="H117" s="1"/>
      <c r="I117" s="1"/>
      <c r="J117" s="1"/>
      <c r="K117" s="1"/>
      <c r="L117" s="1"/>
    </row>
    <row r="118">
      <c r="F118" s="7"/>
      <c r="G118" s="1"/>
      <c r="H118" s="1"/>
      <c r="I118" s="1"/>
      <c r="J118" s="1"/>
      <c r="K118" s="1"/>
      <c r="L118" s="1"/>
    </row>
    <row r="119">
      <c r="F119" s="1"/>
      <c r="G119" s="1"/>
      <c r="H119" s="1"/>
      <c r="I119" s="1"/>
      <c r="J119" s="1"/>
      <c r="K119" s="1"/>
      <c r="L119" s="1"/>
    </row>
    <row r="120">
      <c r="F120" s="8"/>
      <c r="G120" s="1"/>
      <c r="H120" s="1"/>
      <c r="I120" s="1"/>
      <c r="J120" s="1"/>
      <c r="K120" s="1"/>
      <c r="L120" s="1"/>
    </row>
    <row r="121">
      <c r="F121" s="8"/>
      <c r="G121" s="1"/>
      <c r="H121" s="1"/>
      <c r="I121" s="1"/>
      <c r="J121" s="1"/>
      <c r="K121" s="1"/>
      <c r="L121" s="1"/>
    </row>
    <row r="122">
      <c r="F122" s="8"/>
      <c r="G122" s="1"/>
      <c r="H122" s="1"/>
      <c r="I122" s="1"/>
      <c r="J122" s="1"/>
      <c r="K122" s="1"/>
      <c r="L122" s="1"/>
    </row>
    <row r="123">
      <c r="F123" s="8"/>
      <c r="G123" s="1"/>
      <c r="H123" s="1"/>
      <c r="I123" s="1"/>
      <c r="J123" s="1"/>
      <c r="K123" s="1"/>
      <c r="L123" s="1"/>
    </row>
    <row r="124">
      <c r="F124" s="8"/>
      <c r="G124" s="1"/>
      <c r="H124" s="1"/>
      <c r="I124" s="1"/>
      <c r="J124" s="1"/>
      <c r="K124" s="1"/>
      <c r="L124" s="1"/>
    </row>
    <row r="125">
      <c r="F125" s="8"/>
      <c r="G125" s="1"/>
      <c r="H125" s="1"/>
      <c r="I125" s="1"/>
      <c r="J125" s="1"/>
      <c r="K125" s="1"/>
      <c r="L125" s="1"/>
    </row>
    <row r="126">
      <c r="F126" s="8"/>
      <c r="G126" s="1"/>
      <c r="H126" s="1"/>
      <c r="I126" s="1"/>
      <c r="J126" s="1"/>
      <c r="K126" s="1"/>
      <c r="L126" s="1"/>
    </row>
    <row r="127">
      <c r="F127" s="8"/>
      <c r="G127" s="1"/>
      <c r="H127" s="1"/>
      <c r="I127" s="1"/>
      <c r="J127" s="1"/>
      <c r="K127" s="1"/>
      <c r="L127" s="1"/>
    </row>
    <row r="128">
      <c r="F128" s="8"/>
      <c r="G128" s="1"/>
      <c r="H128" s="1"/>
      <c r="I128" s="1"/>
      <c r="J128" s="1"/>
      <c r="K128" s="1"/>
      <c r="L128" s="1"/>
    </row>
    <row r="129">
      <c r="F129" s="8"/>
      <c r="G129" s="1"/>
      <c r="H129" s="1"/>
      <c r="I129" s="1"/>
      <c r="J129" s="1"/>
      <c r="K129" s="1"/>
      <c r="L129" s="1"/>
    </row>
    <row r="130">
      <c r="F130" s="8"/>
      <c r="G130" s="1"/>
      <c r="H130" s="1"/>
      <c r="I130" s="1"/>
      <c r="J130" s="1"/>
      <c r="K130" s="1"/>
      <c r="L130" s="1"/>
    </row>
    <row r="131">
      <c r="F131" s="8"/>
      <c r="G131" s="1"/>
      <c r="H131" s="1"/>
      <c r="I131" s="1"/>
      <c r="J131" s="1"/>
      <c r="K131" s="1"/>
      <c r="L131" s="1"/>
    </row>
    <row r="132">
      <c r="F132" s="8"/>
      <c r="G132" s="1"/>
      <c r="H132" s="1"/>
      <c r="I132" s="1"/>
      <c r="J132" s="1"/>
      <c r="K132" s="1"/>
      <c r="L132" s="1"/>
    </row>
    <row r="133">
      <c r="F133" s="8"/>
      <c r="G133" s="1"/>
      <c r="H133" s="1"/>
      <c r="I133" s="1"/>
      <c r="J133" s="1"/>
      <c r="K133" s="1"/>
      <c r="L133" s="1"/>
    </row>
    <row r="134">
      <c r="F134" s="8"/>
      <c r="G134" s="1"/>
      <c r="H134" s="1"/>
      <c r="I134" s="1"/>
      <c r="J134" s="1"/>
      <c r="K134" s="1"/>
      <c r="L134" s="1"/>
    </row>
    <row r="135">
      <c r="F135" s="8"/>
      <c r="G135" s="1"/>
      <c r="H135" s="1"/>
      <c r="I135" s="1"/>
      <c r="J135" s="1"/>
      <c r="K135" s="1"/>
      <c r="L135" s="1"/>
    </row>
    <row r="136">
      <c r="F136" s="8"/>
      <c r="G136" s="1"/>
      <c r="H136" s="1"/>
      <c r="I136" s="1"/>
      <c r="J136" s="1"/>
      <c r="K136" s="1"/>
      <c r="L136" s="1"/>
    </row>
    <row r="137">
      <c r="F137" s="8"/>
      <c r="G137" s="1"/>
      <c r="H137" s="1"/>
      <c r="I137" s="1"/>
      <c r="J137" s="1"/>
      <c r="K137" s="1"/>
      <c r="L137" s="1"/>
    </row>
    <row r="138">
      <c r="F138" s="8"/>
      <c r="G138" s="1"/>
      <c r="H138" s="1"/>
      <c r="I138" s="1"/>
      <c r="J138" s="1"/>
      <c r="K138" s="1"/>
      <c r="L138" s="1"/>
    </row>
    <row r="139">
      <c r="F139" s="8"/>
      <c r="G139" s="1"/>
      <c r="H139" s="1"/>
      <c r="I139" s="1"/>
      <c r="J139" s="1"/>
      <c r="K139" s="1"/>
      <c r="L139" s="1"/>
    </row>
    <row r="140">
      <c r="F140" s="8"/>
      <c r="G140" s="1"/>
      <c r="H140" s="1"/>
      <c r="I140" s="1"/>
      <c r="J140" s="1"/>
      <c r="K140" s="1"/>
      <c r="L140" s="1"/>
    </row>
    <row r="141">
      <c r="F141" s="8"/>
      <c r="G141" s="1"/>
      <c r="H141" s="1"/>
      <c r="I141" s="1"/>
      <c r="J141" s="1"/>
      <c r="K141" s="1"/>
      <c r="L141" s="1"/>
    </row>
    <row r="142">
      <c r="F142" s="8"/>
      <c r="G142" s="1"/>
      <c r="H142" s="1"/>
      <c r="I142" s="1"/>
      <c r="J142" s="1"/>
      <c r="K142" s="1"/>
      <c r="L142" s="1"/>
    </row>
    <row r="143">
      <c r="F143" s="8"/>
      <c r="G143" s="1"/>
      <c r="H143" s="1"/>
      <c r="I143" s="1"/>
      <c r="J143" s="1"/>
      <c r="K143" s="1"/>
      <c r="L143" s="1"/>
    </row>
    <row r="144">
      <c r="F144" s="8"/>
      <c r="G144" s="1"/>
      <c r="H144" s="1"/>
      <c r="I144" s="1"/>
      <c r="J144" s="1"/>
      <c r="K144" s="1"/>
      <c r="L144" s="1"/>
    </row>
    <row r="145">
      <c r="F145" s="8"/>
      <c r="G145" s="1"/>
      <c r="H145" s="1"/>
      <c r="I145" s="1"/>
      <c r="J145" s="1"/>
      <c r="K145" s="1"/>
      <c r="L145" s="1"/>
    </row>
    <row r="146">
      <c r="F146" s="8"/>
      <c r="G146" s="1"/>
      <c r="H146" s="1"/>
      <c r="I146" s="1"/>
    </row>
    <row r="147">
      <c r="F147" s="8"/>
      <c r="G147" s="1"/>
      <c r="H147" s="1"/>
      <c r="I147" s="1"/>
    </row>
    <row r="148">
      <c r="F148" s="8"/>
      <c r="G148" s="1"/>
      <c r="H148" s="1"/>
      <c r="I148" s="1"/>
    </row>
    <row r="149">
      <c r="F149" s="8"/>
      <c r="G149" s="1"/>
      <c r="H149" s="1"/>
      <c r="I149" s="1"/>
    </row>
    <row r="150">
      <c r="F150" s="8"/>
      <c r="G150" s="1"/>
      <c r="H150" s="1"/>
      <c r="I150" s="1"/>
    </row>
    <row r="151">
      <c r="F151" s="8"/>
      <c r="G151" s="1"/>
      <c r="H151" s="1"/>
      <c r="I151" s="1"/>
      <c r="L151" s="1"/>
    </row>
    <row r="152">
      <c r="F152" s="8"/>
      <c r="G152" s="1"/>
      <c r="H152" s="1"/>
      <c r="I152" s="1"/>
      <c r="L152" s="1"/>
    </row>
    <row r="153">
      <c r="F153" s="8"/>
      <c r="G153" s="1"/>
      <c r="H153" s="1"/>
      <c r="I153" s="1"/>
      <c r="L153" s="1"/>
    </row>
    <row r="154">
      <c r="F154" s="8"/>
      <c r="G154" s="1"/>
      <c r="H154" s="1"/>
      <c r="I154" s="1"/>
      <c r="L154" s="1"/>
    </row>
    <row r="155">
      <c r="F155" s="8"/>
      <c r="G155" s="1"/>
      <c r="H155" s="1"/>
      <c r="I155" s="1"/>
      <c r="L155" s="1"/>
    </row>
    <row r="156">
      <c r="F156" s="8"/>
      <c r="G156" s="1"/>
      <c r="H156" s="1"/>
      <c r="I156" s="1"/>
      <c r="L156" s="1"/>
    </row>
    <row r="157">
      <c r="F157" s="8"/>
      <c r="G157" s="1"/>
      <c r="H157" s="1"/>
      <c r="I157" s="1"/>
      <c r="L157" s="1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9">
      <c r="F169" s="7"/>
      <c r="G169" s="1"/>
      <c r="H169" s="1"/>
      <c r="I169" s="1"/>
      <c r="J169" s="1"/>
      <c r="K169" s="1"/>
    </row>
    <row r="170">
      <c r="F170" s="7"/>
      <c r="G170" s="1"/>
      <c r="H170" s="1"/>
      <c r="I170" s="1"/>
      <c r="J170" s="1"/>
      <c r="K170" s="1"/>
    </row>
    <row r="171">
      <c r="F171" s="1"/>
      <c r="G171" s="1"/>
      <c r="H171" s="1"/>
      <c r="I171" s="1"/>
      <c r="J171" s="1"/>
      <c r="K171" s="1"/>
    </row>
    <row r="172">
      <c r="F172" s="7"/>
      <c r="G172" s="1"/>
      <c r="H172" s="1"/>
      <c r="I172" s="1"/>
      <c r="J172" s="1"/>
      <c r="K172" s="1"/>
    </row>
    <row r="173">
      <c r="F173" s="1"/>
      <c r="G173" s="1"/>
      <c r="H173" s="1"/>
      <c r="I173" s="1"/>
      <c r="J173" s="1"/>
      <c r="K173" s="1"/>
    </row>
    <row r="174">
      <c r="F174" s="9"/>
      <c r="G174" s="1"/>
      <c r="H174" s="1"/>
      <c r="I174" s="1"/>
      <c r="J174" s="1"/>
      <c r="K174" s="1"/>
    </row>
    <row r="175">
      <c r="F175" s="10"/>
      <c r="G175" s="1"/>
      <c r="H175" s="1"/>
      <c r="I175" s="1"/>
      <c r="J175" s="1"/>
      <c r="K175" s="1"/>
    </row>
  </sheetData>
  <autoFilter ref="$A$1:$D$53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42.13"/>
    <col customWidth="1" min="3" max="3" width="5.25"/>
    <col customWidth="1" min="4" max="5" width="43.25"/>
    <col customWidth="1" min="6" max="6" width="10.88"/>
    <col customWidth="1" min="7" max="7" width="4.63"/>
  </cols>
  <sheetData>
    <row r="1">
      <c r="A1" s="11" t="s">
        <v>55</v>
      </c>
      <c r="B1" s="11" t="s">
        <v>56</v>
      </c>
      <c r="C1" s="11" t="s">
        <v>1</v>
      </c>
      <c r="D1" s="12" t="s">
        <v>57</v>
      </c>
      <c r="E1" s="13" t="s">
        <v>58</v>
      </c>
      <c r="F1" s="14" t="s">
        <v>59</v>
      </c>
      <c r="G1" s="15" t="s">
        <v>60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1.0</v>
      </c>
      <c r="B2" s="18" t="s">
        <v>2</v>
      </c>
      <c r="C2" s="17">
        <v>237.0</v>
      </c>
      <c r="D2" s="18"/>
      <c r="E2" s="19" t="s">
        <v>61</v>
      </c>
      <c r="F2" s="20" t="s">
        <v>62</v>
      </c>
      <c r="G2" s="17">
        <v>14.0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7">
        <v>2.0</v>
      </c>
      <c r="B3" s="18" t="s">
        <v>4</v>
      </c>
      <c r="C3" s="17">
        <v>235.0</v>
      </c>
      <c r="D3" s="18"/>
      <c r="E3" s="19" t="s">
        <v>63</v>
      </c>
      <c r="F3" s="20" t="s">
        <v>64</v>
      </c>
      <c r="G3" s="17">
        <v>43.0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7">
        <v>3.0</v>
      </c>
      <c r="B4" s="18" t="s">
        <v>5</v>
      </c>
      <c r="C4" s="17">
        <v>231.0</v>
      </c>
      <c r="D4" s="18"/>
      <c r="E4" s="19" t="s">
        <v>65</v>
      </c>
      <c r="F4" s="20" t="s">
        <v>66</v>
      </c>
      <c r="G4" s="17">
        <v>30.0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7">
        <v>4.0</v>
      </c>
      <c r="B5" s="18" t="s">
        <v>6</v>
      </c>
      <c r="C5" s="17">
        <v>230.0</v>
      </c>
      <c r="D5" s="18"/>
      <c r="E5" s="19" t="s">
        <v>67</v>
      </c>
      <c r="F5" s="20" t="s">
        <v>68</v>
      </c>
      <c r="G5" s="17">
        <v>40.0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7">
        <v>5.0</v>
      </c>
      <c r="B6" s="18" t="s">
        <v>7</v>
      </c>
      <c r="C6" s="17">
        <v>229.0</v>
      </c>
      <c r="D6" s="18"/>
      <c r="E6" s="19" t="s">
        <v>69</v>
      </c>
      <c r="F6" s="20" t="s">
        <v>66</v>
      </c>
      <c r="G6" s="17">
        <v>35.0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7">
        <v>6.0</v>
      </c>
      <c r="B7" s="18" t="s">
        <v>8</v>
      </c>
      <c r="C7" s="17">
        <v>223.0</v>
      </c>
      <c r="D7" s="18"/>
      <c r="E7" s="19" t="s">
        <v>70</v>
      </c>
      <c r="F7" s="20" t="s">
        <v>71</v>
      </c>
      <c r="G7" s="17">
        <v>19.0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7">
        <v>7.0</v>
      </c>
      <c r="B8" s="22" t="s">
        <v>9</v>
      </c>
      <c r="C8" s="17">
        <v>222.0</v>
      </c>
      <c r="D8" s="23" t="s">
        <v>72</v>
      </c>
      <c r="E8" s="18"/>
      <c r="F8" s="20" t="s">
        <v>66</v>
      </c>
      <c r="G8" s="17">
        <v>38.0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7">
        <v>8.0</v>
      </c>
      <c r="B9" s="18" t="s">
        <v>10</v>
      </c>
      <c r="C9" s="17">
        <v>222.0</v>
      </c>
      <c r="D9" s="18"/>
      <c r="E9" s="19" t="s">
        <v>73</v>
      </c>
      <c r="F9" s="20" t="s">
        <v>74</v>
      </c>
      <c r="G9" s="17">
        <v>30.0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7">
        <v>9.0</v>
      </c>
      <c r="B10" s="22" t="s">
        <v>11</v>
      </c>
      <c r="C10" s="17">
        <v>220.0</v>
      </c>
      <c r="D10" s="23" t="s">
        <v>75</v>
      </c>
      <c r="E10" s="18"/>
      <c r="F10" s="20" t="s">
        <v>66</v>
      </c>
      <c r="G10" s="17">
        <v>11.0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7">
        <v>10.0</v>
      </c>
      <c r="B11" s="22" t="s">
        <v>12</v>
      </c>
      <c r="C11" s="17">
        <v>220.0</v>
      </c>
      <c r="D11" s="23" t="s">
        <v>76</v>
      </c>
      <c r="E11" s="18"/>
      <c r="F11" s="20" t="s">
        <v>66</v>
      </c>
      <c r="G11" s="17">
        <v>26.0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7">
        <v>11.0</v>
      </c>
      <c r="B12" s="18" t="s">
        <v>13</v>
      </c>
      <c r="C12" s="17">
        <v>217.0</v>
      </c>
      <c r="D12" s="18"/>
      <c r="E12" s="19" t="s">
        <v>77</v>
      </c>
      <c r="F12" s="20" t="s">
        <v>64</v>
      </c>
      <c r="G12" s="17">
        <v>17.0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7">
        <v>12.0</v>
      </c>
      <c r="B13" s="18" t="s">
        <v>14</v>
      </c>
      <c r="C13" s="17">
        <v>217.0</v>
      </c>
      <c r="D13" s="18"/>
      <c r="E13" s="19" t="s">
        <v>78</v>
      </c>
      <c r="F13" s="20" t="s">
        <v>79</v>
      </c>
      <c r="G13" s="17">
        <v>19.0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7">
        <v>13.0</v>
      </c>
      <c r="B14" s="22" t="s">
        <v>15</v>
      </c>
      <c r="C14" s="17">
        <v>215.0</v>
      </c>
      <c r="D14" s="19" t="s">
        <v>80</v>
      </c>
      <c r="E14" s="18"/>
      <c r="F14" s="18"/>
      <c r="G14" s="18" t="s">
        <v>81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7">
        <v>14.0</v>
      </c>
      <c r="B15" s="18" t="s">
        <v>16</v>
      </c>
      <c r="C15" s="17">
        <v>215.0</v>
      </c>
      <c r="D15" s="18"/>
      <c r="E15" s="19" t="s">
        <v>70</v>
      </c>
      <c r="F15" s="20" t="s">
        <v>64</v>
      </c>
      <c r="G15" s="17">
        <v>36.0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7">
        <v>15.0</v>
      </c>
      <c r="B16" s="22" t="s">
        <v>17</v>
      </c>
      <c r="C16" s="17">
        <v>214.0</v>
      </c>
      <c r="D16" s="23" t="s">
        <v>82</v>
      </c>
      <c r="E16" s="18"/>
      <c r="F16" s="20" t="s">
        <v>64</v>
      </c>
      <c r="G16" s="17">
        <v>25.0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7">
        <v>16.0</v>
      </c>
      <c r="B17" s="18" t="s">
        <v>18</v>
      </c>
      <c r="C17" s="17">
        <v>210.0</v>
      </c>
      <c r="D17" s="18"/>
      <c r="E17" s="19" t="s">
        <v>67</v>
      </c>
      <c r="F17" s="20" t="s">
        <v>83</v>
      </c>
      <c r="G17" s="17">
        <v>15.0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7">
        <v>17.0</v>
      </c>
      <c r="B18" s="18" t="s">
        <v>19</v>
      </c>
      <c r="C18" s="17">
        <v>209.0</v>
      </c>
      <c r="D18" s="18"/>
      <c r="E18" s="19" t="s">
        <v>84</v>
      </c>
      <c r="F18" s="20" t="s">
        <v>85</v>
      </c>
      <c r="G18" s="17">
        <v>42.0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7">
        <v>18.0</v>
      </c>
      <c r="B19" s="18" t="s">
        <v>20</v>
      </c>
      <c r="C19" s="17">
        <v>208.0</v>
      </c>
      <c r="D19" s="18"/>
      <c r="E19" s="19" t="s">
        <v>86</v>
      </c>
      <c r="F19" s="20" t="s">
        <v>85</v>
      </c>
      <c r="G19" s="17">
        <v>53.0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7">
        <v>19.0</v>
      </c>
      <c r="B20" s="22" t="s">
        <v>21</v>
      </c>
      <c r="C20" s="17">
        <v>207.0</v>
      </c>
      <c r="D20" s="23" t="s">
        <v>87</v>
      </c>
      <c r="E20" s="18"/>
      <c r="F20" s="20" t="s">
        <v>71</v>
      </c>
      <c r="G20" s="17">
        <v>15.0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7">
        <v>20.0</v>
      </c>
      <c r="B21" s="22" t="s">
        <v>22</v>
      </c>
      <c r="C21" s="17">
        <v>207.0</v>
      </c>
      <c r="D21" s="23" t="s">
        <v>88</v>
      </c>
      <c r="E21" s="18"/>
      <c r="F21" s="20" t="s">
        <v>64</v>
      </c>
      <c r="G21" s="18" t="s">
        <v>81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7">
        <v>21.0</v>
      </c>
      <c r="B22" s="18" t="s">
        <v>23</v>
      </c>
      <c r="C22" s="17">
        <v>206.0</v>
      </c>
      <c r="D22" s="18"/>
      <c r="E22" s="19" t="s">
        <v>89</v>
      </c>
      <c r="F22" s="20" t="s">
        <v>90</v>
      </c>
      <c r="G22" s="17">
        <v>18.0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7">
        <v>22.0</v>
      </c>
      <c r="B23" s="22" t="s">
        <v>24</v>
      </c>
      <c r="C23" s="17">
        <v>205.0</v>
      </c>
      <c r="D23" s="23" t="s">
        <v>91</v>
      </c>
      <c r="E23" s="18"/>
      <c r="F23" s="20" t="s">
        <v>74</v>
      </c>
      <c r="G23" s="17">
        <v>44.0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7">
        <v>23.0</v>
      </c>
      <c r="B24" s="18" t="s">
        <v>25</v>
      </c>
      <c r="C24" s="17">
        <v>198.0</v>
      </c>
      <c r="D24" s="18"/>
      <c r="E24" s="19" t="s">
        <v>84</v>
      </c>
      <c r="F24" s="20" t="s">
        <v>71</v>
      </c>
      <c r="G24" s="17">
        <v>14.0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17">
        <v>24.0</v>
      </c>
      <c r="B25" s="18" t="s">
        <v>26</v>
      </c>
      <c r="C25" s="17">
        <v>196.0</v>
      </c>
      <c r="D25" s="18"/>
      <c r="E25" s="19" t="s">
        <v>92</v>
      </c>
      <c r="F25" s="20" t="s">
        <v>64</v>
      </c>
      <c r="G25" s="17">
        <v>23.0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7">
        <v>25.0</v>
      </c>
      <c r="B26" s="18" t="s">
        <v>27</v>
      </c>
      <c r="C26" s="17">
        <v>195.0</v>
      </c>
      <c r="D26" s="18"/>
      <c r="E26" s="19" t="s">
        <v>93</v>
      </c>
      <c r="F26" s="20" t="s">
        <v>66</v>
      </c>
      <c r="G26" s="17">
        <v>13.0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7">
        <v>26.0</v>
      </c>
      <c r="B27" s="22" t="s">
        <v>28</v>
      </c>
      <c r="C27" s="17">
        <v>193.0</v>
      </c>
      <c r="D27" s="23" t="s">
        <v>94</v>
      </c>
      <c r="E27" s="18"/>
      <c r="F27" s="20" t="s">
        <v>79</v>
      </c>
      <c r="G27" s="17">
        <v>33.0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7">
        <v>27.0</v>
      </c>
      <c r="B28" s="18" t="s">
        <v>29</v>
      </c>
      <c r="C28" s="17">
        <v>191.0</v>
      </c>
      <c r="D28" s="18"/>
      <c r="E28" s="19" t="s">
        <v>95</v>
      </c>
      <c r="F28" s="20" t="s">
        <v>66</v>
      </c>
      <c r="G28" s="17">
        <v>17.0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7">
        <v>28.0</v>
      </c>
      <c r="B29" s="18" t="s">
        <v>30</v>
      </c>
      <c r="C29" s="17">
        <v>189.0</v>
      </c>
      <c r="D29" s="23"/>
      <c r="E29" s="19" t="s">
        <v>96</v>
      </c>
      <c r="F29" s="20" t="s">
        <v>71</v>
      </c>
      <c r="G29" s="17">
        <v>1.0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7">
        <v>29.0</v>
      </c>
      <c r="B30" s="18" t="s">
        <v>31</v>
      </c>
      <c r="C30" s="17">
        <v>187.0</v>
      </c>
      <c r="D30" s="18"/>
      <c r="E30" s="19" t="s">
        <v>67</v>
      </c>
      <c r="F30" s="20" t="s">
        <v>74</v>
      </c>
      <c r="G30" s="17">
        <v>22.0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17">
        <v>30.0</v>
      </c>
      <c r="B31" s="22" t="s">
        <v>32</v>
      </c>
      <c r="C31" s="17">
        <v>186.0</v>
      </c>
      <c r="D31" s="23" t="s">
        <v>97</v>
      </c>
      <c r="E31" s="18"/>
      <c r="F31" s="20" t="s">
        <v>98</v>
      </c>
      <c r="G31" s="17">
        <v>12.0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4">
        <v>31.0</v>
      </c>
      <c r="B32" s="25" t="s">
        <v>33</v>
      </c>
      <c r="C32" s="24">
        <v>182.0</v>
      </c>
      <c r="D32" s="18"/>
      <c r="E32" s="19" t="s">
        <v>99</v>
      </c>
      <c r="F32" s="20" t="s">
        <v>100</v>
      </c>
      <c r="G32" s="17">
        <v>18.0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17">
        <v>32.0</v>
      </c>
      <c r="B33" s="18" t="s">
        <v>34</v>
      </c>
      <c r="C33" s="17">
        <v>181.0</v>
      </c>
      <c r="D33" s="18"/>
      <c r="E33" s="19" t="s">
        <v>101</v>
      </c>
      <c r="F33" s="20" t="s">
        <v>66</v>
      </c>
      <c r="G33" s="18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7">
        <v>33.0</v>
      </c>
      <c r="B34" s="18" t="s">
        <v>35</v>
      </c>
      <c r="C34" s="17">
        <v>181.0</v>
      </c>
      <c r="D34" s="18"/>
      <c r="E34" s="19" t="s">
        <v>67</v>
      </c>
      <c r="F34" s="20" t="s">
        <v>64</v>
      </c>
      <c r="G34" s="17">
        <v>26.0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7">
        <v>34.0</v>
      </c>
      <c r="B35" s="18" t="s">
        <v>36</v>
      </c>
      <c r="C35" s="17">
        <v>180.0</v>
      </c>
      <c r="D35" s="18"/>
      <c r="E35" s="19" t="s">
        <v>61</v>
      </c>
      <c r="F35" s="20" t="s">
        <v>62</v>
      </c>
      <c r="G35" s="17">
        <v>14.0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7">
        <v>35.0</v>
      </c>
      <c r="B36" s="22" t="s">
        <v>37</v>
      </c>
      <c r="C36" s="17">
        <v>179.0</v>
      </c>
      <c r="D36" s="19" t="s">
        <v>102</v>
      </c>
      <c r="E36" s="18"/>
      <c r="F36" s="20" t="s">
        <v>64</v>
      </c>
      <c r="G36" s="17">
        <v>3.0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7">
        <v>36.0</v>
      </c>
      <c r="B37" s="18" t="s">
        <v>38</v>
      </c>
      <c r="C37" s="17">
        <v>179.0</v>
      </c>
      <c r="D37" s="18"/>
      <c r="E37" s="19" t="s">
        <v>69</v>
      </c>
      <c r="F37" s="20" t="s">
        <v>81</v>
      </c>
      <c r="G37" s="17">
        <v>21.0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17">
        <v>37.0</v>
      </c>
      <c r="B38" s="18" t="s">
        <v>39</v>
      </c>
      <c r="C38" s="17">
        <v>179.0</v>
      </c>
      <c r="D38" s="18"/>
      <c r="E38" s="19" t="s">
        <v>103</v>
      </c>
      <c r="F38" s="20" t="s">
        <v>64</v>
      </c>
      <c r="G38" s="17">
        <v>28.0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17">
        <v>38.0</v>
      </c>
      <c r="B39" s="18" t="s">
        <v>40</v>
      </c>
      <c r="C39" s="17">
        <v>179.0</v>
      </c>
      <c r="D39" s="18"/>
      <c r="E39" s="19" t="s">
        <v>69</v>
      </c>
      <c r="F39" s="20" t="s">
        <v>90</v>
      </c>
      <c r="G39" s="17">
        <v>26.0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17">
        <v>39.0</v>
      </c>
      <c r="B40" s="22" t="s">
        <v>41</v>
      </c>
      <c r="C40" s="17">
        <v>176.0</v>
      </c>
      <c r="D40" s="23" t="s">
        <v>104</v>
      </c>
      <c r="E40" s="18"/>
      <c r="F40" s="20" t="s">
        <v>66</v>
      </c>
      <c r="G40" s="17">
        <v>20.0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7">
        <v>40.0</v>
      </c>
      <c r="B41" s="26" t="s">
        <v>42</v>
      </c>
      <c r="C41" s="17">
        <v>176.0</v>
      </c>
      <c r="D41" s="18"/>
      <c r="E41" s="19" t="s">
        <v>105</v>
      </c>
      <c r="F41" s="20" t="s">
        <v>64</v>
      </c>
      <c r="G41" s="17">
        <v>28.0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7">
        <v>41.0</v>
      </c>
      <c r="B42" s="18" t="s">
        <v>43</v>
      </c>
      <c r="C42" s="17">
        <v>175.0</v>
      </c>
      <c r="D42" s="18"/>
      <c r="E42" s="19" t="s">
        <v>106</v>
      </c>
      <c r="F42" s="20" t="s">
        <v>66</v>
      </c>
      <c r="G42" s="17">
        <v>21.0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7">
        <v>42.0</v>
      </c>
      <c r="B43" s="18" t="s">
        <v>44</v>
      </c>
      <c r="C43" s="17">
        <v>171.0</v>
      </c>
      <c r="D43" s="23"/>
      <c r="E43" s="19" t="s">
        <v>106</v>
      </c>
      <c r="F43" s="20" t="s">
        <v>66</v>
      </c>
      <c r="G43" s="18" t="s">
        <v>81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7">
        <v>43.0</v>
      </c>
      <c r="B44" s="22" t="s">
        <v>107</v>
      </c>
      <c r="C44" s="17">
        <v>168.0</v>
      </c>
      <c r="D44" s="19" t="s">
        <v>108</v>
      </c>
      <c r="E44" s="18"/>
      <c r="F44" s="20" t="s">
        <v>66</v>
      </c>
      <c r="G44" s="17">
        <v>14.0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7">
        <v>44.0</v>
      </c>
      <c r="B45" s="18" t="s">
        <v>46</v>
      </c>
      <c r="C45" s="17">
        <v>168.0</v>
      </c>
      <c r="D45" s="18"/>
      <c r="E45" s="19" t="s">
        <v>109</v>
      </c>
      <c r="F45" s="20" t="s">
        <v>98</v>
      </c>
      <c r="G45" s="17">
        <v>28.0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7">
        <v>45.0</v>
      </c>
      <c r="B46" s="18" t="s">
        <v>47</v>
      </c>
      <c r="C46" s="17">
        <v>164.0</v>
      </c>
      <c r="D46" s="18"/>
      <c r="E46" s="19" t="s">
        <v>69</v>
      </c>
      <c r="F46" s="20" t="s">
        <v>64</v>
      </c>
      <c r="G46" s="17">
        <v>6.0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7">
        <v>46.0</v>
      </c>
      <c r="B47" s="18" t="s">
        <v>48</v>
      </c>
      <c r="C47" s="17">
        <v>164.0</v>
      </c>
      <c r="D47" s="18"/>
      <c r="E47" s="19" t="s">
        <v>110</v>
      </c>
      <c r="F47" s="20" t="s">
        <v>66</v>
      </c>
      <c r="G47" s="17">
        <v>6.0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7">
        <v>47.0</v>
      </c>
      <c r="B48" s="18" t="s">
        <v>49</v>
      </c>
      <c r="C48" s="17">
        <v>161.0</v>
      </c>
      <c r="D48" s="23"/>
      <c r="E48" s="19" t="s">
        <v>69</v>
      </c>
      <c r="F48" s="20" t="s">
        <v>64</v>
      </c>
      <c r="G48" s="17">
        <v>16.0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7">
        <v>48.0</v>
      </c>
      <c r="B49" s="18" t="s">
        <v>50</v>
      </c>
      <c r="C49" s="17">
        <v>159.0</v>
      </c>
      <c r="D49" s="18"/>
      <c r="E49" s="19" t="s">
        <v>111</v>
      </c>
      <c r="F49" s="20" t="s">
        <v>66</v>
      </c>
      <c r="G49" s="17">
        <v>18.0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7">
        <v>49.0</v>
      </c>
      <c r="B50" s="18" t="s">
        <v>51</v>
      </c>
      <c r="C50" s="17">
        <v>150.0</v>
      </c>
      <c r="D50" s="18"/>
      <c r="E50" s="19" t="s">
        <v>112</v>
      </c>
      <c r="F50" s="20" t="s">
        <v>98</v>
      </c>
      <c r="G50" s="18" t="s">
        <v>81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7">
        <v>50.0</v>
      </c>
      <c r="B51" s="18" t="s">
        <v>52</v>
      </c>
      <c r="C51" s="17">
        <v>147.0</v>
      </c>
      <c r="D51" s="18"/>
      <c r="E51" s="19" t="s">
        <v>111</v>
      </c>
      <c r="F51" s="20" t="s">
        <v>66</v>
      </c>
      <c r="G51" s="17">
        <v>9.0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7">
        <v>51.0</v>
      </c>
      <c r="B52" s="22" t="s">
        <v>53</v>
      </c>
      <c r="C52" s="17">
        <v>144.0</v>
      </c>
      <c r="D52" s="19" t="s">
        <v>113</v>
      </c>
      <c r="E52" s="18"/>
      <c r="F52" s="18" t="s">
        <v>114</v>
      </c>
      <c r="G52" s="17">
        <v>6.0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7">
        <v>52.0</v>
      </c>
      <c r="B53" s="18" t="s">
        <v>54</v>
      </c>
      <c r="C53" s="17">
        <v>135.0</v>
      </c>
      <c r="D53" s="18"/>
      <c r="E53" s="19" t="s">
        <v>115</v>
      </c>
      <c r="F53" s="20" t="s">
        <v>71</v>
      </c>
      <c r="G53" s="17">
        <v>9.0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5"/>
      <c r="B54" s="25"/>
      <c r="C54" s="25"/>
      <c r="D54" s="25"/>
      <c r="E54" s="27"/>
      <c r="F54" s="27"/>
      <c r="G54" s="25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5"/>
      <c r="B55" s="25"/>
      <c r="C55" s="25"/>
      <c r="D55" s="25"/>
      <c r="E55" s="27"/>
      <c r="F55" s="27"/>
      <c r="G55" s="25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5"/>
      <c r="B56" s="25"/>
      <c r="C56" s="25"/>
      <c r="D56" s="25"/>
      <c r="E56" s="27"/>
      <c r="F56" s="27"/>
      <c r="G56" s="25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5"/>
      <c r="B57" s="25"/>
      <c r="C57" s="25"/>
      <c r="D57" s="25"/>
      <c r="E57" s="27"/>
      <c r="F57" s="27"/>
      <c r="G57" s="25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5"/>
      <c r="B58" s="25"/>
      <c r="C58" s="25"/>
      <c r="D58" s="25"/>
      <c r="E58" s="27"/>
      <c r="F58" s="27"/>
      <c r="G58" s="25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5"/>
      <c r="B59" s="25"/>
      <c r="C59" s="25"/>
      <c r="D59" s="25"/>
      <c r="E59" s="27"/>
      <c r="F59" s="27"/>
      <c r="G59" s="25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5"/>
      <c r="B60" s="25"/>
      <c r="C60" s="25"/>
      <c r="D60" s="25"/>
      <c r="E60" s="27"/>
      <c r="F60" s="27"/>
      <c r="G60" s="25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5"/>
      <c r="B61" s="25"/>
      <c r="C61" s="25"/>
      <c r="D61" s="25"/>
      <c r="E61" s="27"/>
      <c r="F61" s="27"/>
      <c r="G61" s="25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5"/>
      <c r="B62" s="25"/>
      <c r="C62" s="25"/>
      <c r="D62" s="25"/>
      <c r="E62" s="27"/>
      <c r="F62" s="27"/>
      <c r="G62" s="25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5"/>
      <c r="B63" s="25"/>
      <c r="C63" s="25"/>
      <c r="D63" s="25"/>
      <c r="E63" s="27"/>
      <c r="F63" s="27"/>
      <c r="G63" s="25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5"/>
      <c r="B64" s="25"/>
      <c r="C64" s="25"/>
      <c r="D64" s="25"/>
      <c r="E64" s="27"/>
      <c r="F64" s="27"/>
      <c r="G64" s="25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5"/>
      <c r="B65" s="25"/>
      <c r="C65" s="25"/>
      <c r="D65" s="25"/>
      <c r="E65" s="27"/>
      <c r="F65" s="27"/>
      <c r="G65" s="25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5"/>
      <c r="B66" s="25"/>
      <c r="C66" s="25"/>
      <c r="D66" s="25"/>
      <c r="E66" s="27"/>
      <c r="F66" s="27"/>
      <c r="G66" s="25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5"/>
      <c r="B67" s="25"/>
      <c r="C67" s="25"/>
      <c r="D67" s="25"/>
      <c r="E67" s="27"/>
      <c r="F67" s="27"/>
      <c r="G67" s="25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5"/>
      <c r="B68" s="25"/>
      <c r="C68" s="25"/>
      <c r="D68" s="25"/>
      <c r="E68" s="27"/>
      <c r="F68" s="27"/>
      <c r="G68" s="25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5"/>
      <c r="B69" s="25"/>
      <c r="C69" s="25"/>
      <c r="D69" s="25"/>
      <c r="E69" s="27"/>
      <c r="F69" s="27"/>
      <c r="G69" s="25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5"/>
      <c r="B70" s="25"/>
      <c r="C70" s="25"/>
      <c r="D70" s="25"/>
      <c r="E70" s="27"/>
      <c r="F70" s="27"/>
      <c r="G70" s="25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5"/>
      <c r="B71" s="25"/>
      <c r="C71" s="25"/>
      <c r="D71" s="25"/>
      <c r="E71" s="27"/>
      <c r="F71" s="27"/>
      <c r="G71" s="25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5"/>
      <c r="B72" s="25"/>
      <c r="C72" s="25"/>
      <c r="D72" s="25"/>
      <c r="E72" s="27"/>
      <c r="F72" s="27"/>
      <c r="G72" s="25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5"/>
      <c r="B73" s="25"/>
      <c r="C73" s="25"/>
      <c r="D73" s="25"/>
      <c r="E73" s="27"/>
      <c r="F73" s="27"/>
      <c r="G73" s="25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5"/>
      <c r="B74" s="25"/>
      <c r="C74" s="25"/>
      <c r="D74" s="25"/>
      <c r="E74" s="27"/>
      <c r="F74" s="27"/>
      <c r="G74" s="25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5"/>
      <c r="B75" s="25"/>
      <c r="C75" s="25"/>
      <c r="D75" s="25"/>
      <c r="E75" s="27"/>
      <c r="F75" s="27"/>
      <c r="G75" s="25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5"/>
      <c r="B76" s="25"/>
      <c r="C76" s="25"/>
      <c r="D76" s="25"/>
      <c r="E76" s="27"/>
      <c r="F76" s="27"/>
      <c r="G76" s="25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5"/>
      <c r="B77" s="25"/>
      <c r="C77" s="25"/>
      <c r="D77" s="25"/>
      <c r="E77" s="27"/>
      <c r="F77" s="27"/>
      <c r="G77" s="25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5"/>
      <c r="B78" s="25"/>
      <c r="C78" s="25"/>
      <c r="D78" s="25"/>
      <c r="E78" s="27"/>
      <c r="F78" s="27"/>
      <c r="G78" s="25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5"/>
      <c r="B79" s="25"/>
      <c r="C79" s="25"/>
      <c r="D79" s="25"/>
      <c r="E79" s="27"/>
      <c r="F79" s="27"/>
      <c r="G79" s="25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5"/>
      <c r="B80" s="25"/>
      <c r="C80" s="25"/>
      <c r="D80" s="25"/>
      <c r="E80" s="27"/>
      <c r="F80" s="27"/>
      <c r="G80" s="25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5"/>
      <c r="B81" s="25"/>
      <c r="C81" s="25"/>
      <c r="D81" s="25"/>
      <c r="E81" s="27"/>
      <c r="F81" s="27"/>
      <c r="G81" s="25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5"/>
      <c r="B82" s="25"/>
      <c r="C82" s="25"/>
      <c r="D82" s="25"/>
      <c r="E82" s="27"/>
      <c r="F82" s="27"/>
      <c r="G82" s="25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5"/>
      <c r="B83" s="25"/>
      <c r="C83" s="25"/>
      <c r="D83" s="25"/>
      <c r="E83" s="27"/>
      <c r="F83" s="27"/>
      <c r="G83" s="25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5"/>
      <c r="B84" s="25"/>
      <c r="C84" s="25"/>
      <c r="D84" s="25"/>
      <c r="E84" s="27"/>
      <c r="F84" s="27"/>
      <c r="G84" s="2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5"/>
      <c r="B85" s="25"/>
      <c r="C85" s="25"/>
      <c r="D85" s="25"/>
      <c r="E85" s="27"/>
      <c r="F85" s="27"/>
      <c r="G85" s="25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5"/>
      <c r="B86" s="25"/>
      <c r="C86" s="25"/>
      <c r="D86" s="25"/>
      <c r="E86" s="27"/>
      <c r="F86" s="27"/>
      <c r="G86" s="25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5"/>
      <c r="B87" s="25"/>
      <c r="C87" s="25"/>
      <c r="D87" s="25"/>
      <c r="E87" s="27"/>
      <c r="F87" s="27"/>
      <c r="G87" s="25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5"/>
      <c r="B88" s="25"/>
      <c r="C88" s="25"/>
      <c r="D88" s="25"/>
      <c r="E88" s="27"/>
      <c r="F88" s="27"/>
      <c r="G88" s="25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5"/>
      <c r="B89" s="25"/>
      <c r="C89" s="25"/>
      <c r="D89" s="25"/>
      <c r="E89" s="27"/>
      <c r="F89" s="27"/>
      <c r="G89" s="25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5"/>
      <c r="B90" s="25"/>
      <c r="C90" s="25"/>
      <c r="D90" s="25"/>
      <c r="E90" s="27"/>
      <c r="F90" s="27"/>
      <c r="G90" s="25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5"/>
      <c r="B91" s="25"/>
      <c r="C91" s="25"/>
      <c r="D91" s="25"/>
      <c r="E91" s="27"/>
      <c r="F91" s="27"/>
      <c r="G91" s="2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5"/>
      <c r="B92" s="25"/>
      <c r="C92" s="25"/>
      <c r="D92" s="25"/>
      <c r="E92" s="27"/>
      <c r="F92" s="27"/>
      <c r="G92" s="25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5"/>
      <c r="B93" s="25"/>
      <c r="C93" s="25"/>
      <c r="D93" s="25"/>
      <c r="E93" s="27"/>
      <c r="F93" s="27"/>
      <c r="G93" s="25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5"/>
      <c r="B94" s="25"/>
      <c r="C94" s="25"/>
      <c r="D94" s="25"/>
      <c r="E94" s="27"/>
      <c r="F94" s="27"/>
      <c r="G94" s="25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5"/>
      <c r="B95" s="25"/>
      <c r="C95" s="25"/>
      <c r="D95" s="25"/>
      <c r="E95" s="27"/>
      <c r="F95" s="27"/>
      <c r="G95" s="2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5"/>
      <c r="B96" s="25"/>
      <c r="C96" s="25"/>
      <c r="D96" s="25"/>
      <c r="E96" s="27"/>
      <c r="F96" s="27"/>
      <c r="G96" s="25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5"/>
      <c r="B97" s="25"/>
      <c r="C97" s="25"/>
      <c r="D97" s="25"/>
      <c r="E97" s="27"/>
      <c r="F97" s="27"/>
      <c r="G97" s="25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5"/>
      <c r="B98" s="25"/>
      <c r="C98" s="25"/>
      <c r="D98" s="25"/>
      <c r="E98" s="27"/>
      <c r="F98" s="27"/>
      <c r="G98" s="25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5"/>
      <c r="B99" s="25"/>
      <c r="C99" s="25"/>
      <c r="D99" s="25"/>
      <c r="E99" s="27"/>
      <c r="F99" s="27"/>
      <c r="G99" s="25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5"/>
      <c r="B100" s="25"/>
      <c r="C100" s="25"/>
      <c r="D100" s="25"/>
      <c r="E100" s="27"/>
      <c r="F100" s="27"/>
      <c r="G100" s="25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5"/>
      <c r="B101" s="25"/>
      <c r="C101" s="25"/>
      <c r="D101" s="25"/>
      <c r="E101" s="27"/>
      <c r="F101" s="27"/>
      <c r="G101" s="25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5"/>
      <c r="B102" s="25"/>
      <c r="C102" s="25"/>
      <c r="D102" s="25"/>
      <c r="E102" s="27"/>
      <c r="F102" s="27"/>
      <c r="G102" s="25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5"/>
      <c r="B103" s="25"/>
      <c r="C103" s="25"/>
      <c r="D103" s="25"/>
      <c r="E103" s="27"/>
      <c r="F103" s="27"/>
      <c r="G103" s="25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5"/>
      <c r="B104" s="25"/>
      <c r="C104" s="25"/>
      <c r="D104" s="25"/>
      <c r="E104" s="27"/>
      <c r="F104" s="27"/>
      <c r="G104" s="25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5"/>
      <c r="B105" s="25"/>
      <c r="C105" s="25"/>
      <c r="D105" s="25"/>
      <c r="E105" s="27"/>
      <c r="F105" s="27"/>
      <c r="G105" s="25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5"/>
      <c r="B106" s="25"/>
      <c r="C106" s="25"/>
      <c r="D106" s="25"/>
      <c r="E106" s="27"/>
      <c r="F106" s="27"/>
      <c r="G106" s="25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5"/>
      <c r="B107" s="25"/>
      <c r="C107" s="25"/>
      <c r="D107" s="25"/>
      <c r="E107" s="27"/>
      <c r="F107" s="27"/>
      <c r="G107" s="25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5"/>
      <c r="B108" s="25"/>
      <c r="C108" s="25"/>
      <c r="D108" s="25"/>
      <c r="E108" s="27"/>
      <c r="F108" s="27"/>
      <c r="G108" s="25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5"/>
      <c r="B109" s="25"/>
      <c r="C109" s="25"/>
      <c r="D109" s="25"/>
      <c r="E109" s="27"/>
      <c r="F109" s="27"/>
      <c r="G109" s="25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5"/>
      <c r="B110" s="25"/>
      <c r="C110" s="25"/>
      <c r="D110" s="25"/>
      <c r="E110" s="27"/>
      <c r="F110" s="27"/>
      <c r="G110" s="25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5"/>
      <c r="B111" s="25"/>
      <c r="C111" s="25"/>
      <c r="D111" s="25"/>
      <c r="E111" s="27"/>
      <c r="F111" s="27"/>
      <c r="G111" s="25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5"/>
      <c r="B112" s="25"/>
      <c r="C112" s="25"/>
      <c r="D112" s="25"/>
      <c r="E112" s="27"/>
      <c r="F112" s="27"/>
      <c r="G112" s="25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5"/>
      <c r="B113" s="25"/>
      <c r="C113" s="25"/>
      <c r="D113" s="25"/>
      <c r="E113" s="27"/>
      <c r="F113" s="27"/>
      <c r="G113" s="25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5"/>
      <c r="B114" s="25"/>
      <c r="C114" s="25"/>
      <c r="D114" s="25"/>
      <c r="E114" s="27"/>
      <c r="F114" s="27"/>
      <c r="G114" s="25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5"/>
      <c r="B115" s="25"/>
      <c r="C115" s="25"/>
      <c r="D115" s="25"/>
      <c r="E115" s="27"/>
      <c r="F115" s="27"/>
      <c r="G115" s="25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5"/>
      <c r="B116" s="25"/>
      <c r="C116" s="25"/>
      <c r="D116" s="25"/>
      <c r="E116" s="27"/>
      <c r="F116" s="27"/>
      <c r="G116" s="25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5"/>
      <c r="B117" s="25"/>
      <c r="C117" s="25"/>
      <c r="D117" s="25"/>
      <c r="E117" s="27"/>
      <c r="F117" s="27"/>
      <c r="G117" s="25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5"/>
      <c r="B118" s="25"/>
      <c r="C118" s="25"/>
      <c r="D118" s="25"/>
      <c r="E118" s="27"/>
      <c r="F118" s="27"/>
      <c r="G118" s="25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5"/>
      <c r="B119" s="28"/>
      <c r="C119" s="25"/>
      <c r="D119" s="25"/>
      <c r="E119" s="27"/>
      <c r="F119" s="27"/>
      <c r="G119" s="25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8"/>
      <c r="B120" s="29"/>
      <c r="C120" s="25"/>
      <c r="D120" s="25"/>
      <c r="E120" s="27"/>
      <c r="F120" s="27"/>
      <c r="G120" s="25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8"/>
      <c r="B121" s="29"/>
      <c r="C121" s="25"/>
      <c r="D121" s="25"/>
      <c r="E121" s="27"/>
      <c r="F121" s="27"/>
      <c r="G121" s="25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8"/>
      <c r="B122" s="29"/>
      <c r="C122" s="25"/>
      <c r="D122" s="25"/>
      <c r="E122" s="27"/>
      <c r="F122" s="27"/>
      <c r="G122" s="25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8"/>
      <c r="B123" s="29"/>
      <c r="C123" s="25"/>
      <c r="D123" s="25"/>
      <c r="E123" s="27"/>
      <c r="F123" s="27"/>
      <c r="G123" s="25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8"/>
      <c r="B124" s="29"/>
      <c r="C124" s="25"/>
      <c r="D124" s="25"/>
      <c r="E124" s="27"/>
      <c r="F124" s="27"/>
      <c r="G124" s="25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8"/>
      <c r="B125" s="29"/>
      <c r="C125" s="25"/>
      <c r="D125" s="25"/>
      <c r="E125" s="27"/>
      <c r="F125" s="27"/>
      <c r="G125" s="25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8"/>
      <c r="B126" s="29"/>
      <c r="C126" s="25"/>
      <c r="D126" s="25"/>
      <c r="E126" s="27"/>
      <c r="F126" s="27"/>
      <c r="G126" s="25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8"/>
      <c r="B127" s="29"/>
      <c r="C127" s="25"/>
      <c r="D127" s="25"/>
      <c r="E127" s="27"/>
      <c r="F127" s="27"/>
      <c r="G127" s="25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8"/>
      <c r="B128" s="29"/>
      <c r="C128" s="25"/>
      <c r="D128" s="25"/>
      <c r="E128" s="27"/>
      <c r="F128" s="27"/>
      <c r="G128" s="25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8"/>
      <c r="B129" s="29"/>
      <c r="C129" s="25"/>
      <c r="D129" s="25"/>
      <c r="E129" s="27"/>
      <c r="F129" s="27"/>
      <c r="G129" s="25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8"/>
      <c r="B130" s="29"/>
      <c r="C130" s="25"/>
      <c r="D130" s="25"/>
      <c r="E130" s="27"/>
      <c r="F130" s="27"/>
      <c r="G130" s="25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8"/>
      <c r="B131" s="29"/>
      <c r="C131" s="25"/>
      <c r="D131" s="25"/>
      <c r="E131" s="27"/>
      <c r="F131" s="27"/>
      <c r="G131" s="25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8"/>
      <c r="B132" s="29"/>
      <c r="C132" s="25"/>
      <c r="D132" s="25"/>
      <c r="E132" s="27"/>
      <c r="F132" s="27"/>
      <c r="G132" s="25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8"/>
      <c r="B133" s="29"/>
      <c r="C133" s="25"/>
      <c r="D133" s="25"/>
      <c r="E133" s="27"/>
      <c r="F133" s="27"/>
      <c r="G133" s="25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8"/>
      <c r="B134" s="29"/>
      <c r="C134" s="25"/>
      <c r="D134" s="25"/>
      <c r="E134" s="27"/>
      <c r="F134" s="27"/>
      <c r="G134" s="25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8"/>
      <c r="B135" s="29"/>
      <c r="C135" s="25"/>
      <c r="D135" s="25"/>
      <c r="E135" s="27"/>
      <c r="F135" s="27"/>
      <c r="G135" s="25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8"/>
      <c r="B136" s="29"/>
      <c r="C136" s="25"/>
      <c r="D136" s="25"/>
      <c r="E136" s="27"/>
      <c r="F136" s="27"/>
      <c r="G136" s="25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8"/>
      <c r="B137" s="29"/>
      <c r="C137" s="25"/>
      <c r="D137" s="25"/>
      <c r="E137" s="27"/>
      <c r="F137" s="27"/>
      <c r="G137" s="25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8"/>
      <c r="B138" s="29"/>
      <c r="C138" s="25"/>
      <c r="D138" s="25"/>
      <c r="E138" s="27"/>
      <c r="F138" s="27"/>
      <c r="G138" s="25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8"/>
      <c r="B139" s="29"/>
      <c r="C139" s="25"/>
      <c r="D139" s="25"/>
      <c r="E139" s="27"/>
      <c r="F139" s="27"/>
      <c r="G139" s="25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8"/>
      <c r="B140" s="29"/>
      <c r="C140" s="25"/>
      <c r="D140" s="25"/>
      <c r="E140" s="27"/>
      <c r="F140" s="27"/>
      <c r="G140" s="25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8"/>
      <c r="B141" s="29"/>
      <c r="C141" s="25"/>
      <c r="D141" s="25"/>
      <c r="E141" s="27"/>
      <c r="F141" s="27"/>
      <c r="G141" s="25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8"/>
      <c r="B142" s="29"/>
      <c r="C142" s="25"/>
      <c r="D142" s="25"/>
      <c r="E142" s="27"/>
      <c r="F142" s="27"/>
      <c r="G142" s="25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8"/>
      <c r="B143" s="29"/>
      <c r="C143" s="25"/>
      <c r="D143" s="25"/>
      <c r="E143" s="27"/>
      <c r="F143" s="27"/>
      <c r="G143" s="25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8"/>
      <c r="B144" s="29"/>
      <c r="C144" s="25"/>
      <c r="D144" s="25"/>
      <c r="E144" s="27"/>
      <c r="F144" s="27"/>
      <c r="G144" s="25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8"/>
      <c r="B145" s="29"/>
      <c r="C145" s="25"/>
      <c r="D145" s="25"/>
      <c r="E145" s="27"/>
      <c r="F145" s="27"/>
      <c r="G145" s="25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8"/>
      <c r="B146" s="29"/>
      <c r="C146" s="25"/>
      <c r="D146" s="25"/>
      <c r="E146" s="27"/>
      <c r="F146" s="27"/>
      <c r="G146" s="25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8"/>
      <c r="B147" s="29"/>
      <c r="C147" s="25"/>
      <c r="D147" s="25"/>
      <c r="E147" s="27"/>
      <c r="F147" s="27"/>
      <c r="G147" s="25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8"/>
      <c r="B148" s="29"/>
      <c r="C148" s="25"/>
      <c r="D148" s="25"/>
      <c r="E148" s="27"/>
      <c r="F148" s="27"/>
      <c r="G148" s="25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8"/>
      <c r="B149" s="29"/>
      <c r="C149" s="25"/>
      <c r="D149" s="25"/>
      <c r="E149" s="27"/>
      <c r="F149" s="27"/>
      <c r="G149" s="25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8"/>
      <c r="B150" s="29"/>
      <c r="C150" s="25"/>
      <c r="D150" s="25"/>
      <c r="E150" s="27"/>
      <c r="F150" s="27"/>
      <c r="G150" s="25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8"/>
      <c r="B151" s="29"/>
      <c r="C151" s="25"/>
      <c r="D151" s="25"/>
      <c r="E151" s="27"/>
      <c r="F151" s="27"/>
      <c r="G151" s="25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8"/>
      <c r="B152" s="29"/>
      <c r="C152" s="25"/>
      <c r="D152" s="25"/>
      <c r="E152" s="27"/>
      <c r="F152" s="27"/>
      <c r="G152" s="25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8"/>
      <c r="B153" s="29"/>
      <c r="C153" s="25"/>
      <c r="D153" s="25"/>
      <c r="E153" s="27"/>
      <c r="F153" s="27"/>
      <c r="G153" s="25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8"/>
      <c r="B154" s="29"/>
      <c r="C154" s="25"/>
      <c r="D154" s="25"/>
      <c r="E154" s="27"/>
      <c r="F154" s="27"/>
      <c r="G154" s="25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8"/>
      <c r="B155" s="29"/>
      <c r="C155" s="25"/>
      <c r="D155" s="25"/>
      <c r="E155" s="27"/>
      <c r="F155" s="27"/>
      <c r="G155" s="25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8"/>
      <c r="B156" s="29"/>
      <c r="C156" s="25"/>
      <c r="D156" s="25"/>
      <c r="E156" s="27"/>
      <c r="F156" s="27"/>
      <c r="G156" s="25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8"/>
      <c r="B157" s="29"/>
      <c r="C157" s="25"/>
      <c r="D157" s="25"/>
      <c r="E157" s="27"/>
      <c r="F157" s="27"/>
      <c r="G157" s="25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8"/>
      <c r="B158" s="29"/>
      <c r="C158" s="25"/>
      <c r="D158" s="25"/>
      <c r="E158" s="27"/>
      <c r="F158" s="27"/>
      <c r="G158" s="25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8"/>
      <c r="B159" s="29"/>
      <c r="C159" s="25"/>
      <c r="D159" s="25"/>
      <c r="E159" s="27"/>
      <c r="F159" s="27"/>
      <c r="G159" s="25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8"/>
      <c r="B160" s="29"/>
      <c r="C160" s="25"/>
      <c r="D160" s="25"/>
      <c r="E160" s="27"/>
      <c r="F160" s="27"/>
      <c r="G160" s="25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8"/>
      <c r="B161" s="29"/>
      <c r="C161" s="25"/>
      <c r="D161" s="25"/>
      <c r="E161" s="27"/>
      <c r="F161" s="27"/>
      <c r="G161" s="25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8"/>
      <c r="B162" s="29"/>
      <c r="C162" s="25"/>
      <c r="D162" s="25"/>
      <c r="E162" s="27"/>
      <c r="F162" s="27"/>
      <c r="G162" s="25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8"/>
      <c r="B163" s="29"/>
      <c r="C163" s="25"/>
      <c r="D163" s="25"/>
      <c r="E163" s="27"/>
      <c r="F163" s="27"/>
      <c r="G163" s="25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8"/>
      <c r="B164" s="29"/>
      <c r="C164" s="25"/>
      <c r="D164" s="25"/>
      <c r="E164" s="27"/>
      <c r="F164" s="27"/>
      <c r="G164" s="25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8"/>
      <c r="B165" s="29"/>
      <c r="C165" s="25"/>
      <c r="D165" s="25"/>
      <c r="E165" s="27"/>
      <c r="F165" s="27"/>
      <c r="G165" s="25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8"/>
      <c r="B166" s="29"/>
      <c r="C166" s="25"/>
      <c r="D166" s="25"/>
      <c r="E166" s="27"/>
      <c r="F166" s="27"/>
      <c r="G166" s="25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8"/>
      <c r="B167" s="29"/>
      <c r="C167" s="25"/>
      <c r="D167" s="25"/>
      <c r="E167" s="27"/>
      <c r="F167" s="27"/>
      <c r="G167" s="25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5"/>
      <c r="B168" s="25"/>
      <c r="C168" s="25"/>
      <c r="D168" s="25"/>
      <c r="E168" s="27"/>
      <c r="F168" s="27"/>
      <c r="G168" s="25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5"/>
      <c r="B169" s="25"/>
      <c r="C169" s="25"/>
      <c r="D169" s="25"/>
      <c r="E169" s="27"/>
      <c r="F169" s="27"/>
      <c r="G169" s="25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5"/>
      <c r="B170" s="25"/>
      <c r="C170" s="25"/>
      <c r="D170" s="25"/>
      <c r="E170" s="27"/>
      <c r="F170" s="27"/>
      <c r="G170" s="25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5"/>
      <c r="B171" s="25"/>
      <c r="C171" s="25"/>
      <c r="D171" s="25"/>
      <c r="E171" s="27"/>
      <c r="F171" s="27"/>
      <c r="G171" s="25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5"/>
      <c r="B172" s="25"/>
      <c r="C172" s="25"/>
      <c r="D172" s="25"/>
      <c r="E172" s="27"/>
      <c r="F172" s="27"/>
      <c r="G172" s="25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5"/>
      <c r="B173" s="28"/>
      <c r="C173" s="25"/>
      <c r="D173" s="25"/>
      <c r="E173" s="27"/>
      <c r="F173" s="27"/>
      <c r="G173" s="25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8"/>
      <c r="B174" s="29"/>
      <c r="C174" s="25"/>
      <c r="D174" s="25"/>
      <c r="E174" s="27"/>
      <c r="F174" s="27"/>
      <c r="G174" s="25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5"/>
      <c r="B175" s="30"/>
      <c r="C175" s="25"/>
      <c r="D175" s="25"/>
      <c r="E175" s="27"/>
      <c r="F175" s="27"/>
      <c r="G175" s="25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5"/>
      <c r="B176" s="25"/>
      <c r="C176" s="25"/>
      <c r="D176" s="25"/>
      <c r="E176" s="27"/>
      <c r="F176" s="27"/>
      <c r="G176" s="25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5"/>
      <c r="B177" s="25"/>
      <c r="C177" s="25"/>
      <c r="D177" s="25"/>
      <c r="E177" s="27"/>
      <c r="F177" s="27"/>
      <c r="G177" s="25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5"/>
      <c r="B178" s="25"/>
      <c r="C178" s="25"/>
      <c r="D178" s="25"/>
      <c r="E178" s="27"/>
      <c r="F178" s="27"/>
      <c r="G178" s="25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5"/>
      <c r="B179" s="25"/>
      <c r="C179" s="25"/>
      <c r="D179" s="25"/>
      <c r="E179" s="27"/>
      <c r="F179" s="27"/>
      <c r="G179" s="25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5"/>
      <c r="B180" s="25"/>
      <c r="C180" s="25"/>
      <c r="D180" s="25"/>
      <c r="E180" s="27"/>
      <c r="F180" s="27"/>
      <c r="G180" s="25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5"/>
      <c r="B181" s="25"/>
      <c r="C181" s="25"/>
      <c r="D181" s="25"/>
      <c r="E181" s="27"/>
      <c r="F181" s="27"/>
      <c r="G181" s="25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5"/>
      <c r="B182" s="25"/>
      <c r="C182" s="25"/>
      <c r="D182" s="25"/>
      <c r="E182" s="27"/>
      <c r="F182" s="27"/>
      <c r="G182" s="25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5"/>
      <c r="B183" s="25"/>
      <c r="C183" s="25"/>
      <c r="D183" s="25"/>
      <c r="E183" s="27"/>
      <c r="F183" s="27"/>
      <c r="G183" s="25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5"/>
      <c r="B184" s="25"/>
      <c r="C184" s="25"/>
      <c r="D184" s="25"/>
      <c r="E184" s="27"/>
      <c r="F184" s="27"/>
      <c r="G184" s="25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5"/>
      <c r="B185" s="25"/>
      <c r="C185" s="25"/>
      <c r="D185" s="25"/>
      <c r="E185" s="27"/>
      <c r="F185" s="27"/>
      <c r="G185" s="25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5"/>
      <c r="B186" s="25"/>
      <c r="C186" s="25"/>
      <c r="D186" s="25"/>
      <c r="E186" s="27"/>
      <c r="F186" s="27"/>
      <c r="G186" s="25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5"/>
      <c r="B187" s="25"/>
      <c r="C187" s="25"/>
      <c r="D187" s="25"/>
      <c r="E187" s="27"/>
      <c r="F187" s="27"/>
      <c r="G187" s="25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5"/>
      <c r="B188" s="25"/>
      <c r="C188" s="25"/>
      <c r="D188" s="25"/>
      <c r="E188" s="27"/>
      <c r="F188" s="27"/>
      <c r="G188" s="25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5"/>
      <c r="B189" s="25"/>
      <c r="C189" s="25"/>
      <c r="D189" s="25"/>
      <c r="E189" s="27"/>
      <c r="F189" s="27"/>
      <c r="G189" s="25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5"/>
      <c r="B190" s="25"/>
      <c r="C190" s="25"/>
      <c r="D190" s="25"/>
      <c r="E190" s="27"/>
      <c r="F190" s="27"/>
      <c r="G190" s="25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5"/>
      <c r="B191" s="25"/>
      <c r="C191" s="25"/>
      <c r="D191" s="25"/>
      <c r="E191" s="27"/>
      <c r="F191" s="27"/>
      <c r="G191" s="25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5"/>
      <c r="B192" s="25"/>
      <c r="C192" s="25"/>
      <c r="D192" s="25"/>
      <c r="E192" s="27"/>
      <c r="F192" s="27"/>
      <c r="G192" s="25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5"/>
      <c r="B193" s="25"/>
      <c r="C193" s="25"/>
      <c r="D193" s="25"/>
      <c r="E193" s="27"/>
      <c r="F193" s="27"/>
      <c r="G193" s="25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5"/>
      <c r="B194" s="25"/>
      <c r="C194" s="25"/>
      <c r="D194" s="25"/>
      <c r="E194" s="27"/>
      <c r="F194" s="27"/>
      <c r="G194" s="25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5"/>
      <c r="B195" s="25"/>
      <c r="C195" s="25"/>
      <c r="D195" s="25"/>
      <c r="E195" s="27"/>
      <c r="F195" s="27"/>
      <c r="G195" s="25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5"/>
      <c r="B196" s="25"/>
      <c r="C196" s="25"/>
      <c r="D196" s="25"/>
      <c r="E196" s="27"/>
      <c r="F196" s="27"/>
      <c r="G196" s="25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5"/>
      <c r="B197" s="25"/>
      <c r="C197" s="25"/>
      <c r="D197" s="25"/>
      <c r="E197" s="27"/>
      <c r="F197" s="27"/>
      <c r="G197" s="25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5"/>
      <c r="B198" s="25"/>
      <c r="C198" s="25"/>
      <c r="D198" s="25"/>
      <c r="E198" s="27"/>
      <c r="F198" s="27"/>
      <c r="G198" s="25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5"/>
      <c r="B199" s="25"/>
      <c r="C199" s="25"/>
      <c r="D199" s="25"/>
      <c r="E199" s="27"/>
      <c r="F199" s="27"/>
      <c r="G199" s="25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5"/>
      <c r="B200" s="25"/>
      <c r="C200" s="25"/>
      <c r="D200" s="25"/>
      <c r="E200" s="27"/>
      <c r="F200" s="27"/>
      <c r="G200" s="25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5"/>
      <c r="B201" s="25"/>
      <c r="C201" s="25"/>
      <c r="D201" s="25"/>
      <c r="E201" s="27"/>
      <c r="F201" s="27"/>
      <c r="G201" s="25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5"/>
      <c r="B202" s="25"/>
      <c r="C202" s="25"/>
      <c r="D202" s="25"/>
      <c r="E202" s="27"/>
      <c r="F202" s="27"/>
      <c r="G202" s="25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5"/>
      <c r="B203" s="25"/>
      <c r="C203" s="25"/>
      <c r="D203" s="25"/>
      <c r="E203" s="27"/>
      <c r="F203" s="27"/>
      <c r="G203" s="25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5"/>
      <c r="B204" s="25"/>
      <c r="C204" s="25"/>
      <c r="D204" s="25"/>
      <c r="E204" s="27"/>
      <c r="F204" s="27"/>
      <c r="G204" s="25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5"/>
      <c r="B205" s="25"/>
      <c r="C205" s="25"/>
      <c r="D205" s="25"/>
      <c r="E205" s="27"/>
      <c r="F205" s="27"/>
      <c r="G205" s="25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5"/>
      <c r="B206" s="25"/>
      <c r="C206" s="25"/>
      <c r="D206" s="25"/>
      <c r="E206" s="27"/>
      <c r="F206" s="27"/>
      <c r="G206" s="25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5"/>
      <c r="B207" s="25"/>
      <c r="C207" s="25"/>
      <c r="D207" s="25"/>
      <c r="E207" s="27"/>
      <c r="F207" s="27"/>
      <c r="G207" s="25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5"/>
      <c r="B208" s="25"/>
      <c r="C208" s="25"/>
      <c r="D208" s="25"/>
      <c r="E208" s="27"/>
      <c r="F208" s="27"/>
      <c r="G208" s="25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5"/>
      <c r="B209" s="25"/>
      <c r="C209" s="25"/>
      <c r="D209" s="25"/>
      <c r="E209" s="27"/>
      <c r="F209" s="27"/>
      <c r="G209" s="25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5"/>
      <c r="B210" s="25"/>
      <c r="C210" s="25"/>
      <c r="D210" s="25"/>
      <c r="E210" s="27"/>
      <c r="F210" s="27"/>
      <c r="G210" s="25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5"/>
      <c r="B211" s="25"/>
      <c r="C211" s="25"/>
      <c r="D211" s="25"/>
      <c r="E211" s="27"/>
      <c r="F211" s="27"/>
      <c r="G211" s="25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5"/>
      <c r="B212" s="25"/>
      <c r="C212" s="25"/>
      <c r="D212" s="25"/>
      <c r="E212" s="27"/>
      <c r="F212" s="27"/>
      <c r="G212" s="25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5"/>
      <c r="B213" s="25"/>
      <c r="C213" s="25"/>
      <c r="D213" s="25"/>
      <c r="E213" s="27"/>
      <c r="F213" s="27"/>
      <c r="G213" s="25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5"/>
      <c r="B214" s="25"/>
      <c r="C214" s="25"/>
      <c r="D214" s="25"/>
      <c r="E214" s="27"/>
      <c r="F214" s="27"/>
      <c r="G214" s="25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5"/>
      <c r="B215" s="25"/>
      <c r="C215" s="25"/>
      <c r="D215" s="25"/>
      <c r="E215" s="27"/>
      <c r="F215" s="27"/>
      <c r="G215" s="25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5"/>
      <c r="B216" s="25"/>
      <c r="C216" s="25"/>
      <c r="D216" s="25"/>
      <c r="E216" s="27"/>
      <c r="F216" s="27"/>
      <c r="G216" s="25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5"/>
      <c r="B217" s="25"/>
      <c r="C217" s="25"/>
      <c r="D217" s="25"/>
      <c r="E217" s="27"/>
      <c r="F217" s="27"/>
      <c r="G217" s="25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5"/>
      <c r="B218" s="25"/>
      <c r="C218" s="25"/>
      <c r="D218" s="25"/>
      <c r="E218" s="27"/>
      <c r="F218" s="27"/>
      <c r="G218" s="25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5"/>
      <c r="B219" s="25"/>
      <c r="C219" s="25"/>
      <c r="D219" s="25"/>
      <c r="E219" s="27"/>
      <c r="F219" s="27"/>
      <c r="G219" s="25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5"/>
      <c r="B220" s="25"/>
      <c r="C220" s="25"/>
      <c r="D220" s="25"/>
      <c r="E220" s="27"/>
      <c r="F220" s="27"/>
      <c r="G220" s="25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5"/>
      <c r="B221" s="25"/>
      <c r="C221" s="25"/>
      <c r="D221" s="25"/>
      <c r="E221" s="27"/>
      <c r="F221" s="27"/>
      <c r="G221" s="25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5"/>
      <c r="B222" s="25"/>
      <c r="C222" s="25"/>
      <c r="D222" s="25"/>
      <c r="E222" s="27"/>
      <c r="F222" s="27"/>
      <c r="G222" s="25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5"/>
      <c r="B223" s="25"/>
      <c r="C223" s="25"/>
      <c r="D223" s="25"/>
      <c r="E223" s="27"/>
      <c r="F223" s="27"/>
      <c r="G223" s="25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5"/>
      <c r="B224" s="25"/>
      <c r="C224" s="25"/>
      <c r="D224" s="25"/>
      <c r="E224" s="27"/>
      <c r="F224" s="27"/>
      <c r="G224" s="25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5"/>
      <c r="B225" s="25"/>
      <c r="C225" s="25"/>
      <c r="D225" s="25"/>
      <c r="E225" s="27"/>
      <c r="F225" s="27"/>
      <c r="G225" s="25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5"/>
      <c r="B226" s="25"/>
      <c r="C226" s="25"/>
      <c r="D226" s="25"/>
      <c r="E226" s="27"/>
      <c r="F226" s="27"/>
      <c r="G226" s="25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5"/>
      <c r="B227" s="25"/>
      <c r="C227" s="25"/>
      <c r="D227" s="25"/>
      <c r="E227" s="27"/>
      <c r="F227" s="27"/>
      <c r="G227" s="25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5"/>
      <c r="B228" s="25"/>
      <c r="C228" s="25"/>
      <c r="D228" s="25"/>
      <c r="E228" s="27"/>
      <c r="F228" s="27"/>
      <c r="G228" s="25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5"/>
      <c r="B229" s="25"/>
      <c r="C229" s="25"/>
      <c r="D229" s="25"/>
      <c r="E229" s="27"/>
      <c r="F229" s="27"/>
      <c r="G229" s="25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5"/>
      <c r="B230" s="25"/>
      <c r="C230" s="25"/>
      <c r="D230" s="25"/>
      <c r="E230" s="27"/>
      <c r="F230" s="27"/>
      <c r="G230" s="25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5"/>
      <c r="B231" s="25"/>
      <c r="C231" s="25"/>
      <c r="D231" s="25"/>
      <c r="E231" s="27"/>
      <c r="F231" s="27"/>
      <c r="G231" s="25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5"/>
      <c r="B232" s="25"/>
      <c r="C232" s="25"/>
      <c r="D232" s="25"/>
      <c r="E232" s="27"/>
      <c r="F232" s="27"/>
      <c r="G232" s="25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5"/>
      <c r="B233" s="25"/>
      <c r="C233" s="25"/>
      <c r="D233" s="25"/>
      <c r="E233" s="27"/>
      <c r="F233" s="27"/>
      <c r="G233" s="25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5"/>
      <c r="B234" s="25"/>
      <c r="C234" s="25"/>
      <c r="D234" s="25"/>
      <c r="E234" s="27"/>
      <c r="F234" s="27"/>
      <c r="G234" s="25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5"/>
      <c r="B235" s="25"/>
      <c r="C235" s="25"/>
      <c r="D235" s="25"/>
      <c r="E235" s="27"/>
      <c r="F235" s="27"/>
      <c r="G235" s="25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5"/>
      <c r="B236" s="25"/>
      <c r="C236" s="25"/>
      <c r="D236" s="25"/>
      <c r="E236" s="27"/>
      <c r="F236" s="27"/>
      <c r="G236" s="25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5"/>
      <c r="B237" s="25"/>
      <c r="C237" s="25"/>
      <c r="D237" s="25"/>
      <c r="E237" s="27"/>
      <c r="F237" s="27"/>
      <c r="G237" s="25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5"/>
      <c r="B238" s="25"/>
      <c r="C238" s="25"/>
      <c r="D238" s="25"/>
      <c r="E238" s="27"/>
      <c r="F238" s="27"/>
      <c r="G238" s="25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5"/>
      <c r="B239" s="25"/>
      <c r="C239" s="25"/>
      <c r="D239" s="25"/>
      <c r="E239" s="27"/>
      <c r="F239" s="27"/>
      <c r="G239" s="25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5"/>
      <c r="B240" s="25"/>
      <c r="C240" s="25"/>
      <c r="D240" s="25"/>
      <c r="E240" s="27"/>
      <c r="F240" s="27"/>
      <c r="G240" s="25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5"/>
      <c r="B241" s="25"/>
      <c r="C241" s="25"/>
      <c r="D241" s="25"/>
      <c r="E241" s="27"/>
      <c r="F241" s="27"/>
      <c r="G241" s="25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5"/>
      <c r="B242" s="25"/>
      <c r="C242" s="25"/>
      <c r="D242" s="25"/>
      <c r="E242" s="27"/>
      <c r="F242" s="27"/>
      <c r="G242" s="25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5"/>
      <c r="B243" s="25"/>
      <c r="C243" s="25"/>
      <c r="D243" s="25"/>
      <c r="E243" s="27"/>
      <c r="F243" s="27"/>
      <c r="G243" s="25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5"/>
      <c r="B244" s="25"/>
      <c r="C244" s="25"/>
      <c r="D244" s="25"/>
      <c r="E244" s="27"/>
      <c r="F244" s="27"/>
      <c r="G244" s="25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5"/>
      <c r="B245" s="25"/>
      <c r="C245" s="25"/>
      <c r="D245" s="25"/>
      <c r="E245" s="27"/>
      <c r="F245" s="27"/>
      <c r="G245" s="25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5"/>
      <c r="B246" s="25"/>
      <c r="C246" s="25"/>
      <c r="D246" s="25"/>
      <c r="E246" s="27"/>
      <c r="F246" s="27"/>
      <c r="G246" s="25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5"/>
      <c r="B247" s="25"/>
      <c r="C247" s="25"/>
      <c r="D247" s="25"/>
      <c r="E247" s="27"/>
      <c r="F247" s="27"/>
      <c r="G247" s="25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5"/>
      <c r="B248" s="25"/>
      <c r="C248" s="25"/>
      <c r="D248" s="25"/>
      <c r="E248" s="27"/>
      <c r="F248" s="27"/>
      <c r="G248" s="25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5"/>
      <c r="B249" s="25"/>
      <c r="C249" s="25"/>
      <c r="D249" s="25"/>
      <c r="E249" s="27"/>
      <c r="F249" s="27"/>
      <c r="G249" s="25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5"/>
      <c r="B250" s="25"/>
      <c r="C250" s="25"/>
      <c r="D250" s="25"/>
      <c r="E250" s="27"/>
      <c r="F250" s="27"/>
      <c r="G250" s="25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5"/>
      <c r="B251" s="25"/>
      <c r="C251" s="25"/>
      <c r="D251" s="25"/>
      <c r="E251" s="27"/>
      <c r="F251" s="27"/>
      <c r="G251" s="25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5"/>
      <c r="B252" s="25"/>
      <c r="C252" s="25"/>
      <c r="D252" s="25"/>
      <c r="E252" s="27"/>
      <c r="F252" s="27"/>
      <c r="G252" s="25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5"/>
      <c r="B253" s="25"/>
      <c r="C253" s="25"/>
      <c r="D253" s="25"/>
      <c r="E253" s="27"/>
      <c r="F253" s="27"/>
      <c r="G253" s="25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5"/>
      <c r="B254" s="25"/>
      <c r="C254" s="25"/>
      <c r="D254" s="25"/>
      <c r="E254" s="27"/>
      <c r="F254" s="27"/>
      <c r="G254" s="25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5"/>
      <c r="B255" s="25"/>
      <c r="C255" s="25"/>
      <c r="D255" s="25"/>
      <c r="E255" s="27"/>
      <c r="F255" s="27"/>
      <c r="G255" s="25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5"/>
      <c r="B256" s="25"/>
      <c r="C256" s="25"/>
      <c r="D256" s="25"/>
      <c r="E256" s="27"/>
      <c r="F256" s="27"/>
      <c r="G256" s="25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5"/>
      <c r="B257" s="25"/>
      <c r="C257" s="25"/>
      <c r="D257" s="25"/>
      <c r="E257" s="27"/>
      <c r="F257" s="27"/>
      <c r="G257" s="25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5"/>
      <c r="B258" s="25"/>
      <c r="C258" s="25"/>
      <c r="D258" s="25"/>
      <c r="E258" s="27"/>
      <c r="F258" s="27"/>
      <c r="G258" s="25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5"/>
      <c r="B259" s="25"/>
      <c r="C259" s="25"/>
      <c r="D259" s="25"/>
      <c r="E259" s="27"/>
      <c r="F259" s="27"/>
      <c r="G259" s="25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5"/>
      <c r="B260" s="25"/>
      <c r="C260" s="25"/>
      <c r="D260" s="25"/>
      <c r="E260" s="27"/>
      <c r="F260" s="27"/>
      <c r="G260" s="25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5"/>
      <c r="B261" s="25"/>
      <c r="C261" s="25"/>
      <c r="D261" s="25"/>
      <c r="E261" s="27"/>
      <c r="F261" s="27"/>
      <c r="G261" s="25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5"/>
      <c r="B262" s="25"/>
      <c r="C262" s="25"/>
      <c r="D262" s="25"/>
      <c r="E262" s="27"/>
      <c r="F262" s="27"/>
      <c r="G262" s="25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5"/>
      <c r="B263" s="25"/>
      <c r="C263" s="25"/>
      <c r="D263" s="25"/>
      <c r="E263" s="27"/>
      <c r="F263" s="27"/>
      <c r="G263" s="25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5"/>
      <c r="B264" s="25"/>
      <c r="C264" s="25"/>
      <c r="D264" s="25"/>
      <c r="E264" s="27"/>
      <c r="F264" s="27"/>
      <c r="G264" s="25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5"/>
      <c r="B265" s="25"/>
      <c r="C265" s="25"/>
      <c r="D265" s="25"/>
      <c r="E265" s="27"/>
      <c r="F265" s="27"/>
      <c r="G265" s="25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5"/>
      <c r="B266" s="25"/>
      <c r="C266" s="25"/>
      <c r="D266" s="25"/>
      <c r="E266" s="27"/>
      <c r="F266" s="27"/>
      <c r="G266" s="25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5"/>
      <c r="B267" s="25"/>
      <c r="C267" s="25"/>
      <c r="D267" s="25"/>
      <c r="E267" s="27"/>
      <c r="F267" s="27"/>
      <c r="G267" s="25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5"/>
      <c r="B268" s="25"/>
      <c r="C268" s="25"/>
      <c r="D268" s="25"/>
      <c r="E268" s="27"/>
      <c r="F268" s="27"/>
      <c r="G268" s="25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5"/>
      <c r="B269" s="25"/>
      <c r="C269" s="25"/>
      <c r="D269" s="25"/>
      <c r="E269" s="27"/>
      <c r="F269" s="27"/>
      <c r="G269" s="25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5"/>
      <c r="B270" s="25"/>
      <c r="C270" s="25"/>
      <c r="D270" s="25"/>
      <c r="E270" s="27"/>
      <c r="F270" s="27"/>
      <c r="G270" s="25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5"/>
      <c r="B271" s="25"/>
      <c r="C271" s="25"/>
      <c r="D271" s="25"/>
      <c r="E271" s="27"/>
      <c r="F271" s="27"/>
      <c r="G271" s="25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5"/>
      <c r="B272" s="25"/>
      <c r="C272" s="25"/>
      <c r="D272" s="25"/>
      <c r="E272" s="27"/>
      <c r="F272" s="27"/>
      <c r="G272" s="25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5"/>
      <c r="B273" s="25"/>
      <c r="C273" s="25"/>
      <c r="D273" s="25"/>
      <c r="E273" s="27"/>
      <c r="F273" s="27"/>
      <c r="G273" s="25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5"/>
      <c r="B274" s="25"/>
      <c r="C274" s="25"/>
      <c r="D274" s="25"/>
      <c r="E274" s="27"/>
      <c r="F274" s="27"/>
      <c r="G274" s="25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5"/>
      <c r="B275" s="25"/>
      <c r="C275" s="25"/>
      <c r="D275" s="25"/>
      <c r="E275" s="27"/>
      <c r="F275" s="27"/>
      <c r="G275" s="25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5"/>
      <c r="B276" s="25"/>
      <c r="C276" s="25"/>
      <c r="D276" s="25"/>
      <c r="E276" s="27"/>
      <c r="F276" s="27"/>
      <c r="G276" s="25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5"/>
      <c r="B277" s="25"/>
      <c r="C277" s="25"/>
      <c r="D277" s="25"/>
      <c r="E277" s="27"/>
      <c r="F277" s="27"/>
      <c r="G277" s="25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5"/>
      <c r="B278" s="25"/>
      <c r="C278" s="25"/>
      <c r="D278" s="25"/>
      <c r="E278" s="27"/>
      <c r="F278" s="27"/>
      <c r="G278" s="25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5"/>
      <c r="B279" s="25"/>
      <c r="C279" s="25"/>
      <c r="D279" s="25"/>
      <c r="E279" s="27"/>
      <c r="F279" s="27"/>
      <c r="G279" s="25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5"/>
      <c r="B280" s="25"/>
      <c r="C280" s="25"/>
      <c r="D280" s="25"/>
      <c r="E280" s="27"/>
      <c r="F280" s="27"/>
      <c r="G280" s="25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5"/>
      <c r="B281" s="25"/>
      <c r="C281" s="25"/>
      <c r="D281" s="25"/>
      <c r="E281" s="27"/>
      <c r="F281" s="27"/>
      <c r="G281" s="25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5"/>
      <c r="B282" s="25"/>
      <c r="C282" s="25"/>
      <c r="D282" s="25"/>
      <c r="E282" s="27"/>
      <c r="F282" s="27"/>
      <c r="G282" s="25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5"/>
      <c r="B283" s="25"/>
      <c r="C283" s="25"/>
      <c r="D283" s="25"/>
      <c r="E283" s="27"/>
      <c r="F283" s="27"/>
      <c r="G283" s="25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5"/>
      <c r="B284" s="25"/>
      <c r="C284" s="25"/>
      <c r="D284" s="25"/>
      <c r="E284" s="27"/>
      <c r="F284" s="27"/>
      <c r="G284" s="25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5"/>
      <c r="B285" s="25"/>
      <c r="C285" s="25"/>
      <c r="D285" s="25"/>
      <c r="E285" s="27"/>
      <c r="F285" s="27"/>
      <c r="G285" s="25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5"/>
      <c r="B286" s="25"/>
      <c r="C286" s="25"/>
      <c r="D286" s="25"/>
      <c r="E286" s="27"/>
      <c r="F286" s="27"/>
      <c r="G286" s="25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5"/>
      <c r="B287" s="25"/>
      <c r="C287" s="25"/>
      <c r="D287" s="25"/>
      <c r="E287" s="27"/>
      <c r="F287" s="27"/>
      <c r="G287" s="25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5"/>
      <c r="B288" s="25"/>
      <c r="C288" s="25"/>
      <c r="D288" s="25"/>
      <c r="E288" s="27"/>
      <c r="F288" s="27"/>
      <c r="G288" s="25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5"/>
      <c r="B289" s="25"/>
      <c r="C289" s="25"/>
      <c r="D289" s="25"/>
      <c r="E289" s="27"/>
      <c r="F289" s="27"/>
      <c r="G289" s="25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5"/>
      <c r="B290" s="25"/>
      <c r="C290" s="25"/>
      <c r="D290" s="25"/>
      <c r="E290" s="27"/>
      <c r="F290" s="27"/>
      <c r="G290" s="25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5"/>
      <c r="B291" s="25"/>
      <c r="C291" s="25"/>
      <c r="D291" s="25"/>
      <c r="E291" s="27"/>
      <c r="F291" s="27"/>
      <c r="G291" s="25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5"/>
      <c r="B292" s="25"/>
      <c r="C292" s="25"/>
      <c r="D292" s="25"/>
      <c r="E292" s="27"/>
      <c r="F292" s="27"/>
      <c r="G292" s="25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5"/>
      <c r="B293" s="25"/>
      <c r="C293" s="25"/>
      <c r="D293" s="25"/>
      <c r="E293" s="27"/>
      <c r="F293" s="27"/>
      <c r="G293" s="25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5"/>
      <c r="B294" s="25"/>
      <c r="C294" s="25"/>
      <c r="D294" s="25"/>
      <c r="E294" s="27"/>
      <c r="F294" s="27"/>
      <c r="G294" s="25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5"/>
      <c r="B295" s="25"/>
      <c r="C295" s="25"/>
      <c r="D295" s="25"/>
      <c r="E295" s="27"/>
      <c r="F295" s="27"/>
      <c r="G295" s="25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5"/>
      <c r="B296" s="25"/>
      <c r="C296" s="25"/>
      <c r="D296" s="25"/>
      <c r="E296" s="27"/>
      <c r="F296" s="27"/>
      <c r="G296" s="25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5"/>
      <c r="B297" s="25"/>
      <c r="C297" s="25"/>
      <c r="D297" s="25"/>
      <c r="E297" s="27"/>
      <c r="F297" s="27"/>
      <c r="G297" s="25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5"/>
      <c r="B298" s="25"/>
      <c r="C298" s="25"/>
      <c r="D298" s="25"/>
      <c r="E298" s="27"/>
      <c r="F298" s="27"/>
      <c r="G298" s="25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5"/>
      <c r="B299" s="25"/>
      <c r="C299" s="25"/>
      <c r="D299" s="25"/>
      <c r="E299" s="27"/>
      <c r="F299" s="27"/>
      <c r="G299" s="25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5"/>
      <c r="B300" s="25"/>
      <c r="C300" s="25"/>
      <c r="D300" s="25"/>
      <c r="E300" s="27"/>
      <c r="F300" s="27"/>
      <c r="G300" s="25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5"/>
      <c r="B301" s="25"/>
      <c r="C301" s="25"/>
      <c r="D301" s="25"/>
      <c r="E301" s="27"/>
      <c r="F301" s="27"/>
      <c r="G301" s="25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5"/>
      <c r="B302" s="25"/>
      <c r="C302" s="25"/>
      <c r="D302" s="25"/>
      <c r="E302" s="27"/>
      <c r="F302" s="27"/>
      <c r="G302" s="25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5"/>
      <c r="B303" s="25"/>
      <c r="C303" s="25"/>
      <c r="D303" s="25"/>
      <c r="E303" s="27"/>
      <c r="F303" s="27"/>
      <c r="G303" s="25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5"/>
      <c r="B304" s="25"/>
      <c r="C304" s="25"/>
      <c r="D304" s="25"/>
      <c r="E304" s="27"/>
      <c r="F304" s="27"/>
      <c r="G304" s="25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5"/>
      <c r="B305" s="25"/>
      <c r="C305" s="25"/>
      <c r="D305" s="25"/>
      <c r="E305" s="27"/>
      <c r="F305" s="27"/>
      <c r="G305" s="25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5"/>
      <c r="B306" s="25"/>
      <c r="C306" s="25"/>
      <c r="D306" s="25"/>
      <c r="E306" s="27"/>
      <c r="F306" s="27"/>
      <c r="G306" s="25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5"/>
      <c r="B307" s="25"/>
      <c r="C307" s="25"/>
      <c r="D307" s="25"/>
      <c r="E307" s="27"/>
      <c r="F307" s="27"/>
      <c r="G307" s="25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5"/>
      <c r="B308" s="25"/>
      <c r="C308" s="25"/>
      <c r="D308" s="25"/>
      <c r="E308" s="27"/>
      <c r="F308" s="27"/>
      <c r="G308" s="25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5"/>
      <c r="B309" s="25"/>
      <c r="C309" s="25"/>
      <c r="D309" s="25"/>
      <c r="E309" s="27"/>
      <c r="F309" s="27"/>
      <c r="G309" s="25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5"/>
      <c r="B310" s="25"/>
      <c r="C310" s="25"/>
      <c r="D310" s="25"/>
      <c r="E310" s="27"/>
      <c r="F310" s="27"/>
      <c r="G310" s="25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5"/>
      <c r="B311" s="25"/>
      <c r="C311" s="25"/>
      <c r="D311" s="25"/>
      <c r="E311" s="27"/>
      <c r="F311" s="27"/>
      <c r="G311" s="25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5"/>
      <c r="B312" s="25"/>
      <c r="C312" s="25"/>
      <c r="D312" s="25"/>
      <c r="E312" s="27"/>
      <c r="F312" s="27"/>
      <c r="G312" s="25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5"/>
      <c r="B313" s="25"/>
      <c r="C313" s="25"/>
      <c r="D313" s="25"/>
      <c r="E313" s="27"/>
      <c r="F313" s="27"/>
      <c r="G313" s="25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5"/>
      <c r="B314" s="25"/>
      <c r="C314" s="25"/>
      <c r="D314" s="25"/>
      <c r="E314" s="27"/>
      <c r="F314" s="27"/>
      <c r="G314" s="25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5"/>
      <c r="B315" s="25"/>
      <c r="C315" s="25"/>
      <c r="D315" s="25"/>
      <c r="E315" s="27"/>
      <c r="F315" s="27"/>
      <c r="G315" s="25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5"/>
      <c r="B316" s="25"/>
      <c r="C316" s="25"/>
      <c r="D316" s="25"/>
      <c r="E316" s="27"/>
      <c r="F316" s="27"/>
      <c r="G316" s="25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5"/>
      <c r="B317" s="25"/>
      <c r="C317" s="25"/>
      <c r="D317" s="25"/>
      <c r="E317" s="27"/>
      <c r="F317" s="27"/>
      <c r="G317" s="25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5"/>
      <c r="B318" s="25"/>
      <c r="C318" s="25"/>
      <c r="D318" s="25"/>
      <c r="E318" s="27"/>
      <c r="F318" s="27"/>
      <c r="G318" s="25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5"/>
      <c r="B319" s="25"/>
      <c r="C319" s="25"/>
      <c r="D319" s="25"/>
      <c r="E319" s="27"/>
      <c r="F319" s="27"/>
      <c r="G319" s="25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5"/>
      <c r="B320" s="25"/>
      <c r="C320" s="25"/>
      <c r="D320" s="25"/>
      <c r="E320" s="27"/>
      <c r="F320" s="27"/>
      <c r="G320" s="25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5"/>
      <c r="B321" s="25"/>
      <c r="C321" s="25"/>
      <c r="D321" s="25"/>
      <c r="E321" s="27"/>
      <c r="F321" s="27"/>
      <c r="G321" s="25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5"/>
      <c r="B322" s="25"/>
      <c r="C322" s="25"/>
      <c r="D322" s="25"/>
      <c r="E322" s="27"/>
      <c r="F322" s="27"/>
      <c r="G322" s="25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5"/>
      <c r="B323" s="25"/>
      <c r="C323" s="25"/>
      <c r="D323" s="25"/>
      <c r="E323" s="27"/>
      <c r="F323" s="27"/>
      <c r="G323" s="25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5"/>
      <c r="B324" s="25"/>
      <c r="C324" s="25"/>
      <c r="D324" s="25"/>
      <c r="E324" s="27"/>
      <c r="F324" s="27"/>
      <c r="G324" s="25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5"/>
      <c r="B325" s="25"/>
      <c r="C325" s="25"/>
      <c r="D325" s="25"/>
      <c r="E325" s="27"/>
      <c r="F325" s="27"/>
      <c r="G325" s="25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5"/>
      <c r="B326" s="25"/>
      <c r="C326" s="25"/>
      <c r="D326" s="25"/>
      <c r="E326" s="27"/>
      <c r="F326" s="27"/>
      <c r="G326" s="25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5"/>
      <c r="B327" s="25"/>
      <c r="C327" s="25"/>
      <c r="D327" s="25"/>
      <c r="E327" s="27"/>
      <c r="F327" s="27"/>
      <c r="G327" s="25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5"/>
      <c r="B328" s="25"/>
      <c r="C328" s="25"/>
      <c r="D328" s="25"/>
      <c r="E328" s="27"/>
      <c r="F328" s="27"/>
      <c r="G328" s="25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5"/>
      <c r="B329" s="25"/>
      <c r="C329" s="25"/>
      <c r="D329" s="25"/>
      <c r="E329" s="27"/>
      <c r="F329" s="27"/>
      <c r="G329" s="25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5"/>
      <c r="B330" s="25"/>
      <c r="C330" s="25"/>
      <c r="D330" s="25"/>
      <c r="E330" s="27"/>
      <c r="F330" s="27"/>
      <c r="G330" s="25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5"/>
      <c r="B331" s="25"/>
      <c r="C331" s="25"/>
      <c r="D331" s="25"/>
      <c r="E331" s="27"/>
      <c r="F331" s="27"/>
      <c r="G331" s="25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5"/>
      <c r="B332" s="25"/>
      <c r="C332" s="25"/>
      <c r="D332" s="25"/>
      <c r="E332" s="27"/>
      <c r="F332" s="27"/>
      <c r="G332" s="25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5"/>
      <c r="B333" s="25"/>
      <c r="C333" s="25"/>
      <c r="D333" s="25"/>
      <c r="E333" s="27"/>
      <c r="F333" s="27"/>
      <c r="G333" s="25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5"/>
      <c r="B334" s="25"/>
      <c r="C334" s="25"/>
      <c r="D334" s="25"/>
      <c r="E334" s="27"/>
      <c r="F334" s="27"/>
      <c r="G334" s="25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5"/>
      <c r="B335" s="25"/>
      <c r="C335" s="25"/>
      <c r="D335" s="25"/>
      <c r="E335" s="27"/>
      <c r="F335" s="27"/>
      <c r="G335" s="25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5"/>
      <c r="B336" s="25"/>
      <c r="C336" s="25"/>
      <c r="D336" s="25"/>
      <c r="E336" s="27"/>
      <c r="F336" s="27"/>
      <c r="G336" s="25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5"/>
      <c r="B337" s="25"/>
      <c r="C337" s="25"/>
      <c r="D337" s="25"/>
      <c r="E337" s="27"/>
      <c r="F337" s="27"/>
      <c r="G337" s="25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5"/>
      <c r="B338" s="25"/>
      <c r="C338" s="25"/>
      <c r="D338" s="25"/>
      <c r="E338" s="27"/>
      <c r="F338" s="27"/>
      <c r="G338" s="25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5"/>
      <c r="B339" s="25"/>
      <c r="C339" s="25"/>
      <c r="D339" s="25"/>
      <c r="E339" s="27"/>
      <c r="F339" s="27"/>
      <c r="G339" s="25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5"/>
      <c r="B340" s="25"/>
      <c r="C340" s="25"/>
      <c r="D340" s="25"/>
      <c r="E340" s="27"/>
      <c r="F340" s="27"/>
      <c r="G340" s="25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5"/>
      <c r="B341" s="25"/>
      <c r="C341" s="25"/>
      <c r="D341" s="25"/>
      <c r="E341" s="27"/>
      <c r="F341" s="27"/>
      <c r="G341" s="25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5"/>
      <c r="B342" s="25"/>
      <c r="C342" s="25"/>
      <c r="D342" s="25"/>
      <c r="E342" s="27"/>
      <c r="F342" s="27"/>
      <c r="G342" s="25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5"/>
      <c r="B343" s="25"/>
      <c r="C343" s="25"/>
      <c r="D343" s="25"/>
      <c r="E343" s="27"/>
      <c r="F343" s="27"/>
      <c r="G343" s="25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5"/>
      <c r="B344" s="25"/>
      <c r="C344" s="25"/>
      <c r="D344" s="25"/>
      <c r="E344" s="27"/>
      <c r="F344" s="27"/>
      <c r="G344" s="25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5"/>
      <c r="B345" s="25"/>
      <c r="C345" s="25"/>
      <c r="D345" s="25"/>
      <c r="E345" s="27"/>
      <c r="F345" s="27"/>
      <c r="G345" s="25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5"/>
      <c r="B346" s="25"/>
      <c r="C346" s="25"/>
      <c r="D346" s="25"/>
      <c r="E346" s="27"/>
      <c r="F346" s="27"/>
      <c r="G346" s="25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5"/>
      <c r="B347" s="25"/>
      <c r="C347" s="25"/>
      <c r="D347" s="25"/>
      <c r="E347" s="27"/>
      <c r="F347" s="27"/>
      <c r="G347" s="25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5"/>
      <c r="B348" s="25"/>
      <c r="C348" s="25"/>
      <c r="D348" s="25"/>
      <c r="E348" s="27"/>
      <c r="F348" s="27"/>
      <c r="G348" s="25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5"/>
      <c r="B349" s="25"/>
      <c r="C349" s="25"/>
      <c r="D349" s="25"/>
      <c r="E349" s="27"/>
      <c r="F349" s="27"/>
      <c r="G349" s="25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5"/>
      <c r="B350" s="25"/>
      <c r="C350" s="25"/>
      <c r="D350" s="25"/>
      <c r="E350" s="27"/>
      <c r="F350" s="27"/>
      <c r="G350" s="25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5"/>
      <c r="B351" s="25"/>
      <c r="C351" s="25"/>
      <c r="D351" s="25"/>
      <c r="E351" s="27"/>
      <c r="F351" s="27"/>
      <c r="G351" s="25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5"/>
      <c r="B352" s="25"/>
      <c r="C352" s="25"/>
      <c r="D352" s="25"/>
      <c r="E352" s="27"/>
      <c r="F352" s="27"/>
      <c r="G352" s="25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5"/>
      <c r="B353" s="25"/>
      <c r="C353" s="25"/>
      <c r="D353" s="25"/>
      <c r="E353" s="27"/>
      <c r="F353" s="27"/>
      <c r="G353" s="25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5"/>
      <c r="B354" s="25"/>
      <c r="C354" s="25"/>
      <c r="D354" s="25"/>
      <c r="E354" s="27"/>
      <c r="F354" s="27"/>
      <c r="G354" s="25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5"/>
      <c r="B355" s="25"/>
      <c r="C355" s="25"/>
      <c r="D355" s="25"/>
      <c r="E355" s="27"/>
      <c r="F355" s="27"/>
      <c r="G355" s="25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5"/>
      <c r="B356" s="25"/>
      <c r="C356" s="25"/>
      <c r="D356" s="25"/>
      <c r="E356" s="27"/>
      <c r="F356" s="27"/>
      <c r="G356" s="25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5"/>
      <c r="B357" s="25"/>
      <c r="C357" s="25"/>
      <c r="D357" s="25"/>
      <c r="E357" s="27"/>
      <c r="F357" s="27"/>
      <c r="G357" s="25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5"/>
      <c r="B358" s="25"/>
      <c r="C358" s="25"/>
      <c r="D358" s="25"/>
      <c r="E358" s="27"/>
      <c r="F358" s="27"/>
      <c r="G358" s="25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5"/>
      <c r="B359" s="25"/>
      <c r="C359" s="25"/>
      <c r="D359" s="25"/>
      <c r="E359" s="27"/>
      <c r="F359" s="27"/>
      <c r="G359" s="25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5"/>
      <c r="B360" s="25"/>
      <c r="C360" s="25"/>
      <c r="D360" s="25"/>
      <c r="E360" s="27"/>
      <c r="F360" s="27"/>
      <c r="G360" s="25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5"/>
      <c r="B361" s="25"/>
      <c r="C361" s="25"/>
      <c r="D361" s="25"/>
      <c r="E361" s="27"/>
      <c r="F361" s="27"/>
      <c r="G361" s="25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5"/>
      <c r="B362" s="25"/>
      <c r="C362" s="25"/>
      <c r="D362" s="25"/>
      <c r="E362" s="27"/>
      <c r="F362" s="27"/>
      <c r="G362" s="25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5"/>
      <c r="B363" s="25"/>
      <c r="C363" s="25"/>
      <c r="D363" s="25"/>
      <c r="E363" s="27"/>
      <c r="F363" s="27"/>
      <c r="G363" s="25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5"/>
      <c r="B364" s="25"/>
      <c r="C364" s="25"/>
      <c r="D364" s="25"/>
      <c r="E364" s="27"/>
      <c r="F364" s="27"/>
      <c r="G364" s="25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5"/>
      <c r="B365" s="25"/>
      <c r="C365" s="25"/>
      <c r="D365" s="25"/>
      <c r="E365" s="27"/>
      <c r="F365" s="27"/>
      <c r="G365" s="25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5"/>
      <c r="B366" s="25"/>
      <c r="C366" s="25"/>
      <c r="D366" s="25"/>
      <c r="E366" s="27"/>
      <c r="F366" s="27"/>
      <c r="G366" s="25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5"/>
      <c r="B367" s="25"/>
      <c r="C367" s="25"/>
      <c r="D367" s="25"/>
      <c r="E367" s="27"/>
      <c r="F367" s="27"/>
      <c r="G367" s="25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5"/>
      <c r="B368" s="25"/>
      <c r="C368" s="25"/>
      <c r="D368" s="25"/>
      <c r="E368" s="27"/>
      <c r="F368" s="27"/>
      <c r="G368" s="25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5"/>
      <c r="B369" s="25"/>
      <c r="C369" s="25"/>
      <c r="D369" s="25"/>
      <c r="E369" s="27"/>
      <c r="F369" s="27"/>
      <c r="G369" s="25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5"/>
      <c r="B370" s="25"/>
      <c r="C370" s="25"/>
      <c r="D370" s="25"/>
      <c r="E370" s="27"/>
      <c r="F370" s="27"/>
      <c r="G370" s="25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5"/>
      <c r="B371" s="25"/>
      <c r="C371" s="25"/>
      <c r="D371" s="25"/>
      <c r="E371" s="27"/>
      <c r="F371" s="27"/>
      <c r="G371" s="25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5"/>
      <c r="B372" s="25"/>
      <c r="C372" s="25"/>
      <c r="D372" s="25"/>
      <c r="E372" s="27"/>
      <c r="F372" s="27"/>
      <c r="G372" s="25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5"/>
      <c r="B373" s="25"/>
      <c r="C373" s="25"/>
      <c r="D373" s="25"/>
      <c r="E373" s="27"/>
      <c r="F373" s="27"/>
      <c r="G373" s="25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5"/>
      <c r="B374" s="25"/>
      <c r="C374" s="25"/>
      <c r="D374" s="25"/>
      <c r="E374" s="27"/>
      <c r="F374" s="27"/>
      <c r="G374" s="25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5"/>
      <c r="B375" s="25"/>
      <c r="C375" s="25"/>
      <c r="D375" s="25"/>
      <c r="E375" s="27"/>
      <c r="F375" s="27"/>
      <c r="G375" s="25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5"/>
      <c r="B376" s="25"/>
      <c r="C376" s="25"/>
      <c r="D376" s="25"/>
      <c r="E376" s="27"/>
      <c r="F376" s="27"/>
      <c r="G376" s="25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5"/>
      <c r="B377" s="25"/>
      <c r="C377" s="25"/>
      <c r="D377" s="25"/>
      <c r="E377" s="27"/>
      <c r="F377" s="27"/>
      <c r="G377" s="25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5"/>
      <c r="B378" s="25"/>
      <c r="C378" s="25"/>
      <c r="D378" s="25"/>
      <c r="E378" s="27"/>
      <c r="F378" s="27"/>
      <c r="G378" s="25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5"/>
      <c r="B379" s="25"/>
      <c r="C379" s="25"/>
      <c r="D379" s="25"/>
      <c r="E379" s="27"/>
      <c r="F379" s="27"/>
      <c r="G379" s="25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5"/>
      <c r="B380" s="25"/>
      <c r="C380" s="25"/>
      <c r="D380" s="25"/>
      <c r="E380" s="27"/>
      <c r="F380" s="27"/>
      <c r="G380" s="25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5"/>
      <c r="B381" s="25"/>
      <c r="C381" s="25"/>
      <c r="D381" s="25"/>
      <c r="E381" s="27"/>
      <c r="F381" s="27"/>
      <c r="G381" s="25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5"/>
      <c r="B382" s="25"/>
      <c r="C382" s="25"/>
      <c r="D382" s="25"/>
      <c r="E382" s="27"/>
      <c r="F382" s="27"/>
      <c r="G382" s="25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5"/>
      <c r="B383" s="25"/>
      <c r="C383" s="25"/>
      <c r="D383" s="25"/>
      <c r="E383" s="27"/>
      <c r="F383" s="27"/>
      <c r="G383" s="25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5"/>
      <c r="B384" s="25"/>
      <c r="C384" s="25"/>
      <c r="D384" s="25"/>
      <c r="E384" s="27"/>
      <c r="F384" s="27"/>
      <c r="G384" s="25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5"/>
      <c r="B385" s="25"/>
      <c r="C385" s="25"/>
      <c r="D385" s="25"/>
      <c r="E385" s="27"/>
      <c r="F385" s="27"/>
      <c r="G385" s="25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5"/>
      <c r="B386" s="25"/>
      <c r="C386" s="25"/>
      <c r="D386" s="25"/>
      <c r="E386" s="27"/>
      <c r="F386" s="27"/>
      <c r="G386" s="25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5"/>
      <c r="B387" s="25"/>
      <c r="C387" s="25"/>
      <c r="D387" s="25"/>
      <c r="E387" s="27"/>
      <c r="F387" s="27"/>
      <c r="G387" s="25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5"/>
      <c r="B388" s="25"/>
      <c r="C388" s="25"/>
      <c r="D388" s="25"/>
      <c r="E388" s="27"/>
      <c r="F388" s="27"/>
      <c r="G388" s="25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5"/>
      <c r="B389" s="25"/>
      <c r="C389" s="25"/>
      <c r="D389" s="25"/>
      <c r="E389" s="27"/>
      <c r="F389" s="27"/>
      <c r="G389" s="25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5"/>
      <c r="B390" s="25"/>
      <c r="C390" s="25"/>
      <c r="D390" s="25"/>
      <c r="E390" s="27"/>
      <c r="F390" s="27"/>
      <c r="G390" s="25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5"/>
      <c r="B391" s="25"/>
      <c r="C391" s="25"/>
      <c r="D391" s="25"/>
      <c r="E391" s="27"/>
      <c r="F391" s="27"/>
      <c r="G391" s="25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5"/>
      <c r="B392" s="25"/>
      <c r="C392" s="25"/>
      <c r="D392" s="25"/>
      <c r="E392" s="27"/>
      <c r="F392" s="27"/>
      <c r="G392" s="25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5"/>
      <c r="B393" s="25"/>
      <c r="C393" s="25"/>
      <c r="D393" s="25"/>
      <c r="E393" s="27"/>
      <c r="F393" s="27"/>
      <c r="G393" s="25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5"/>
      <c r="B394" s="25"/>
      <c r="C394" s="25"/>
      <c r="D394" s="25"/>
      <c r="E394" s="27"/>
      <c r="F394" s="27"/>
      <c r="G394" s="25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5"/>
      <c r="B395" s="25"/>
      <c r="C395" s="25"/>
      <c r="D395" s="25"/>
      <c r="E395" s="27"/>
      <c r="F395" s="27"/>
      <c r="G395" s="25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5"/>
      <c r="B396" s="25"/>
      <c r="C396" s="25"/>
      <c r="D396" s="25"/>
      <c r="E396" s="27"/>
      <c r="F396" s="27"/>
      <c r="G396" s="25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5"/>
      <c r="B397" s="25"/>
      <c r="C397" s="25"/>
      <c r="D397" s="25"/>
      <c r="E397" s="27"/>
      <c r="F397" s="27"/>
      <c r="G397" s="25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5"/>
      <c r="B398" s="25"/>
      <c r="C398" s="25"/>
      <c r="D398" s="25"/>
      <c r="E398" s="27"/>
      <c r="F398" s="27"/>
      <c r="G398" s="25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5"/>
      <c r="B399" s="25"/>
      <c r="C399" s="25"/>
      <c r="D399" s="25"/>
      <c r="E399" s="27"/>
      <c r="F399" s="27"/>
      <c r="G399" s="25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5"/>
      <c r="B400" s="25"/>
      <c r="C400" s="25"/>
      <c r="D400" s="25"/>
      <c r="E400" s="27"/>
      <c r="F400" s="27"/>
      <c r="G400" s="25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5"/>
      <c r="B401" s="25"/>
      <c r="C401" s="25"/>
      <c r="D401" s="25"/>
      <c r="E401" s="27"/>
      <c r="F401" s="27"/>
      <c r="G401" s="25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5"/>
      <c r="B402" s="25"/>
      <c r="C402" s="25"/>
      <c r="D402" s="25"/>
      <c r="E402" s="27"/>
      <c r="F402" s="27"/>
      <c r="G402" s="25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5"/>
      <c r="B403" s="25"/>
      <c r="C403" s="25"/>
      <c r="D403" s="25"/>
      <c r="E403" s="27"/>
      <c r="F403" s="27"/>
      <c r="G403" s="25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5"/>
      <c r="B404" s="25"/>
      <c r="C404" s="25"/>
      <c r="D404" s="25"/>
      <c r="E404" s="27"/>
      <c r="F404" s="27"/>
      <c r="G404" s="25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5"/>
      <c r="B405" s="25"/>
      <c r="C405" s="25"/>
      <c r="D405" s="25"/>
      <c r="E405" s="27"/>
      <c r="F405" s="27"/>
      <c r="G405" s="25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5"/>
      <c r="B406" s="25"/>
      <c r="C406" s="25"/>
      <c r="D406" s="25"/>
      <c r="E406" s="27"/>
      <c r="F406" s="27"/>
      <c r="G406" s="25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5"/>
      <c r="B407" s="25"/>
      <c r="C407" s="25"/>
      <c r="D407" s="25"/>
      <c r="E407" s="27"/>
      <c r="F407" s="27"/>
      <c r="G407" s="25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5"/>
      <c r="B408" s="25"/>
      <c r="C408" s="25"/>
      <c r="D408" s="25"/>
      <c r="E408" s="27"/>
      <c r="F408" s="27"/>
      <c r="G408" s="25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5"/>
      <c r="B409" s="25"/>
      <c r="C409" s="25"/>
      <c r="D409" s="25"/>
      <c r="E409" s="27"/>
      <c r="F409" s="27"/>
      <c r="G409" s="25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5"/>
      <c r="B410" s="25"/>
      <c r="C410" s="25"/>
      <c r="D410" s="25"/>
      <c r="E410" s="27"/>
      <c r="F410" s="27"/>
      <c r="G410" s="25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5"/>
      <c r="B411" s="25"/>
      <c r="C411" s="25"/>
      <c r="D411" s="25"/>
      <c r="E411" s="27"/>
      <c r="F411" s="27"/>
      <c r="G411" s="25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5"/>
      <c r="B412" s="25"/>
      <c r="C412" s="25"/>
      <c r="D412" s="25"/>
      <c r="E412" s="27"/>
      <c r="F412" s="27"/>
      <c r="G412" s="25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5"/>
      <c r="B413" s="25"/>
      <c r="C413" s="25"/>
      <c r="D413" s="25"/>
      <c r="E413" s="27"/>
      <c r="F413" s="27"/>
      <c r="G413" s="25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5"/>
      <c r="B414" s="25"/>
      <c r="C414" s="25"/>
      <c r="D414" s="25"/>
      <c r="E414" s="27"/>
      <c r="F414" s="27"/>
      <c r="G414" s="25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5"/>
      <c r="B415" s="25"/>
      <c r="C415" s="25"/>
      <c r="D415" s="25"/>
      <c r="E415" s="27"/>
      <c r="F415" s="27"/>
      <c r="G415" s="25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5"/>
      <c r="B416" s="25"/>
      <c r="C416" s="25"/>
      <c r="D416" s="25"/>
      <c r="E416" s="27"/>
      <c r="F416" s="27"/>
      <c r="G416" s="25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5"/>
      <c r="B417" s="25"/>
      <c r="C417" s="25"/>
      <c r="D417" s="25"/>
      <c r="E417" s="27"/>
      <c r="F417" s="27"/>
      <c r="G417" s="25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5"/>
      <c r="B418" s="25"/>
      <c r="C418" s="25"/>
      <c r="D418" s="25"/>
      <c r="E418" s="27"/>
      <c r="F418" s="27"/>
      <c r="G418" s="25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5"/>
      <c r="B419" s="25"/>
      <c r="C419" s="25"/>
      <c r="D419" s="25"/>
      <c r="E419" s="27"/>
      <c r="F419" s="27"/>
      <c r="G419" s="25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5"/>
      <c r="B420" s="25"/>
      <c r="C420" s="25"/>
      <c r="D420" s="25"/>
      <c r="E420" s="27"/>
      <c r="F420" s="27"/>
      <c r="G420" s="25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5"/>
      <c r="B421" s="25"/>
      <c r="C421" s="25"/>
      <c r="D421" s="25"/>
      <c r="E421" s="27"/>
      <c r="F421" s="27"/>
      <c r="G421" s="25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5"/>
      <c r="B422" s="25"/>
      <c r="C422" s="25"/>
      <c r="D422" s="25"/>
      <c r="E422" s="27"/>
      <c r="F422" s="27"/>
      <c r="G422" s="25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5"/>
      <c r="B423" s="25"/>
      <c r="C423" s="25"/>
      <c r="D423" s="25"/>
      <c r="E423" s="27"/>
      <c r="F423" s="27"/>
      <c r="G423" s="25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5"/>
      <c r="B424" s="25"/>
      <c r="C424" s="25"/>
      <c r="D424" s="25"/>
      <c r="E424" s="27"/>
      <c r="F424" s="27"/>
      <c r="G424" s="25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5"/>
      <c r="B425" s="25"/>
      <c r="C425" s="25"/>
      <c r="D425" s="25"/>
      <c r="E425" s="27"/>
      <c r="F425" s="27"/>
      <c r="G425" s="25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5"/>
      <c r="B426" s="25"/>
      <c r="C426" s="25"/>
      <c r="D426" s="25"/>
      <c r="E426" s="27"/>
      <c r="F426" s="27"/>
      <c r="G426" s="25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5"/>
      <c r="B427" s="25"/>
      <c r="C427" s="25"/>
      <c r="D427" s="25"/>
      <c r="E427" s="27"/>
      <c r="F427" s="27"/>
      <c r="G427" s="25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5"/>
      <c r="B428" s="25"/>
      <c r="C428" s="25"/>
      <c r="D428" s="25"/>
      <c r="E428" s="27"/>
      <c r="F428" s="27"/>
      <c r="G428" s="25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5"/>
      <c r="B429" s="25"/>
      <c r="C429" s="25"/>
      <c r="D429" s="25"/>
      <c r="E429" s="27"/>
      <c r="F429" s="27"/>
      <c r="G429" s="25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5"/>
      <c r="B430" s="25"/>
      <c r="C430" s="25"/>
      <c r="D430" s="25"/>
      <c r="E430" s="27"/>
      <c r="F430" s="27"/>
      <c r="G430" s="25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5"/>
      <c r="B431" s="25"/>
      <c r="C431" s="25"/>
      <c r="D431" s="25"/>
      <c r="E431" s="27"/>
      <c r="F431" s="27"/>
      <c r="G431" s="25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5"/>
      <c r="B432" s="25"/>
      <c r="C432" s="25"/>
      <c r="D432" s="25"/>
      <c r="E432" s="27"/>
      <c r="F432" s="27"/>
      <c r="G432" s="25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5"/>
      <c r="B433" s="25"/>
      <c r="C433" s="25"/>
      <c r="D433" s="25"/>
      <c r="E433" s="27"/>
      <c r="F433" s="27"/>
      <c r="G433" s="25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5"/>
      <c r="B434" s="25"/>
      <c r="C434" s="25"/>
      <c r="D434" s="25"/>
      <c r="E434" s="27"/>
      <c r="F434" s="27"/>
      <c r="G434" s="25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5"/>
      <c r="B435" s="25"/>
      <c r="C435" s="25"/>
      <c r="D435" s="25"/>
      <c r="E435" s="27"/>
      <c r="F435" s="27"/>
      <c r="G435" s="25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5"/>
      <c r="B436" s="25"/>
      <c r="C436" s="25"/>
      <c r="D436" s="25"/>
      <c r="E436" s="27"/>
      <c r="F436" s="27"/>
      <c r="G436" s="25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5"/>
      <c r="B437" s="25"/>
      <c r="C437" s="25"/>
      <c r="D437" s="25"/>
      <c r="E437" s="27"/>
      <c r="F437" s="27"/>
      <c r="G437" s="25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5"/>
      <c r="B438" s="25"/>
      <c r="C438" s="25"/>
      <c r="D438" s="25"/>
      <c r="E438" s="27"/>
      <c r="F438" s="27"/>
      <c r="G438" s="25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5"/>
      <c r="B439" s="25"/>
      <c r="C439" s="25"/>
      <c r="D439" s="25"/>
      <c r="E439" s="27"/>
      <c r="F439" s="27"/>
      <c r="G439" s="25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5"/>
      <c r="B440" s="25"/>
      <c r="C440" s="25"/>
      <c r="D440" s="25"/>
      <c r="E440" s="27"/>
      <c r="F440" s="27"/>
      <c r="G440" s="25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5"/>
      <c r="B441" s="25"/>
      <c r="C441" s="25"/>
      <c r="D441" s="25"/>
      <c r="E441" s="27"/>
      <c r="F441" s="27"/>
      <c r="G441" s="25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5"/>
      <c r="B442" s="25"/>
      <c r="C442" s="25"/>
      <c r="D442" s="25"/>
      <c r="E442" s="27"/>
      <c r="F442" s="27"/>
      <c r="G442" s="25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5"/>
      <c r="B443" s="25"/>
      <c r="C443" s="25"/>
      <c r="D443" s="25"/>
      <c r="E443" s="27"/>
      <c r="F443" s="27"/>
      <c r="G443" s="25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5"/>
      <c r="B444" s="25"/>
      <c r="C444" s="25"/>
      <c r="D444" s="25"/>
      <c r="E444" s="27"/>
      <c r="F444" s="27"/>
      <c r="G444" s="25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5"/>
      <c r="B445" s="25"/>
      <c r="C445" s="25"/>
      <c r="D445" s="25"/>
      <c r="E445" s="27"/>
      <c r="F445" s="27"/>
      <c r="G445" s="25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5"/>
      <c r="B446" s="25"/>
      <c r="C446" s="25"/>
      <c r="D446" s="25"/>
      <c r="E446" s="27"/>
      <c r="F446" s="27"/>
      <c r="G446" s="25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5"/>
      <c r="B447" s="25"/>
      <c r="C447" s="25"/>
      <c r="D447" s="25"/>
      <c r="E447" s="27"/>
      <c r="F447" s="27"/>
      <c r="G447" s="25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5"/>
      <c r="B448" s="25"/>
      <c r="C448" s="25"/>
      <c r="D448" s="25"/>
      <c r="E448" s="27"/>
      <c r="F448" s="27"/>
      <c r="G448" s="25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5"/>
      <c r="B449" s="25"/>
      <c r="C449" s="25"/>
      <c r="D449" s="25"/>
      <c r="E449" s="27"/>
      <c r="F449" s="27"/>
      <c r="G449" s="25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5"/>
      <c r="B450" s="25"/>
      <c r="C450" s="25"/>
      <c r="D450" s="25"/>
      <c r="E450" s="27"/>
      <c r="F450" s="27"/>
      <c r="G450" s="25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5"/>
      <c r="B451" s="25"/>
      <c r="C451" s="25"/>
      <c r="D451" s="25"/>
      <c r="E451" s="27"/>
      <c r="F451" s="27"/>
      <c r="G451" s="25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5"/>
      <c r="B452" s="25"/>
      <c r="C452" s="25"/>
      <c r="D452" s="25"/>
      <c r="E452" s="27"/>
      <c r="F452" s="27"/>
      <c r="G452" s="25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5"/>
      <c r="B453" s="25"/>
      <c r="C453" s="25"/>
      <c r="D453" s="25"/>
      <c r="E453" s="27"/>
      <c r="F453" s="27"/>
      <c r="G453" s="25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5"/>
      <c r="B454" s="25"/>
      <c r="C454" s="25"/>
      <c r="D454" s="25"/>
      <c r="E454" s="27"/>
      <c r="F454" s="27"/>
      <c r="G454" s="25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5"/>
      <c r="B455" s="25"/>
      <c r="C455" s="25"/>
      <c r="D455" s="25"/>
      <c r="E455" s="27"/>
      <c r="F455" s="27"/>
      <c r="G455" s="25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5"/>
      <c r="B456" s="25"/>
      <c r="C456" s="25"/>
      <c r="D456" s="25"/>
      <c r="E456" s="27"/>
      <c r="F456" s="27"/>
      <c r="G456" s="25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5"/>
      <c r="B457" s="25"/>
      <c r="C457" s="25"/>
      <c r="D457" s="25"/>
      <c r="E457" s="27"/>
      <c r="F457" s="27"/>
      <c r="G457" s="25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5"/>
      <c r="B458" s="25"/>
      <c r="C458" s="25"/>
      <c r="D458" s="25"/>
      <c r="E458" s="27"/>
      <c r="F458" s="27"/>
      <c r="G458" s="25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5"/>
      <c r="B459" s="25"/>
      <c r="C459" s="25"/>
      <c r="D459" s="25"/>
      <c r="E459" s="27"/>
      <c r="F459" s="27"/>
      <c r="G459" s="25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5"/>
      <c r="B460" s="25"/>
      <c r="C460" s="25"/>
      <c r="D460" s="25"/>
      <c r="E460" s="27"/>
      <c r="F460" s="27"/>
      <c r="G460" s="25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5"/>
      <c r="B461" s="25"/>
      <c r="C461" s="25"/>
      <c r="D461" s="25"/>
      <c r="E461" s="27"/>
      <c r="F461" s="27"/>
      <c r="G461" s="25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5"/>
      <c r="B462" s="25"/>
      <c r="C462" s="25"/>
      <c r="D462" s="25"/>
      <c r="E462" s="27"/>
      <c r="F462" s="27"/>
      <c r="G462" s="25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5"/>
      <c r="B463" s="25"/>
      <c r="C463" s="25"/>
      <c r="D463" s="25"/>
      <c r="E463" s="27"/>
      <c r="F463" s="27"/>
      <c r="G463" s="25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5"/>
      <c r="B464" s="25"/>
      <c r="C464" s="25"/>
      <c r="D464" s="25"/>
      <c r="E464" s="27"/>
      <c r="F464" s="27"/>
      <c r="G464" s="25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5"/>
      <c r="B465" s="25"/>
      <c r="C465" s="25"/>
      <c r="D465" s="25"/>
      <c r="E465" s="27"/>
      <c r="F465" s="27"/>
      <c r="G465" s="25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5"/>
      <c r="B466" s="25"/>
      <c r="C466" s="25"/>
      <c r="D466" s="25"/>
      <c r="E466" s="27"/>
      <c r="F466" s="27"/>
      <c r="G466" s="25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5"/>
      <c r="B467" s="25"/>
      <c r="C467" s="25"/>
      <c r="D467" s="25"/>
      <c r="E467" s="27"/>
      <c r="F467" s="27"/>
      <c r="G467" s="25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5"/>
      <c r="B468" s="25"/>
      <c r="C468" s="25"/>
      <c r="D468" s="25"/>
      <c r="E468" s="27"/>
      <c r="F468" s="27"/>
      <c r="G468" s="25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5"/>
      <c r="B469" s="25"/>
      <c r="C469" s="25"/>
      <c r="D469" s="25"/>
      <c r="E469" s="27"/>
      <c r="F469" s="27"/>
      <c r="G469" s="25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5"/>
      <c r="B470" s="25"/>
      <c r="C470" s="25"/>
      <c r="D470" s="25"/>
      <c r="E470" s="27"/>
      <c r="F470" s="27"/>
      <c r="G470" s="25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5"/>
      <c r="B471" s="25"/>
      <c r="C471" s="25"/>
      <c r="D471" s="25"/>
      <c r="E471" s="27"/>
      <c r="F471" s="27"/>
      <c r="G471" s="25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5"/>
      <c r="B472" s="25"/>
      <c r="C472" s="25"/>
      <c r="D472" s="25"/>
      <c r="E472" s="27"/>
      <c r="F472" s="27"/>
      <c r="G472" s="25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5"/>
      <c r="B473" s="25"/>
      <c r="C473" s="25"/>
      <c r="D473" s="25"/>
      <c r="E473" s="27"/>
      <c r="F473" s="27"/>
      <c r="G473" s="25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5"/>
      <c r="B474" s="25"/>
      <c r="C474" s="25"/>
      <c r="D474" s="25"/>
      <c r="E474" s="27"/>
      <c r="F474" s="27"/>
      <c r="G474" s="25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5"/>
      <c r="B475" s="25"/>
      <c r="C475" s="25"/>
      <c r="D475" s="25"/>
      <c r="E475" s="27"/>
      <c r="F475" s="27"/>
      <c r="G475" s="25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5"/>
      <c r="B476" s="25"/>
      <c r="C476" s="25"/>
      <c r="D476" s="25"/>
      <c r="E476" s="27"/>
      <c r="F476" s="27"/>
      <c r="G476" s="25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5"/>
      <c r="B477" s="25"/>
      <c r="C477" s="25"/>
      <c r="D477" s="25"/>
      <c r="E477" s="27"/>
      <c r="F477" s="27"/>
      <c r="G477" s="25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5"/>
      <c r="B478" s="25"/>
      <c r="C478" s="25"/>
      <c r="D478" s="25"/>
      <c r="E478" s="27"/>
      <c r="F478" s="27"/>
      <c r="G478" s="25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5"/>
      <c r="B479" s="25"/>
      <c r="C479" s="25"/>
      <c r="D479" s="25"/>
      <c r="E479" s="27"/>
      <c r="F479" s="27"/>
      <c r="G479" s="25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5"/>
      <c r="B480" s="25"/>
      <c r="C480" s="25"/>
      <c r="D480" s="25"/>
      <c r="E480" s="27"/>
      <c r="F480" s="27"/>
      <c r="G480" s="25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5"/>
      <c r="B481" s="25"/>
      <c r="C481" s="25"/>
      <c r="D481" s="25"/>
      <c r="E481" s="27"/>
      <c r="F481" s="27"/>
      <c r="G481" s="25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5"/>
      <c r="B482" s="25"/>
      <c r="C482" s="25"/>
      <c r="D482" s="25"/>
      <c r="E482" s="27"/>
      <c r="F482" s="27"/>
      <c r="G482" s="25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5"/>
      <c r="B483" s="25"/>
      <c r="C483" s="25"/>
      <c r="D483" s="25"/>
      <c r="E483" s="27"/>
      <c r="F483" s="27"/>
      <c r="G483" s="25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5"/>
      <c r="B484" s="25"/>
      <c r="C484" s="25"/>
      <c r="D484" s="25"/>
      <c r="E484" s="27"/>
      <c r="F484" s="27"/>
      <c r="G484" s="25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5"/>
      <c r="B485" s="25"/>
      <c r="C485" s="25"/>
      <c r="D485" s="25"/>
      <c r="E485" s="27"/>
      <c r="F485" s="27"/>
      <c r="G485" s="25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5"/>
      <c r="B486" s="25"/>
      <c r="C486" s="25"/>
      <c r="D486" s="25"/>
      <c r="E486" s="27"/>
      <c r="F486" s="27"/>
      <c r="G486" s="25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5"/>
      <c r="B487" s="25"/>
      <c r="C487" s="25"/>
      <c r="D487" s="25"/>
      <c r="E487" s="27"/>
      <c r="F487" s="27"/>
      <c r="G487" s="25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5"/>
      <c r="B488" s="25"/>
      <c r="C488" s="25"/>
      <c r="D488" s="25"/>
      <c r="E488" s="27"/>
      <c r="F488" s="27"/>
      <c r="G488" s="25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5"/>
      <c r="B489" s="25"/>
      <c r="C489" s="25"/>
      <c r="D489" s="25"/>
      <c r="E489" s="27"/>
      <c r="F489" s="27"/>
      <c r="G489" s="25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5"/>
      <c r="B490" s="25"/>
      <c r="C490" s="25"/>
      <c r="D490" s="25"/>
      <c r="E490" s="27"/>
      <c r="F490" s="27"/>
      <c r="G490" s="25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5"/>
      <c r="B491" s="25"/>
      <c r="C491" s="25"/>
      <c r="D491" s="25"/>
      <c r="E491" s="27"/>
      <c r="F491" s="27"/>
      <c r="G491" s="25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5"/>
      <c r="B492" s="25"/>
      <c r="C492" s="25"/>
      <c r="D492" s="25"/>
      <c r="E492" s="27"/>
      <c r="F492" s="27"/>
      <c r="G492" s="25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5"/>
      <c r="B493" s="25"/>
      <c r="C493" s="25"/>
      <c r="D493" s="25"/>
      <c r="E493" s="27"/>
      <c r="F493" s="27"/>
      <c r="G493" s="25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5"/>
      <c r="B494" s="25"/>
      <c r="C494" s="25"/>
      <c r="D494" s="25"/>
      <c r="E494" s="27"/>
      <c r="F494" s="27"/>
      <c r="G494" s="25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5"/>
      <c r="B495" s="25"/>
      <c r="C495" s="25"/>
      <c r="D495" s="25"/>
      <c r="E495" s="27"/>
      <c r="F495" s="27"/>
      <c r="G495" s="25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5"/>
      <c r="B496" s="25"/>
      <c r="C496" s="25"/>
      <c r="D496" s="25"/>
      <c r="E496" s="27"/>
      <c r="F496" s="27"/>
      <c r="G496" s="25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5"/>
      <c r="B497" s="25"/>
      <c r="C497" s="25"/>
      <c r="D497" s="25"/>
      <c r="E497" s="27"/>
      <c r="F497" s="27"/>
      <c r="G497" s="25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5"/>
      <c r="B498" s="25"/>
      <c r="C498" s="25"/>
      <c r="D498" s="25"/>
      <c r="E498" s="27"/>
      <c r="F498" s="27"/>
      <c r="G498" s="25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5"/>
      <c r="B499" s="25"/>
      <c r="C499" s="25"/>
      <c r="D499" s="25"/>
      <c r="E499" s="27"/>
      <c r="F499" s="27"/>
      <c r="G499" s="25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5"/>
      <c r="B500" s="25"/>
      <c r="C500" s="25"/>
      <c r="D500" s="25"/>
      <c r="E500" s="27"/>
      <c r="F500" s="27"/>
      <c r="G500" s="25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5"/>
      <c r="B501" s="25"/>
      <c r="C501" s="25"/>
      <c r="D501" s="25"/>
      <c r="E501" s="27"/>
      <c r="F501" s="27"/>
      <c r="G501" s="25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5"/>
      <c r="B502" s="25"/>
      <c r="C502" s="25"/>
      <c r="D502" s="25"/>
      <c r="E502" s="27"/>
      <c r="F502" s="27"/>
      <c r="G502" s="25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5"/>
      <c r="B503" s="25"/>
      <c r="C503" s="25"/>
      <c r="D503" s="25"/>
      <c r="E503" s="27"/>
      <c r="F503" s="27"/>
      <c r="G503" s="25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5"/>
      <c r="B504" s="25"/>
      <c r="C504" s="25"/>
      <c r="D504" s="25"/>
      <c r="E504" s="27"/>
      <c r="F504" s="27"/>
      <c r="G504" s="25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5"/>
      <c r="B505" s="25"/>
      <c r="C505" s="25"/>
      <c r="D505" s="25"/>
      <c r="E505" s="27"/>
      <c r="F505" s="27"/>
      <c r="G505" s="25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5"/>
      <c r="B506" s="25"/>
      <c r="C506" s="25"/>
      <c r="D506" s="25"/>
      <c r="E506" s="27"/>
      <c r="F506" s="27"/>
      <c r="G506" s="25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5"/>
      <c r="B507" s="25"/>
      <c r="C507" s="25"/>
      <c r="D507" s="25"/>
      <c r="E507" s="27"/>
      <c r="F507" s="27"/>
      <c r="G507" s="25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5"/>
      <c r="B508" s="25"/>
      <c r="C508" s="25"/>
      <c r="D508" s="25"/>
      <c r="E508" s="27"/>
      <c r="F508" s="27"/>
      <c r="G508" s="25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5"/>
      <c r="B509" s="25"/>
      <c r="C509" s="25"/>
      <c r="D509" s="25"/>
      <c r="E509" s="27"/>
      <c r="F509" s="27"/>
      <c r="G509" s="25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5"/>
      <c r="B510" s="25"/>
      <c r="C510" s="25"/>
      <c r="D510" s="25"/>
      <c r="E510" s="27"/>
      <c r="F510" s="27"/>
      <c r="G510" s="25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5"/>
      <c r="B511" s="25"/>
      <c r="C511" s="25"/>
      <c r="D511" s="25"/>
      <c r="E511" s="27"/>
      <c r="F511" s="27"/>
      <c r="G511" s="25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5"/>
      <c r="B512" s="25"/>
      <c r="C512" s="25"/>
      <c r="D512" s="25"/>
      <c r="E512" s="27"/>
      <c r="F512" s="27"/>
      <c r="G512" s="25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5"/>
      <c r="B513" s="25"/>
      <c r="C513" s="25"/>
      <c r="D513" s="25"/>
      <c r="E513" s="27"/>
      <c r="F513" s="27"/>
      <c r="G513" s="25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5"/>
      <c r="B514" s="25"/>
      <c r="C514" s="25"/>
      <c r="D514" s="25"/>
      <c r="E514" s="27"/>
      <c r="F514" s="27"/>
      <c r="G514" s="25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5"/>
      <c r="B515" s="25"/>
      <c r="C515" s="25"/>
      <c r="D515" s="25"/>
      <c r="E515" s="27"/>
      <c r="F515" s="27"/>
      <c r="G515" s="25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5"/>
      <c r="B516" s="25"/>
      <c r="C516" s="25"/>
      <c r="D516" s="25"/>
      <c r="E516" s="27"/>
      <c r="F516" s="27"/>
      <c r="G516" s="25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5"/>
      <c r="B517" s="25"/>
      <c r="C517" s="25"/>
      <c r="D517" s="25"/>
      <c r="E517" s="27"/>
      <c r="F517" s="27"/>
      <c r="G517" s="25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5"/>
      <c r="B518" s="25"/>
      <c r="C518" s="25"/>
      <c r="D518" s="25"/>
      <c r="E518" s="27"/>
      <c r="F518" s="27"/>
      <c r="G518" s="25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5"/>
      <c r="B519" s="25"/>
      <c r="C519" s="25"/>
      <c r="D519" s="25"/>
      <c r="E519" s="27"/>
      <c r="F519" s="27"/>
      <c r="G519" s="25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5"/>
      <c r="B520" s="25"/>
      <c r="C520" s="25"/>
      <c r="D520" s="25"/>
      <c r="E520" s="27"/>
      <c r="F520" s="27"/>
      <c r="G520" s="25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5"/>
      <c r="B521" s="25"/>
      <c r="C521" s="25"/>
      <c r="D521" s="25"/>
      <c r="E521" s="27"/>
      <c r="F521" s="27"/>
      <c r="G521" s="25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5"/>
      <c r="B522" s="25"/>
      <c r="C522" s="25"/>
      <c r="D522" s="25"/>
      <c r="E522" s="27"/>
      <c r="F522" s="27"/>
      <c r="G522" s="25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5"/>
      <c r="B523" s="25"/>
      <c r="C523" s="25"/>
      <c r="D523" s="25"/>
      <c r="E523" s="27"/>
      <c r="F523" s="27"/>
      <c r="G523" s="25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5"/>
      <c r="B524" s="25"/>
      <c r="C524" s="25"/>
      <c r="D524" s="25"/>
      <c r="E524" s="27"/>
      <c r="F524" s="27"/>
      <c r="G524" s="25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5"/>
      <c r="B525" s="25"/>
      <c r="C525" s="25"/>
      <c r="D525" s="25"/>
      <c r="E525" s="27"/>
      <c r="F525" s="27"/>
      <c r="G525" s="25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5"/>
      <c r="B526" s="25"/>
      <c r="C526" s="25"/>
      <c r="D526" s="25"/>
      <c r="E526" s="27"/>
      <c r="F526" s="27"/>
      <c r="G526" s="25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5"/>
      <c r="B527" s="25"/>
      <c r="C527" s="25"/>
      <c r="D527" s="25"/>
      <c r="E527" s="27"/>
      <c r="F527" s="27"/>
      <c r="G527" s="25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5"/>
      <c r="B528" s="25"/>
      <c r="C528" s="25"/>
      <c r="D528" s="25"/>
      <c r="E528" s="27"/>
      <c r="F528" s="27"/>
      <c r="G528" s="25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5"/>
      <c r="B529" s="25"/>
      <c r="C529" s="25"/>
      <c r="D529" s="25"/>
      <c r="E529" s="27"/>
      <c r="F529" s="27"/>
      <c r="G529" s="25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5"/>
      <c r="B530" s="25"/>
      <c r="C530" s="25"/>
      <c r="D530" s="25"/>
      <c r="E530" s="27"/>
      <c r="F530" s="27"/>
      <c r="G530" s="25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5"/>
      <c r="B531" s="25"/>
      <c r="C531" s="25"/>
      <c r="D531" s="25"/>
      <c r="E531" s="27"/>
      <c r="F531" s="27"/>
      <c r="G531" s="25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5"/>
      <c r="B532" s="25"/>
      <c r="C532" s="25"/>
      <c r="D532" s="25"/>
      <c r="E532" s="27"/>
      <c r="F532" s="27"/>
      <c r="G532" s="25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5"/>
      <c r="B533" s="25"/>
      <c r="C533" s="25"/>
      <c r="D533" s="25"/>
      <c r="E533" s="27"/>
      <c r="F533" s="27"/>
      <c r="G533" s="25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5"/>
      <c r="B534" s="25"/>
      <c r="C534" s="25"/>
      <c r="D534" s="25"/>
      <c r="E534" s="27"/>
      <c r="F534" s="27"/>
      <c r="G534" s="25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5"/>
      <c r="B535" s="25"/>
      <c r="C535" s="25"/>
      <c r="D535" s="25"/>
      <c r="E535" s="27"/>
      <c r="F535" s="27"/>
      <c r="G535" s="25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5"/>
      <c r="B536" s="25"/>
      <c r="C536" s="25"/>
      <c r="D536" s="25"/>
      <c r="E536" s="27"/>
      <c r="F536" s="27"/>
      <c r="G536" s="25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5"/>
      <c r="B537" s="25"/>
      <c r="C537" s="25"/>
      <c r="D537" s="25"/>
      <c r="E537" s="27"/>
      <c r="F537" s="27"/>
      <c r="G537" s="25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5"/>
      <c r="B538" s="25"/>
      <c r="C538" s="25"/>
      <c r="D538" s="25"/>
      <c r="E538" s="27"/>
      <c r="F538" s="27"/>
      <c r="G538" s="25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5"/>
      <c r="B539" s="25"/>
      <c r="C539" s="25"/>
      <c r="D539" s="25"/>
      <c r="E539" s="27"/>
      <c r="F539" s="27"/>
      <c r="G539" s="25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5"/>
      <c r="B540" s="25"/>
      <c r="C540" s="25"/>
      <c r="D540" s="25"/>
      <c r="E540" s="27"/>
      <c r="F540" s="27"/>
      <c r="G540" s="25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5"/>
      <c r="B541" s="25"/>
      <c r="C541" s="25"/>
      <c r="D541" s="25"/>
      <c r="E541" s="27"/>
      <c r="F541" s="27"/>
      <c r="G541" s="25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5"/>
      <c r="B542" s="25"/>
      <c r="C542" s="25"/>
      <c r="D542" s="25"/>
      <c r="E542" s="27"/>
      <c r="F542" s="27"/>
      <c r="G542" s="25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5"/>
      <c r="B543" s="25"/>
      <c r="C543" s="25"/>
      <c r="D543" s="25"/>
      <c r="E543" s="27"/>
      <c r="F543" s="27"/>
      <c r="G543" s="25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5"/>
      <c r="B544" s="25"/>
      <c r="C544" s="25"/>
      <c r="D544" s="25"/>
      <c r="E544" s="27"/>
      <c r="F544" s="27"/>
      <c r="G544" s="25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5"/>
      <c r="B545" s="25"/>
      <c r="C545" s="25"/>
      <c r="D545" s="25"/>
      <c r="E545" s="27"/>
      <c r="F545" s="27"/>
      <c r="G545" s="25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5"/>
      <c r="B546" s="25"/>
      <c r="C546" s="25"/>
      <c r="D546" s="25"/>
      <c r="E546" s="27"/>
      <c r="F546" s="27"/>
      <c r="G546" s="25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5"/>
      <c r="B547" s="25"/>
      <c r="C547" s="25"/>
      <c r="D547" s="25"/>
      <c r="E547" s="27"/>
      <c r="F547" s="27"/>
      <c r="G547" s="25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5"/>
      <c r="B548" s="25"/>
      <c r="C548" s="25"/>
      <c r="D548" s="25"/>
      <c r="E548" s="27"/>
      <c r="F548" s="27"/>
      <c r="G548" s="25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5"/>
      <c r="B549" s="25"/>
      <c r="C549" s="25"/>
      <c r="D549" s="25"/>
      <c r="E549" s="27"/>
      <c r="F549" s="27"/>
      <c r="G549" s="25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5"/>
      <c r="B550" s="25"/>
      <c r="C550" s="25"/>
      <c r="D550" s="25"/>
      <c r="E550" s="27"/>
      <c r="F550" s="27"/>
      <c r="G550" s="25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5"/>
      <c r="B551" s="25"/>
      <c r="C551" s="25"/>
      <c r="D551" s="25"/>
      <c r="E551" s="27"/>
      <c r="F551" s="27"/>
      <c r="G551" s="25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5"/>
      <c r="B552" s="25"/>
      <c r="C552" s="25"/>
      <c r="D552" s="25"/>
      <c r="E552" s="27"/>
      <c r="F552" s="27"/>
      <c r="G552" s="25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5"/>
      <c r="B553" s="25"/>
      <c r="C553" s="25"/>
      <c r="D553" s="25"/>
      <c r="E553" s="27"/>
      <c r="F553" s="27"/>
      <c r="G553" s="25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5"/>
      <c r="B554" s="25"/>
      <c r="C554" s="25"/>
      <c r="D554" s="25"/>
      <c r="E554" s="27"/>
      <c r="F554" s="27"/>
      <c r="G554" s="25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5"/>
      <c r="B555" s="25"/>
      <c r="C555" s="25"/>
      <c r="D555" s="25"/>
      <c r="E555" s="27"/>
      <c r="F555" s="27"/>
      <c r="G555" s="25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5"/>
      <c r="B556" s="25"/>
      <c r="C556" s="25"/>
      <c r="D556" s="25"/>
      <c r="E556" s="27"/>
      <c r="F556" s="27"/>
      <c r="G556" s="25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5"/>
      <c r="B557" s="25"/>
      <c r="C557" s="25"/>
      <c r="D557" s="25"/>
      <c r="E557" s="27"/>
      <c r="F557" s="27"/>
      <c r="G557" s="25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5"/>
      <c r="B558" s="25"/>
      <c r="C558" s="25"/>
      <c r="D558" s="25"/>
      <c r="E558" s="27"/>
      <c r="F558" s="27"/>
      <c r="G558" s="25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5"/>
      <c r="B559" s="25"/>
      <c r="C559" s="25"/>
      <c r="D559" s="25"/>
      <c r="E559" s="27"/>
      <c r="F559" s="27"/>
      <c r="G559" s="25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5"/>
      <c r="B560" s="25"/>
      <c r="C560" s="25"/>
      <c r="D560" s="25"/>
      <c r="E560" s="27"/>
      <c r="F560" s="27"/>
      <c r="G560" s="25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5"/>
      <c r="B561" s="25"/>
      <c r="C561" s="25"/>
      <c r="D561" s="25"/>
      <c r="E561" s="27"/>
      <c r="F561" s="27"/>
      <c r="G561" s="25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5"/>
      <c r="B562" s="25"/>
      <c r="C562" s="25"/>
      <c r="D562" s="25"/>
      <c r="E562" s="27"/>
      <c r="F562" s="27"/>
      <c r="G562" s="25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5"/>
      <c r="B563" s="25"/>
      <c r="C563" s="25"/>
      <c r="D563" s="25"/>
      <c r="E563" s="27"/>
      <c r="F563" s="27"/>
      <c r="G563" s="25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5"/>
      <c r="B564" s="25"/>
      <c r="C564" s="25"/>
      <c r="D564" s="25"/>
      <c r="E564" s="27"/>
      <c r="F564" s="27"/>
      <c r="G564" s="25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5"/>
      <c r="B565" s="25"/>
      <c r="C565" s="25"/>
      <c r="D565" s="25"/>
      <c r="E565" s="27"/>
      <c r="F565" s="27"/>
      <c r="G565" s="25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5"/>
      <c r="B566" s="25"/>
      <c r="C566" s="25"/>
      <c r="D566" s="25"/>
      <c r="E566" s="27"/>
      <c r="F566" s="27"/>
      <c r="G566" s="25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5"/>
      <c r="B567" s="25"/>
      <c r="C567" s="25"/>
      <c r="D567" s="25"/>
      <c r="E567" s="27"/>
      <c r="F567" s="27"/>
      <c r="G567" s="25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5"/>
      <c r="B568" s="25"/>
      <c r="C568" s="25"/>
      <c r="D568" s="25"/>
      <c r="E568" s="27"/>
      <c r="F568" s="27"/>
      <c r="G568" s="25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5"/>
      <c r="B569" s="25"/>
      <c r="C569" s="25"/>
      <c r="D569" s="25"/>
      <c r="E569" s="27"/>
      <c r="F569" s="27"/>
      <c r="G569" s="25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5"/>
      <c r="B570" s="25"/>
      <c r="C570" s="25"/>
      <c r="D570" s="25"/>
      <c r="E570" s="27"/>
      <c r="F570" s="27"/>
      <c r="G570" s="25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5"/>
      <c r="B571" s="25"/>
      <c r="C571" s="25"/>
      <c r="D571" s="25"/>
      <c r="E571" s="27"/>
      <c r="F571" s="27"/>
      <c r="G571" s="25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5"/>
      <c r="B572" s="25"/>
      <c r="C572" s="25"/>
      <c r="D572" s="25"/>
      <c r="E572" s="27"/>
      <c r="F572" s="27"/>
      <c r="G572" s="25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5"/>
      <c r="B573" s="25"/>
      <c r="C573" s="25"/>
      <c r="D573" s="25"/>
      <c r="E573" s="27"/>
      <c r="F573" s="27"/>
      <c r="G573" s="25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5"/>
      <c r="B574" s="25"/>
      <c r="C574" s="25"/>
      <c r="D574" s="25"/>
      <c r="E574" s="27"/>
      <c r="F574" s="27"/>
      <c r="G574" s="25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5"/>
      <c r="B575" s="25"/>
      <c r="C575" s="25"/>
      <c r="D575" s="25"/>
      <c r="E575" s="27"/>
      <c r="F575" s="27"/>
      <c r="G575" s="25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5"/>
      <c r="B576" s="25"/>
      <c r="C576" s="25"/>
      <c r="D576" s="25"/>
      <c r="E576" s="27"/>
      <c r="F576" s="27"/>
      <c r="G576" s="25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5"/>
      <c r="B577" s="25"/>
      <c r="C577" s="25"/>
      <c r="D577" s="25"/>
      <c r="E577" s="27"/>
      <c r="F577" s="27"/>
      <c r="G577" s="25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5"/>
      <c r="B578" s="25"/>
      <c r="C578" s="25"/>
      <c r="D578" s="25"/>
      <c r="E578" s="27"/>
      <c r="F578" s="27"/>
      <c r="G578" s="25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5"/>
      <c r="B579" s="25"/>
      <c r="C579" s="25"/>
      <c r="D579" s="25"/>
      <c r="E579" s="27"/>
      <c r="F579" s="27"/>
      <c r="G579" s="25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5"/>
      <c r="B580" s="25"/>
      <c r="C580" s="25"/>
      <c r="D580" s="25"/>
      <c r="E580" s="27"/>
      <c r="F580" s="27"/>
      <c r="G580" s="25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5"/>
      <c r="B581" s="25"/>
      <c r="C581" s="25"/>
      <c r="D581" s="25"/>
      <c r="E581" s="27"/>
      <c r="F581" s="27"/>
      <c r="G581" s="25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5"/>
      <c r="B582" s="25"/>
      <c r="C582" s="25"/>
      <c r="D582" s="25"/>
      <c r="E582" s="27"/>
      <c r="F582" s="27"/>
      <c r="G582" s="25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5"/>
      <c r="B583" s="25"/>
      <c r="C583" s="25"/>
      <c r="D583" s="25"/>
      <c r="E583" s="27"/>
      <c r="F583" s="27"/>
      <c r="G583" s="25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5"/>
      <c r="B584" s="25"/>
      <c r="C584" s="25"/>
      <c r="D584" s="25"/>
      <c r="E584" s="27"/>
      <c r="F584" s="27"/>
      <c r="G584" s="25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5"/>
      <c r="B585" s="25"/>
      <c r="C585" s="25"/>
      <c r="D585" s="25"/>
      <c r="E585" s="27"/>
      <c r="F585" s="27"/>
      <c r="G585" s="25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5"/>
      <c r="B586" s="25"/>
      <c r="C586" s="25"/>
      <c r="D586" s="25"/>
      <c r="E586" s="27"/>
      <c r="F586" s="27"/>
      <c r="G586" s="25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5"/>
      <c r="B587" s="25"/>
      <c r="C587" s="25"/>
      <c r="D587" s="25"/>
      <c r="E587" s="27"/>
      <c r="F587" s="27"/>
      <c r="G587" s="25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5"/>
      <c r="B588" s="25"/>
      <c r="C588" s="25"/>
      <c r="D588" s="25"/>
      <c r="E588" s="27"/>
      <c r="F588" s="27"/>
      <c r="G588" s="25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5"/>
      <c r="B589" s="25"/>
      <c r="C589" s="25"/>
      <c r="D589" s="25"/>
      <c r="E589" s="27"/>
      <c r="F589" s="27"/>
      <c r="G589" s="25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5"/>
      <c r="B590" s="25"/>
      <c r="C590" s="25"/>
      <c r="D590" s="25"/>
      <c r="E590" s="27"/>
      <c r="F590" s="27"/>
      <c r="G590" s="25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5"/>
      <c r="B591" s="25"/>
      <c r="C591" s="25"/>
      <c r="D591" s="25"/>
      <c r="E591" s="27"/>
      <c r="F591" s="27"/>
      <c r="G591" s="25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5"/>
      <c r="B592" s="25"/>
      <c r="C592" s="25"/>
      <c r="D592" s="25"/>
      <c r="E592" s="27"/>
      <c r="F592" s="27"/>
      <c r="G592" s="25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5"/>
      <c r="B593" s="25"/>
      <c r="C593" s="25"/>
      <c r="D593" s="25"/>
      <c r="E593" s="27"/>
      <c r="F593" s="27"/>
      <c r="G593" s="25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5"/>
      <c r="B594" s="25"/>
      <c r="C594" s="25"/>
      <c r="D594" s="25"/>
      <c r="E594" s="27"/>
      <c r="F594" s="27"/>
      <c r="G594" s="25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5"/>
      <c r="B595" s="25"/>
      <c r="C595" s="25"/>
      <c r="D595" s="25"/>
      <c r="E595" s="27"/>
      <c r="F595" s="27"/>
      <c r="G595" s="25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5"/>
      <c r="B596" s="25"/>
      <c r="C596" s="25"/>
      <c r="D596" s="25"/>
      <c r="E596" s="27"/>
      <c r="F596" s="27"/>
      <c r="G596" s="25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5"/>
      <c r="B597" s="25"/>
      <c r="C597" s="25"/>
      <c r="D597" s="25"/>
      <c r="E597" s="27"/>
      <c r="F597" s="27"/>
      <c r="G597" s="25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5"/>
      <c r="B598" s="25"/>
      <c r="C598" s="25"/>
      <c r="D598" s="25"/>
      <c r="E598" s="27"/>
      <c r="F598" s="27"/>
      <c r="G598" s="25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5"/>
      <c r="B599" s="25"/>
      <c r="C599" s="25"/>
      <c r="D599" s="25"/>
      <c r="E599" s="27"/>
      <c r="F599" s="27"/>
      <c r="G599" s="25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5"/>
      <c r="B600" s="25"/>
      <c r="C600" s="25"/>
      <c r="D600" s="25"/>
      <c r="E600" s="27"/>
      <c r="F600" s="27"/>
      <c r="G600" s="25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5"/>
      <c r="B601" s="25"/>
      <c r="C601" s="25"/>
      <c r="D601" s="25"/>
      <c r="E601" s="27"/>
      <c r="F601" s="27"/>
      <c r="G601" s="25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5"/>
      <c r="B602" s="25"/>
      <c r="C602" s="25"/>
      <c r="D602" s="25"/>
      <c r="E602" s="27"/>
      <c r="F602" s="27"/>
      <c r="G602" s="25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5"/>
      <c r="B603" s="25"/>
      <c r="C603" s="25"/>
      <c r="D603" s="25"/>
      <c r="E603" s="27"/>
      <c r="F603" s="27"/>
      <c r="G603" s="25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5"/>
      <c r="B604" s="25"/>
      <c r="C604" s="25"/>
      <c r="D604" s="25"/>
      <c r="E604" s="27"/>
      <c r="F604" s="27"/>
      <c r="G604" s="25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5"/>
      <c r="B605" s="25"/>
      <c r="C605" s="25"/>
      <c r="D605" s="25"/>
      <c r="E605" s="27"/>
      <c r="F605" s="27"/>
      <c r="G605" s="25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5"/>
      <c r="B606" s="25"/>
      <c r="C606" s="25"/>
      <c r="D606" s="25"/>
      <c r="E606" s="27"/>
      <c r="F606" s="27"/>
      <c r="G606" s="25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5"/>
      <c r="B607" s="25"/>
      <c r="C607" s="25"/>
      <c r="D607" s="25"/>
      <c r="E607" s="27"/>
      <c r="F607" s="27"/>
      <c r="G607" s="25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5"/>
      <c r="B608" s="25"/>
      <c r="C608" s="25"/>
      <c r="D608" s="25"/>
      <c r="E608" s="27"/>
      <c r="F608" s="27"/>
      <c r="G608" s="25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5"/>
      <c r="B609" s="25"/>
      <c r="C609" s="25"/>
      <c r="D609" s="25"/>
      <c r="E609" s="27"/>
      <c r="F609" s="27"/>
      <c r="G609" s="25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5"/>
      <c r="B610" s="25"/>
      <c r="C610" s="25"/>
      <c r="D610" s="25"/>
      <c r="E610" s="27"/>
      <c r="F610" s="27"/>
      <c r="G610" s="25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5"/>
      <c r="B611" s="25"/>
      <c r="C611" s="25"/>
      <c r="D611" s="25"/>
      <c r="E611" s="27"/>
      <c r="F611" s="27"/>
      <c r="G611" s="25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5"/>
      <c r="B612" s="25"/>
      <c r="C612" s="25"/>
      <c r="D612" s="25"/>
      <c r="E612" s="27"/>
      <c r="F612" s="27"/>
      <c r="G612" s="25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5"/>
      <c r="B613" s="25"/>
      <c r="C613" s="25"/>
      <c r="D613" s="25"/>
      <c r="E613" s="27"/>
      <c r="F613" s="27"/>
      <c r="G613" s="25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5"/>
      <c r="B614" s="25"/>
      <c r="C614" s="25"/>
      <c r="D614" s="25"/>
      <c r="E614" s="27"/>
      <c r="F614" s="27"/>
      <c r="G614" s="25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5"/>
      <c r="B615" s="25"/>
      <c r="C615" s="25"/>
      <c r="D615" s="25"/>
      <c r="E615" s="27"/>
      <c r="F615" s="27"/>
      <c r="G615" s="25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5"/>
      <c r="B616" s="25"/>
      <c r="C616" s="25"/>
      <c r="D616" s="25"/>
      <c r="E616" s="27"/>
      <c r="F616" s="27"/>
      <c r="G616" s="25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5"/>
      <c r="B617" s="25"/>
      <c r="C617" s="25"/>
      <c r="D617" s="25"/>
      <c r="E617" s="27"/>
      <c r="F617" s="27"/>
      <c r="G617" s="25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5"/>
      <c r="B618" s="25"/>
      <c r="C618" s="25"/>
      <c r="D618" s="25"/>
      <c r="E618" s="27"/>
      <c r="F618" s="27"/>
      <c r="G618" s="25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5"/>
      <c r="B619" s="25"/>
      <c r="C619" s="25"/>
      <c r="D619" s="25"/>
      <c r="E619" s="27"/>
      <c r="F619" s="27"/>
      <c r="G619" s="25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5"/>
      <c r="B620" s="25"/>
      <c r="C620" s="25"/>
      <c r="D620" s="25"/>
      <c r="E620" s="27"/>
      <c r="F620" s="27"/>
      <c r="G620" s="25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5"/>
      <c r="B621" s="25"/>
      <c r="C621" s="25"/>
      <c r="D621" s="25"/>
      <c r="E621" s="27"/>
      <c r="F621" s="27"/>
      <c r="G621" s="25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5"/>
      <c r="B622" s="25"/>
      <c r="C622" s="25"/>
      <c r="D622" s="25"/>
      <c r="E622" s="27"/>
      <c r="F622" s="27"/>
      <c r="G622" s="25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5"/>
      <c r="B623" s="25"/>
      <c r="C623" s="25"/>
      <c r="D623" s="25"/>
      <c r="E623" s="27"/>
      <c r="F623" s="27"/>
      <c r="G623" s="25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5"/>
      <c r="B624" s="25"/>
      <c r="C624" s="25"/>
      <c r="D624" s="25"/>
      <c r="E624" s="27"/>
      <c r="F624" s="27"/>
      <c r="G624" s="25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5"/>
      <c r="B625" s="25"/>
      <c r="C625" s="25"/>
      <c r="D625" s="25"/>
      <c r="E625" s="27"/>
      <c r="F625" s="27"/>
      <c r="G625" s="25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5"/>
      <c r="B626" s="25"/>
      <c r="C626" s="25"/>
      <c r="D626" s="25"/>
      <c r="E626" s="27"/>
      <c r="F626" s="27"/>
      <c r="G626" s="25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5"/>
      <c r="B627" s="25"/>
      <c r="C627" s="25"/>
      <c r="D627" s="25"/>
      <c r="E627" s="27"/>
      <c r="F627" s="27"/>
      <c r="G627" s="25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5"/>
      <c r="B628" s="25"/>
      <c r="C628" s="25"/>
      <c r="D628" s="25"/>
      <c r="E628" s="27"/>
      <c r="F628" s="27"/>
      <c r="G628" s="25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5"/>
      <c r="B629" s="25"/>
      <c r="C629" s="25"/>
      <c r="D629" s="25"/>
      <c r="E629" s="27"/>
      <c r="F629" s="27"/>
      <c r="G629" s="25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5"/>
      <c r="B630" s="25"/>
      <c r="C630" s="25"/>
      <c r="D630" s="25"/>
      <c r="E630" s="27"/>
      <c r="F630" s="27"/>
      <c r="G630" s="25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5"/>
      <c r="B631" s="25"/>
      <c r="C631" s="25"/>
      <c r="D631" s="25"/>
      <c r="E631" s="27"/>
      <c r="F631" s="27"/>
      <c r="G631" s="25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5"/>
      <c r="B632" s="25"/>
      <c r="C632" s="25"/>
      <c r="D632" s="25"/>
      <c r="E632" s="27"/>
      <c r="F632" s="27"/>
      <c r="G632" s="25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5"/>
      <c r="B633" s="25"/>
      <c r="C633" s="25"/>
      <c r="D633" s="25"/>
      <c r="E633" s="27"/>
      <c r="F633" s="27"/>
      <c r="G633" s="25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5"/>
      <c r="B634" s="25"/>
      <c r="C634" s="25"/>
      <c r="D634" s="25"/>
      <c r="E634" s="27"/>
      <c r="F634" s="27"/>
      <c r="G634" s="25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5"/>
      <c r="B635" s="25"/>
      <c r="C635" s="25"/>
      <c r="D635" s="25"/>
      <c r="E635" s="27"/>
      <c r="F635" s="27"/>
      <c r="G635" s="25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5"/>
      <c r="B636" s="25"/>
      <c r="C636" s="25"/>
      <c r="D636" s="25"/>
      <c r="E636" s="27"/>
      <c r="F636" s="27"/>
      <c r="G636" s="25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5"/>
      <c r="B637" s="25"/>
      <c r="C637" s="25"/>
      <c r="D637" s="25"/>
      <c r="E637" s="27"/>
      <c r="F637" s="27"/>
      <c r="G637" s="25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5"/>
      <c r="B638" s="25"/>
      <c r="C638" s="25"/>
      <c r="D638" s="25"/>
      <c r="E638" s="27"/>
      <c r="F638" s="27"/>
      <c r="G638" s="25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5"/>
      <c r="B639" s="25"/>
      <c r="C639" s="25"/>
      <c r="D639" s="25"/>
      <c r="E639" s="27"/>
      <c r="F639" s="27"/>
      <c r="G639" s="25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5"/>
      <c r="B640" s="25"/>
      <c r="C640" s="25"/>
      <c r="D640" s="25"/>
      <c r="E640" s="27"/>
      <c r="F640" s="27"/>
      <c r="G640" s="25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5"/>
      <c r="B641" s="25"/>
      <c r="C641" s="25"/>
      <c r="D641" s="25"/>
      <c r="E641" s="27"/>
      <c r="F641" s="27"/>
      <c r="G641" s="25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5"/>
      <c r="B642" s="25"/>
      <c r="C642" s="25"/>
      <c r="D642" s="25"/>
      <c r="E642" s="27"/>
      <c r="F642" s="27"/>
      <c r="G642" s="25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5"/>
      <c r="B643" s="25"/>
      <c r="C643" s="25"/>
      <c r="D643" s="25"/>
      <c r="E643" s="27"/>
      <c r="F643" s="27"/>
      <c r="G643" s="25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5"/>
      <c r="B644" s="25"/>
      <c r="C644" s="25"/>
      <c r="D644" s="25"/>
      <c r="E644" s="27"/>
      <c r="F644" s="27"/>
      <c r="G644" s="25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5"/>
      <c r="B645" s="25"/>
      <c r="C645" s="25"/>
      <c r="D645" s="25"/>
      <c r="E645" s="27"/>
      <c r="F645" s="27"/>
      <c r="G645" s="25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5"/>
      <c r="B646" s="25"/>
      <c r="C646" s="25"/>
      <c r="D646" s="25"/>
      <c r="E646" s="27"/>
      <c r="F646" s="27"/>
      <c r="G646" s="25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5"/>
      <c r="B647" s="25"/>
      <c r="C647" s="25"/>
      <c r="D647" s="25"/>
      <c r="E647" s="27"/>
      <c r="F647" s="27"/>
      <c r="G647" s="25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5"/>
      <c r="B648" s="25"/>
      <c r="C648" s="25"/>
      <c r="D648" s="25"/>
      <c r="E648" s="27"/>
      <c r="F648" s="27"/>
      <c r="G648" s="25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5"/>
      <c r="B649" s="25"/>
      <c r="C649" s="25"/>
      <c r="D649" s="25"/>
      <c r="E649" s="27"/>
      <c r="F649" s="27"/>
      <c r="G649" s="25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5"/>
      <c r="B650" s="25"/>
      <c r="C650" s="25"/>
      <c r="D650" s="25"/>
      <c r="E650" s="27"/>
      <c r="F650" s="27"/>
      <c r="G650" s="25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5"/>
      <c r="B651" s="25"/>
      <c r="C651" s="25"/>
      <c r="D651" s="25"/>
      <c r="E651" s="27"/>
      <c r="F651" s="27"/>
      <c r="G651" s="25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5"/>
      <c r="B652" s="25"/>
      <c r="C652" s="25"/>
      <c r="D652" s="25"/>
      <c r="E652" s="27"/>
      <c r="F652" s="27"/>
      <c r="G652" s="25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5"/>
      <c r="B653" s="25"/>
      <c r="C653" s="25"/>
      <c r="D653" s="25"/>
      <c r="E653" s="27"/>
      <c r="F653" s="27"/>
      <c r="G653" s="25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5"/>
      <c r="B654" s="25"/>
      <c r="C654" s="25"/>
      <c r="D654" s="25"/>
      <c r="E654" s="27"/>
      <c r="F654" s="27"/>
      <c r="G654" s="25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5"/>
      <c r="B655" s="25"/>
      <c r="C655" s="25"/>
      <c r="D655" s="25"/>
      <c r="E655" s="27"/>
      <c r="F655" s="27"/>
      <c r="G655" s="25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5"/>
      <c r="B656" s="25"/>
      <c r="C656" s="25"/>
      <c r="D656" s="25"/>
      <c r="E656" s="27"/>
      <c r="F656" s="27"/>
      <c r="G656" s="25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5"/>
      <c r="B657" s="25"/>
      <c r="C657" s="25"/>
      <c r="D657" s="25"/>
      <c r="E657" s="27"/>
      <c r="F657" s="27"/>
      <c r="G657" s="25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5"/>
      <c r="B658" s="25"/>
      <c r="C658" s="25"/>
      <c r="D658" s="25"/>
      <c r="E658" s="27"/>
      <c r="F658" s="27"/>
      <c r="G658" s="25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5"/>
      <c r="B659" s="25"/>
      <c r="C659" s="25"/>
      <c r="D659" s="25"/>
      <c r="E659" s="27"/>
      <c r="F659" s="27"/>
      <c r="G659" s="25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5"/>
      <c r="B660" s="25"/>
      <c r="C660" s="25"/>
      <c r="D660" s="25"/>
      <c r="E660" s="27"/>
      <c r="F660" s="27"/>
      <c r="G660" s="25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5"/>
      <c r="B661" s="25"/>
      <c r="C661" s="25"/>
      <c r="D661" s="25"/>
      <c r="E661" s="27"/>
      <c r="F661" s="27"/>
      <c r="G661" s="25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5"/>
      <c r="B662" s="25"/>
      <c r="C662" s="25"/>
      <c r="D662" s="25"/>
      <c r="E662" s="27"/>
      <c r="F662" s="27"/>
      <c r="G662" s="25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5"/>
      <c r="B663" s="25"/>
      <c r="C663" s="25"/>
      <c r="D663" s="25"/>
      <c r="E663" s="27"/>
      <c r="F663" s="27"/>
      <c r="G663" s="25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5"/>
      <c r="B664" s="25"/>
      <c r="C664" s="25"/>
      <c r="D664" s="25"/>
      <c r="E664" s="27"/>
      <c r="F664" s="27"/>
      <c r="G664" s="25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5"/>
      <c r="B665" s="25"/>
      <c r="C665" s="25"/>
      <c r="D665" s="25"/>
      <c r="E665" s="27"/>
      <c r="F665" s="27"/>
      <c r="G665" s="25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5"/>
      <c r="B666" s="25"/>
      <c r="C666" s="25"/>
      <c r="D666" s="25"/>
      <c r="E666" s="27"/>
      <c r="F666" s="27"/>
      <c r="G666" s="25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5"/>
      <c r="B667" s="25"/>
      <c r="C667" s="25"/>
      <c r="D667" s="25"/>
      <c r="E667" s="27"/>
      <c r="F667" s="27"/>
      <c r="G667" s="25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5"/>
      <c r="B668" s="25"/>
      <c r="C668" s="25"/>
      <c r="D668" s="25"/>
      <c r="E668" s="27"/>
      <c r="F668" s="27"/>
      <c r="G668" s="25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5"/>
      <c r="B669" s="25"/>
      <c r="C669" s="25"/>
      <c r="D669" s="25"/>
      <c r="E669" s="27"/>
      <c r="F669" s="27"/>
      <c r="G669" s="25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5"/>
      <c r="B670" s="25"/>
      <c r="C670" s="25"/>
      <c r="D670" s="25"/>
      <c r="E670" s="27"/>
      <c r="F670" s="27"/>
      <c r="G670" s="25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5"/>
      <c r="B671" s="25"/>
      <c r="C671" s="25"/>
      <c r="D671" s="25"/>
      <c r="E671" s="27"/>
      <c r="F671" s="27"/>
      <c r="G671" s="25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5"/>
      <c r="B672" s="25"/>
      <c r="C672" s="25"/>
      <c r="D672" s="25"/>
      <c r="E672" s="27"/>
      <c r="F672" s="27"/>
      <c r="G672" s="25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5"/>
      <c r="B673" s="25"/>
      <c r="C673" s="25"/>
      <c r="D673" s="25"/>
      <c r="E673" s="27"/>
      <c r="F673" s="27"/>
      <c r="G673" s="25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5"/>
      <c r="B674" s="25"/>
      <c r="C674" s="25"/>
      <c r="D674" s="25"/>
      <c r="E674" s="27"/>
      <c r="F674" s="27"/>
      <c r="G674" s="25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5"/>
      <c r="B675" s="25"/>
      <c r="C675" s="25"/>
      <c r="D675" s="25"/>
      <c r="E675" s="27"/>
      <c r="F675" s="27"/>
      <c r="G675" s="25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5"/>
      <c r="B676" s="25"/>
      <c r="C676" s="25"/>
      <c r="D676" s="25"/>
      <c r="E676" s="27"/>
      <c r="F676" s="27"/>
      <c r="G676" s="25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5"/>
      <c r="B677" s="25"/>
      <c r="C677" s="25"/>
      <c r="D677" s="25"/>
      <c r="E677" s="27"/>
      <c r="F677" s="27"/>
      <c r="G677" s="25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5"/>
      <c r="B678" s="25"/>
      <c r="C678" s="25"/>
      <c r="D678" s="25"/>
      <c r="E678" s="27"/>
      <c r="F678" s="27"/>
      <c r="G678" s="25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5"/>
      <c r="B679" s="25"/>
      <c r="C679" s="25"/>
      <c r="D679" s="25"/>
      <c r="E679" s="27"/>
      <c r="F679" s="27"/>
      <c r="G679" s="25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5"/>
      <c r="B680" s="25"/>
      <c r="C680" s="25"/>
      <c r="D680" s="25"/>
      <c r="E680" s="27"/>
      <c r="F680" s="27"/>
      <c r="G680" s="25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5"/>
      <c r="B681" s="25"/>
      <c r="C681" s="25"/>
      <c r="D681" s="25"/>
      <c r="E681" s="27"/>
      <c r="F681" s="27"/>
      <c r="G681" s="25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5"/>
      <c r="B682" s="25"/>
      <c r="C682" s="25"/>
      <c r="D682" s="25"/>
      <c r="E682" s="27"/>
      <c r="F682" s="27"/>
      <c r="G682" s="25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5"/>
      <c r="B683" s="25"/>
      <c r="C683" s="25"/>
      <c r="D683" s="25"/>
      <c r="E683" s="27"/>
      <c r="F683" s="27"/>
      <c r="G683" s="25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5"/>
      <c r="B684" s="25"/>
      <c r="C684" s="25"/>
      <c r="D684" s="25"/>
      <c r="E684" s="27"/>
      <c r="F684" s="27"/>
      <c r="G684" s="25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5"/>
      <c r="B685" s="25"/>
      <c r="C685" s="25"/>
      <c r="D685" s="25"/>
      <c r="E685" s="27"/>
      <c r="F685" s="27"/>
      <c r="G685" s="25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5"/>
      <c r="B686" s="25"/>
      <c r="C686" s="25"/>
      <c r="D686" s="25"/>
      <c r="E686" s="27"/>
      <c r="F686" s="27"/>
      <c r="G686" s="25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5"/>
      <c r="B687" s="25"/>
      <c r="C687" s="25"/>
      <c r="D687" s="25"/>
      <c r="E687" s="27"/>
      <c r="F687" s="27"/>
      <c r="G687" s="25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5"/>
      <c r="B688" s="25"/>
      <c r="C688" s="25"/>
      <c r="D688" s="25"/>
      <c r="E688" s="27"/>
      <c r="F688" s="27"/>
      <c r="G688" s="25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5"/>
      <c r="B689" s="25"/>
      <c r="C689" s="25"/>
      <c r="D689" s="25"/>
      <c r="E689" s="27"/>
      <c r="F689" s="27"/>
      <c r="G689" s="25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5"/>
      <c r="B690" s="25"/>
      <c r="C690" s="25"/>
      <c r="D690" s="25"/>
      <c r="E690" s="27"/>
      <c r="F690" s="27"/>
      <c r="G690" s="25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5"/>
      <c r="B691" s="25"/>
      <c r="C691" s="25"/>
      <c r="D691" s="25"/>
      <c r="E691" s="27"/>
      <c r="F691" s="27"/>
      <c r="G691" s="25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5"/>
      <c r="B692" s="25"/>
      <c r="C692" s="25"/>
      <c r="D692" s="25"/>
      <c r="E692" s="27"/>
      <c r="F692" s="27"/>
      <c r="G692" s="25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5"/>
      <c r="B693" s="25"/>
      <c r="C693" s="25"/>
      <c r="D693" s="25"/>
      <c r="E693" s="27"/>
      <c r="F693" s="27"/>
      <c r="G693" s="25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5"/>
      <c r="B694" s="25"/>
      <c r="C694" s="25"/>
      <c r="D694" s="25"/>
      <c r="E694" s="27"/>
      <c r="F694" s="27"/>
      <c r="G694" s="25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5"/>
      <c r="B695" s="25"/>
      <c r="C695" s="25"/>
      <c r="D695" s="25"/>
      <c r="E695" s="27"/>
      <c r="F695" s="27"/>
      <c r="G695" s="25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5"/>
      <c r="B696" s="25"/>
      <c r="C696" s="25"/>
      <c r="D696" s="25"/>
      <c r="E696" s="27"/>
      <c r="F696" s="27"/>
      <c r="G696" s="25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5"/>
      <c r="B697" s="25"/>
      <c r="C697" s="25"/>
      <c r="D697" s="25"/>
      <c r="E697" s="27"/>
      <c r="F697" s="27"/>
      <c r="G697" s="25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5"/>
      <c r="B698" s="25"/>
      <c r="C698" s="25"/>
      <c r="D698" s="25"/>
      <c r="E698" s="27"/>
      <c r="F698" s="27"/>
      <c r="G698" s="25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5"/>
      <c r="B699" s="25"/>
      <c r="C699" s="25"/>
      <c r="D699" s="25"/>
      <c r="E699" s="27"/>
      <c r="F699" s="27"/>
      <c r="G699" s="25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5"/>
      <c r="B700" s="25"/>
      <c r="C700" s="25"/>
      <c r="D700" s="25"/>
      <c r="E700" s="27"/>
      <c r="F700" s="27"/>
      <c r="G700" s="25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5"/>
      <c r="B701" s="25"/>
      <c r="C701" s="25"/>
      <c r="D701" s="25"/>
      <c r="E701" s="27"/>
      <c r="F701" s="27"/>
      <c r="G701" s="25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5"/>
      <c r="B702" s="25"/>
      <c r="C702" s="25"/>
      <c r="D702" s="25"/>
      <c r="E702" s="27"/>
      <c r="F702" s="27"/>
      <c r="G702" s="25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5"/>
      <c r="B703" s="25"/>
      <c r="C703" s="25"/>
      <c r="D703" s="25"/>
      <c r="E703" s="27"/>
      <c r="F703" s="27"/>
      <c r="G703" s="25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5"/>
      <c r="B704" s="25"/>
      <c r="C704" s="25"/>
      <c r="D704" s="25"/>
      <c r="E704" s="27"/>
      <c r="F704" s="27"/>
      <c r="G704" s="25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5"/>
      <c r="B705" s="25"/>
      <c r="C705" s="25"/>
      <c r="D705" s="25"/>
      <c r="E705" s="27"/>
      <c r="F705" s="27"/>
      <c r="G705" s="25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5"/>
      <c r="B706" s="25"/>
      <c r="C706" s="25"/>
      <c r="D706" s="25"/>
      <c r="E706" s="27"/>
      <c r="F706" s="27"/>
      <c r="G706" s="25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5"/>
      <c r="B707" s="25"/>
      <c r="C707" s="25"/>
      <c r="D707" s="25"/>
      <c r="E707" s="27"/>
      <c r="F707" s="27"/>
      <c r="G707" s="25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5"/>
      <c r="B708" s="25"/>
      <c r="C708" s="25"/>
      <c r="D708" s="25"/>
      <c r="E708" s="27"/>
      <c r="F708" s="27"/>
      <c r="G708" s="25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5"/>
      <c r="B709" s="25"/>
      <c r="C709" s="25"/>
      <c r="D709" s="25"/>
      <c r="E709" s="27"/>
      <c r="F709" s="27"/>
      <c r="G709" s="25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5"/>
      <c r="B710" s="25"/>
      <c r="C710" s="25"/>
      <c r="D710" s="25"/>
      <c r="E710" s="27"/>
      <c r="F710" s="27"/>
      <c r="G710" s="25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5"/>
      <c r="B711" s="25"/>
      <c r="C711" s="25"/>
      <c r="D711" s="25"/>
      <c r="E711" s="27"/>
      <c r="F711" s="27"/>
      <c r="G711" s="25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5"/>
      <c r="B712" s="25"/>
      <c r="C712" s="25"/>
      <c r="D712" s="25"/>
      <c r="E712" s="27"/>
      <c r="F712" s="27"/>
      <c r="G712" s="25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5"/>
      <c r="B713" s="25"/>
      <c r="C713" s="25"/>
      <c r="D713" s="25"/>
      <c r="E713" s="27"/>
      <c r="F713" s="27"/>
      <c r="G713" s="25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5"/>
      <c r="B714" s="25"/>
      <c r="C714" s="25"/>
      <c r="D714" s="25"/>
      <c r="E714" s="27"/>
      <c r="F714" s="27"/>
      <c r="G714" s="25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5"/>
      <c r="B715" s="25"/>
      <c r="C715" s="25"/>
      <c r="D715" s="25"/>
      <c r="E715" s="27"/>
      <c r="F715" s="27"/>
      <c r="G715" s="25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5"/>
      <c r="B716" s="25"/>
      <c r="C716" s="25"/>
      <c r="D716" s="25"/>
      <c r="E716" s="27"/>
      <c r="F716" s="27"/>
      <c r="G716" s="25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5"/>
      <c r="B717" s="25"/>
      <c r="C717" s="25"/>
      <c r="D717" s="25"/>
      <c r="E717" s="27"/>
      <c r="F717" s="27"/>
      <c r="G717" s="25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5"/>
      <c r="B718" s="25"/>
      <c r="C718" s="25"/>
      <c r="D718" s="25"/>
      <c r="E718" s="27"/>
      <c r="F718" s="27"/>
      <c r="G718" s="25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5"/>
      <c r="B719" s="25"/>
      <c r="C719" s="25"/>
      <c r="D719" s="25"/>
      <c r="E719" s="27"/>
      <c r="F719" s="27"/>
      <c r="G719" s="25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5"/>
      <c r="B720" s="25"/>
      <c r="C720" s="25"/>
      <c r="D720" s="25"/>
      <c r="E720" s="27"/>
      <c r="F720" s="27"/>
      <c r="G720" s="25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5"/>
      <c r="B721" s="25"/>
      <c r="C721" s="25"/>
      <c r="D721" s="25"/>
      <c r="E721" s="27"/>
      <c r="F721" s="27"/>
      <c r="G721" s="25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5"/>
      <c r="B722" s="25"/>
      <c r="C722" s="25"/>
      <c r="D722" s="25"/>
      <c r="E722" s="27"/>
      <c r="F722" s="27"/>
      <c r="G722" s="25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5"/>
      <c r="B723" s="25"/>
      <c r="C723" s="25"/>
      <c r="D723" s="25"/>
      <c r="E723" s="27"/>
      <c r="F723" s="27"/>
      <c r="G723" s="25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5"/>
      <c r="B724" s="25"/>
      <c r="C724" s="25"/>
      <c r="D724" s="25"/>
      <c r="E724" s="27"/>
      <c r="F724" s="27"/>
      <c r="G724" s="25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5"/>
      <c r="B725" s="25"/>
      <c r="C725" s="25"/>
      <c r="D725" s="25"/>
      <c r="E725" s="27"/>
      <c r="F725" s="27"/>
      <c r="G725" s="25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5"/>
      <c r="B726" s="25"/>
      <c r="C726" s="25"/>
      <c r="D726" s="25"/>
      <c r="E726" s="27"/>
      <c r="F726" s="27"/>
      <c r="G726" s="25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5"/>
      <c r="B727" s="25"/>
      <c r="C727" s="25"/>
      <c r="D727" s="25"/>
      <c r="E727" s="27"/>
      <c r="F727" s="27"/>
      <c r="G727" s="25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5"/>
      <c r="B728" s="25"/>
      <c r="C728" s="25"/>
      <c r="D728" s="25"/>
      <c r="E728" s="27"/>
      <c r="F728" s="27"/>
      <c r="G728" s="25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5"/>
      <c r="B729" s="25"/>
      <c r="C729" s="25"/>
      <c r="D729" s="25"/>
      <c r="E729" s="27"/>
      <c r="F729" s="27"/>
      <c r="G729" s="25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5"/>
      <c r="B730" s="25"/>
      <c r="C730" s="25"/>
      <c r="D730" s="25"/>
      <c r="E730" s="27"/>
      <c r="F730" s="27"/>
      <c r="G730" s="25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5"/>
      <c r="B731" s="25"/>
      <c r="C731" s="25"/>
      <c r="D731" s="25"/>
      <c r="E731" s="27"/>
      <c r="F731" s="27"/>
      <c r="G731" s="25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5"/>
      <c r="B732" s="25"/>
      <c r="C732" s="25"/>
      <c r="D732" s="25"/>
      <c r="E732" s="27"/>
      <c r="F732" s="27"/>
      <c r="G732" s="25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5"/>
      <c r="B733" s="25"/>
      <c r="C733" s="25"/>
      <c r="D733" s="25"/>
      <c r="E733" s="27"/>
      <c r="F733" s="27"/>
      <c r="G733" s="25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5"/>
      <c r="B734" s="25"/>
      <c r="C734" s="25"/>
      <c r="D734" s="25"/>
      <c r="E734" s="27"/>
      <c r="F734" s="27"/>
      <c r="G734" s="25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5"/>
      <c r="B735" s="25"/>
      <c r="C735" s="25"/>
      <c r="D735" s="25"/>
      <c r="E735" s="27"/>
      <c r="F735" s="27"/>
      <c r="G735" s="25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5"/>
      <c r="B736" s="25"/>
      <c r="C736" s="25"/>
      <c r="D736" s="25"/>
      <c r="E736" s="27"/>
      <c r="F736" s="27"/>
      <c r="G736" s="25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5"/>
      <c r="B737" s="25"/>
      <c r="C737" s="25"/>
      <c r="D737" s="25"/>
      <c r="E737" s="27"/>
      <c r="F737" s="27"/>
      <c r="G737" s="25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5"/>
      <c r="B738" s="25"/>
      <c r="C738" s="25"/>
      <c r="D738" s="25"/>
      <c r="E738" s="27"/>
      <c r="F738" s="27"/>
      <c r="G738" s="25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5"/>
      <c r="B739" s="25"/>
      <c r="C739" s="25"/>
      <c r="D739" s="25"/>
      <c r="E739" s="27"/>
      <c r="F739" s="27"/>
      <c r="G739" s="25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5"/>
      <c r="B740" s="25"/>
      <c r="C740" s="25"/>
      <c r="D740" s="25"/>
      <c r="E740" s="27"/>
      <c r="F740" s="27"/>
      <c r="G740" s="25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5"/>
      <c r="B741" s="25"/>
      <c r="C741" s="25"/>
      <c r="D741" s="25"/>
      <c r="E741" s="27"/>
      <c r="F741" s="27"/>
      <c r="G741" s="25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5"/>
      <c r="B742" s="25"/>
      <c r="C742" s="25"/>
      <c r="D742" s="25"/>
      <c r="E742" s="27"/>
      <c r="F742" s="27"/>
      <c r="G742" s="25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5"/>
      <c r="B743" s="25"/>
      <c r="C743" s="25"/>
      <c r="D743" s="25"/>
      <c r="E743" s="27"/>
      <c r="F743" s="27"/>
      <c r="G743" s="25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5"/>
      <c r="B744" s="25"/>
      <c r="C744" s="25"/>
      <c r="D744" s="25"/>
      <c r="E744" s="27"/>
      <c r="F744" s="27"/>
      <c r="G744" s="25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5"/>
      <c r="B745" s="25"/>
      <c r="C745" s="25"/>
      <c r="D745" s="25"/>
      <c r="E745" s="27"/>
      <c r="F745" s="27"/>
      <c r="G745" s="25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5"/>
      <c r="B746" s="25"/>
      <c r="C746" s="25"/>
      <c r="D746" s="25"/>
      <c r="E746" s="27"/>
      <c r="F746" s="27"/>
      <c r="G746" s="25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5"/>
      <c r="B747" s="25"/>
      <c r="C747" s="25"/>
      <c r="D747" s="25"/>
      <c r="E747" s="27"/>
      <c r="F747" s="27"/>
      <c r="G747" s="25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5"/>
      <c r="B748" s="25"/>
      <c r="C748" s="25"/>
      <c r="D748" s="25"/>
      <c r="E748" s="27"/>
      <c r="F748" s="27"/>
      <c r="G748" s="25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5"/>
      <c r="B749" s="25"/>
      <c r="C749" s="25"/>
      <c r="D749" s="25"/>
      <c r="E749" s="27"/>
      <c r="F749" s="27"/>
      <c r="G749" s="25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5"/>
      <c r="B750" s="25"/>
      <c r="C750" s="25"/>
      <c r="D750" s="25"/>
      <c r="E750" s="27"/>
      <c r="F750" s="27"/>
      <c r="G750" s="25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5"/>
      <c r="B751" s="25"/>
      <c r="C751" s="25"/>
      <c r="D751" s="25"/>
      <c r="E751" s="27"/>
      <c r="F751" s="27"/>
      <c r="G751" s="25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5"/>
      <c r="B752" s="25"/>
      <c r="C752" s="25"/>
      <c r="D752" s="25"/>
      <c r="E752" s="27"/>
      <c r="F752" s="27"/>
      <c r="G752" s="25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5"/>
      <c r="B753" s="25"/>
      <c r="C753" s="25"/>
      <c r="D753" s="25"/>
      <c r="E753" s="27"/>
      <c r="F753" s="27"/>
      <c r="G753" s="25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5"/>
      <c r="B754" s="25"/>
      <c r="C754" s="25"/>
      <c r="D754" s="25"/>
      <c r="E754" s="27"/>
      <c r="F754" s="27"/>
      <c r="G754" s="25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5"/>
      <c r="B755" s="25"/>
      <c r="C755" s="25"/>
      <c r="D755" s="25"/>
      <c r="E755" s="27"/>
      <c r="F755" s="27"/>
      <c r="G755" s="25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5"/>
      <c r="B756" s="25"/>
      <c r="C756" s="25"/>
      <c r="D756" s="25"/>
      <c r="E756" s="27"/>
      <c r="F756" s="27"/>
      <c r="G756" s="25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5"/>
      <c r="B757" s="25"/>
      <c r="C757" s="25"/>
      <c r="D757" s="25"/>
      <c r="E757" s="27"/>
      <c r="F757" s="27"/>
      <c r="G757" s="25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5"/>
      <c r="B758" s="25"/>
      <c r="C758" s="25"/>
      <c r="D758" s="25"/>
      <c r="E758" s="27"/>
      <c r="F758" s="27"/>
      <c r="G758" s="25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5"/>
      <c r="B759" s="25"/>
      <c r="C759" s="25"/>
      <c r="D759" s="25"/>
      <c r="E759" s="27"/>
      <c r="F759" s="27"/>
      <c r="G759" s="25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5"/>
      <c r="B760" s="25"/>
      <c r="C760" s="25"/>
      <c r="D760" s="25"/>
      <c r="E760" s="27"/>
      <c r="F760" s="27"/>
      <c r="G760" s="25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5"/>
      <c r="B761" s="25"/>
      <c r="C761" s="25"/>
      <c r="D761" s="25"/>
      <c r="E761" s="27"/>
      <c r="F761" s="27"/>
      <c r="G761" s="25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5"/>
      <c r="B762" s="25"/>
      <c r="C762" s="25"/>
      <c r="D762" s="25"/>
      <c r="E762" s="27"/>
      <c r="F762" s="27"/>
      <c r="G762" s="25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5"/>
      <c r="B763" s="25"/>
      <c r="C763" s="25"/>
      <c r="D763" s="25"/>
      <c r="E763" s="27"/>
      <c r="F763" s="27"/>
      <c r="G763" s="25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5"/>
      <c r="B764" s="25"/>
      <c r="C764" s="25"/>
      <c r="D764" s="25"/>
      <c r="E764" s="27"/>
      <c r="F764" s="27"/>
      <c r="G764" s="25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5"/>
      <c r="B765" s="25"/>
      <c r="C765" s="25"/>
      <c r="D765" s="25"/>
      <c r="E765" s="27"/>
      <c r="F765" s="27"/>
      <c r="G765" s="25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5"/>
      <c r="B766" s="25"/>
      <c r="C766" s="25"/>
      <c r="D766" s="25"/>
      <c r="E766" s="27"/>
      <c r="F766" s="27"/>
      <c r="G766" s="25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5"/>
      <c r="B767" s="25"/>
      <c r="C767" s="25"/>
      <c r="D767" s="25"/>
      <c r="E767" s="27"/>
      <c r="F767" s="27"/>
      <c r="G767" s="25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5"/>
      <c r="B768" s="25"/>
      <c r="C768" s="25"/>
      <c r="D768" s="25"/>
      <c r="E768" s="27"/>
      <c r="F768" s="27"/>
      <c r="G768" s="25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5"/>
      <c r="B769" s="25"/>
      <c r="C769" s="25"/>
      <c r="D769" s="25"/>
      <c r="E769" s="27"/>
      <c r="F769" s="27"/>
      <c r="G769" s="25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5"/>
      <c r="B770" s="25"/>
      <c r="C770" s="25"/>
      <c r="D770" s="25"/>
      <c r="E770" s="27"/>
      <c r="F770" s="27"/>
      <c r="G770" s="25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5"/>
      <c r="B771" s="25"/>
      <c r="C771" s="25"/>
      <c r="D771" s="25"/>
      <c r="E771" s="27"/>
      <c r="F771" s="27"/>
      <c r="G771" s="25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5"/>
      <c r="B772" s="25"/>
      <c r="C772" s="25"/>
      <c r="D772" s="25"/>
      <c r="E772" s="27"/>
      <c r="F772" s="27"/>
      <c r="G772" s="25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5"/>
      <c r="B773" s="25"/>
      <c r="C773" s="25"/>
      <c r="D773" s="25"/>
      <c r="E773" s="27"/>
      <c r="F773" s="27"/>
      <c r="G773" s="25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5"/>
      <c r="B774" s="25"/>
      <c r="C774" s="25"/>
      <c r="D774" s="25"/>
      <c r="E774" s="27"/>
      <c r="F774" s="27"/>
      <c r="G774" s="25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5"/>
      <c r="B775" s="25"/>
      <c r="C775" s="25"/>
      <c r="D775" s="25"/>
      <c r="E775" s="27"/>
      <c r="F775" s="27"/>
      <c r="G775" s="25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5"/>
      <c r="B776" s="25"/>
      <c r="C776" s="25"/>
      <c r="D776" s="25"/>
      <c r="E776" s="27"/>
      <c r="F776" s="27"/>
      <c r="G776" s="25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5"/>
      <c r="B777" s="25"/>
      <c r="C777" s="25"/>
      <c r="D777" s="25"/>
      <c r="E777" s="27"/>
      <c r="F777" s="27"/>
      <c r="G777" s="25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5"/>
      <c r="B778" s="25"/>
      <c r="C778" s="25"/>
      <c r="D778" s="25"/>
      <c r="E778" s="27"/>
      <c r="F778" s="27"/>
      <c r="G778" s="25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5"/>
      <c r="B779" s="25"/>
      <c r="C779" s="25"/>
      <c r="D779" s="25"/>
      <c r="E779" s="27"/>
      <c r="F779" s="27"/>
      <c r="G779" s="25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5"/>
      <c r="B780" s="25"/>
      <c r="C780" s="25"/>
      <c r="D780" s="25"/>
      <c r="E780" s="27"/>
      <c r="F780" s="27"/>
      <c r="G780" s="25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5"/>
      <c r="B781" s="25"/>
      <c r="C781" s="25"/>
      <c r="D781" s="25"/>
      <c r="E781" s="27"/>
      <c r="F781" s="27"/>
      <c r="G781" s="25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5"/>
      <c r="B782" s="25"/>
      <c r="C782" s="25"/>
      <c r="D782" s="25"/>
      <c r="E782" s="27"/>
      <c r="F782" s="27"/>
      <c r="G782" s="25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5"/>
      <c r="B783" s="25"/>
      <c r="C783" s="25"/>
      <c r="D783" s="25"/>
      <c r="E783" s="27"/>
      <c r="F783" s="27"/>
      <c r="G783" s="25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5"/>
      <c r="B784" s="25"/>
      <c r="C784" s="25"/>
      <c r="D784" s="25"/>
      <c r="E784" s="27"/>
      <c r="F784" s="27"/>
      <c r="G784" s="25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5"/>
      <c r="B785" s="25"/>
      <c r="C785" s="25"/>
      <c r="D785" s="25"/>
      <c r="E785" s="27"/>
      <c r="F785" s="27"/>
      <c r="G785" s="25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5"/>
      <c r="B786" s="25"/>
      <c r="C786" s="25"/>
      <c r="D786" s="25"/>
      <c r="E786" s="27"/>
      <c r="F786" s="27"/>
      <c r="G786" s="25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5"/>
      <c r="B787" s="25"/>
      <c r="C787" s="25"/>
      <c r="D787" s="25"/>
      <c r="E787" s="27"/>
      <c r="F787" s="27"/>
      <c r="G787" s="25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5"/>
      <c r="B788" s="25"/>
      <c r="C788" s="25"/>
      <c r="D788" s="25"/>
      <c r="E788" s="27"/>
      <c r="F788" s="27"/>
      <c r="G788" s="25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5"/>
      <c r="B789" s="25"/>
      <c r="C789" s="25"/>
      <c r="D789" s="25"/>
      <c r="E789" s="27"/>
      <c r="F789" s="27"/>
      <c r="G789" s="25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5"/>
      <c r="B790" s="25"/>
      <c r="C790" s="25"/>
      <c r="D790" s="25"/>
      <c r="E790" s="27"/>
      <c r="F790" s="27"/>
      <c r="G790" s="25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5"/>
      <c r="B791" s="25"/>
      <c r="C791" s="25"/>
      <c r="D791" s="25"/>
      <c r="E791" s="27"/>
      <c r="F791" s="27"/>
      <c r="G791" s="25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5"/>
      <c r="B792" s="25"/>
      <c r="C792" s="25"/>
      <c r="D792" s="25"/>
      <c r="E792" s="27"/>
      <c r="F792" s="27"/>
      <c r="G792" s="25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5"/>
      <c r="B793" s="25"/>
      <c r="C793" s="25"/>
      <c r="D793" s="25"/>
      <c r="E793" s="27"/>
      <c r="F793" s="27"/>
      <c r="G793" s="25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5"/>
      <c r="B794" s="25"/>
      <c r="C794" s="25"/>
      <c r="D794" s="25"/>
      <c r="E794" s="27"/>
      <c r="F794" s="27"/>
      <c r="G794" s="25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5"/>
      <c r="B795" s="25"/>
      <c r="C795" s="25"/>
      <c r="D795" s="25"/>
      <c r="E795" s="27"/>
      <c r="F795" s="27"/>
      <c r="G795" s="25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5"/>
      <c r="B796" s="25"/>
      <c r="C796" s="25"/>
      <c r="D796" s="25"/>
      <c r="E796" s="27"/>
      <c r="F796" s="27"/>
      <c r="G796" s="25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5"/>
      <c r="B797" s="25"/>
      <c r="C797" s="25"/>
      <c r="D797" s="25"/>
      <c r="E797" s="27"/>
      <c r="F797" s="27"/>
      <c r="G797" s="25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5"/>
      <c r="B798" s="25"/>
      <c r="C798" s="25"/>
      <c r="D798" s="25"/>
      <c r="E798" s="27"/>
      <c r="F798" s="27"/>
      <c r="G798" s="25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5"/>
      <c r="B799" s="25"/>
      <c r="C799" s="25"/>
      <c r="D799" s="25"/>
      <c r="E799" s="27"/>
      <c r="F799" s="27"/>
      <c r="G799" s="25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5"/>
      <c r="B800" s="25"/>
      <c r="C800" s="25"/>
      <c r="D800" s="25"/>
      <c r="E800" s="27"/>
      <c r="F800" s="27"/>
      <c r="G800" s="25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5"/>
      <c r="B801" s="25"/>
      <c r="C801" s="25"/>
      <c r="D801" s="25"/>
      <c r="E801" s="27"/>
      <c r="F801" s="27"/>
      <c r="G801" s="25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5"/>
      <c r="B802" s="25"/>
      <c r="C802" s="25"/>
      <c r="D802" s="25"/>
      <c r="E802" s="27"/>
      <c r="F802" s="27"/>
      <c r="G802" s="25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5"/>
      <c r="B803" s="25"/>
      <c r="C803" s="25"/>
      <c r="D803" s="25"/>
      <c r="E803" s="27"/>
      <c r="F803" s="27"/>
      <c r="G803" s="25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5"/>
      <c r="B804" s="25"/>
      <c r="C804" s="25"/>
      <c r="D804" s="25"/>
      <c r="E804" s="27"/>
      <c r="F804" s="27"/>
      <c r="G804" s="25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5"/>
      <c r="B805" s="25"/>
      <c r="C805" s="25"/>
      <c r="D805" s="25"/>
      <c r="E805" s="27"/>
      <c r="F805" s="27"/>
      <c r="G805" s="25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5"/>
      <c r="B806" s="25"/>
      <c r="C806" s="25"/>
      <c r="D806" s="25"/>
      <c r="E806" s="27"/>
      <c r="F806" s="27"/>
      <c r="G806" s="25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5"/>
      <c r="B807" s="25"/>
      <c r="C807" s="25"/>
      <c r="D807" s="25"/>
      <c r="E807" s="27"/>
      <c r="F807" s="27"/>
      <c r="G807" s="25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5"/>
      <c r="B808" s="25"/>
      <c r="C808" s="25"/>
      <c r="D808" s="25"/>
      <c r="E808" s="27"/>
      <c r="F808" s="27"/>
      <c r="G808" s="25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5"/>
      <c r="B809" s="25"/>
      <c r="C809" s="25"/>
      <c r="D809" s="25"/>
      <c r="E809" s="27"/>
      <c r="F809" s="27"/>
      <c r="G809" s="25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5"/>
      <c r="B810" s="25"/>
      <c r="C810" s="25"/>
      <c r="D810" s="25"/>
      <c r="E810" s="27"/>
      <c r="F810" s="27"/>
      <c r="G810" s="25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5"/>
      <c r="B811" s="25"/>
      <c r="C811" s="25"/>
      <c r="D811" s="25"/>
      <c r="E811" s="27"/>
      <c r="F811" s="27"/>
      <c r="G811" s="25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5"/>
      <c r="B812" s="25"/>
      <c r="C812" s="25"/>
      <c r="D812" s="25"/>
      <c r="E812" s="27"/>
      <c r="F812" s="27"/>
      <c r="G812" s="25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5"/>
      <c r="B813" s="25"/>
      <c r="C813" s="25"/>
      <c r="D813" s="25"/>
      <c r="E813" s="27"/>
      <c r="F813" s="27"/>
      <c r="G813" s="25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5"/>
      <c r="B814" s="25"/>
      <c r="C814" s="25"/>
      <c r="D814" s="25"/>
      <c r="E814" s="27"/>
      <c r="F814" s="27"/>
      <c r="G814" s="25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5"/>
      <c r="B815" s="25"/>
      <c r="C815" s="25"/>
      <c r="D815" s="25"/>
      <c r="E815" s="27"/>
      <c r="F815" s="27"/>
      <c r="G815" s="25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5"/>
      <c r="B816" s="25"/>
      <c r="C816" s="25"/>
      <c r="D816" s="25"/>
      <c r="E816" s="27"/>
      <c r="F816" s="27"/>
      <c r="G816" s="25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5"/>
      <c r="B817" s="25"/>
      <c r="C817" s="25"/>
      <c r="D817" s="25"/>
      <c r="E817" s="27"/>
      <c r="F817" s="27"/>
      <c r="G817" s="25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5"/>
      <c r="B818" s="25"/>
      <c r="C818" s="25"/>
      <c r="D818" s="25"/>
      <c r="E818" s="27"/>
      <c r="F818" s="27"/>
      <c r="G818" s="25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5"/>
      <c r="B819" s="25"/>
      <c r="C819" s="25"/>
      <c r="D819" s="25"/>
      <c r="E819" s="27"/>
      <c r="F819" s="27"/>
      <c r="G819" s="25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5"/>
      <c r="B820" s="25"/>
      <c r="C820" s="25"/>
      <c r="D820" s="25"/>
      <c r="E820" s="27"/>
      <c r="F820" s="27"/>
      <c r="G820" s="25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5"/>
      <c r="B821" s="25"/>
      <c r="C821" s="25"/>
      <c r="D821" s="25"/>
      <c r="E821" s="27"/>
      <c r="F821" s="27"/>
      <c r="G821" s="25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5"/>
      <c r="B822" s="25"/>
      <c r="C822" s="25"/>
      <c r="D822" s="25"/>
      <c r="E822" s="27"/>
      <c r="F822" s="27"/>
      <c r="G822" s="25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5"/>
      <c r="B823" s="25"/>
      <c r="C823" s="25"/>
      <c r="D823" s="25"/>
      <c r="E823" s="27"/>
      <c r="F823" s="27"/>
      <c r="G823" s="25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5"/>
      <c r="B824" s="25"/>
      <c r="C824" s="25"/>
      <c r="D824" s="25"/>
      <c r="E824" s="27"/>
      <c r="F824" s="27"/>
      <c r="G824" s="25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5"/>
      <c r="B825" s="25"/>
      <c r="C825" s="25"/>
      <c r="D825" s="25"/>
      <c r="E825" s="27"/>
      <c r="F825" s="27"/>
      <c r="G825" s="25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5"/>
      <c r="B826" s="25"/>
      <c r="C826" s="25"/>
      <c r="D826" s="25"/>
      <c r="E826" s="27"/>
      <c r="F826" s="27"/>
      <c r="G826" s="25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5"/>
      <c r="B827" s="25"/>
      <c r="C827" s="25"/>
      <c r="D827" s="25"/>
      <c r="E827" s="27"/>
      <c r="F827" s="27"/>
      <c r="G827" s="25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5"/>
      <c r="B828" s="25"/>
      <c r="C828" s="25"/>
      <c r="D828" s="25"/>
      <c r="E828" s="27"/>
      <c r="F828" s="27"/>
      <c r="G828" s="25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5"/>
      <c r="B829" s="25"/>
      <c r="C829" s="25"/>
      <c r="D829" s="25"/>
      <c r="E829" s="27"/>
      <c r="F829" s="27"/>
      <c r="G829" s="25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5"/>
      <c r="B830" s="25"/>
      <c r="C830" s="25"/>
      <c r="D830" s="25"/>
      <c r="E830" s="27"/>
      <c r="F830" s="27"/>
      <c r="G830" s="25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5"/>
      <c r="B831" s="25"/>
      <c r="C831" s="25"/>
      <c r="D831" s="25"/>
      <c r="E831" s="27"/>
      <c r="F831" s="27"/>
      <c r="G831" s="25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5"/>
      <c r="B832" s="25"/>
      <c r="C832" s="25"/>
      <c r="D832" s="25"/>
      <c r="E832" s="27"/>
      <c r="F832" s="27"/>
      <c r="G832" s="25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5"/>
      <c r="B833" s="25"/>
      <c r="C833" s="25"/>
      <c r="D833" s="25"/>
      <c r="E833" s="27"/>
      <c r="F833" s="27"/>
      <c r="G833" s="25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5"/>
      <c r="B834" s="25"/>
      <c r="C834" s="25"/>
      <c r="D834" s="25"/>
      <c r="E834" s="27"/>
      <c r="F834" s="27"/>
      <c r="G834" s="25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5"/>
      <c r="B835" s="25"/>
      <c r="C835" s="25"/>
      <c r="D835" s="25"/>
      <c r="E835" s="27"/>
      <c r="F835" s="27"/>
      <c r="G835" s="25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5"/>
      <c r="B836" s="25"/>
      <c r="C836" s="25"/>
      <c r="D836" s="25"/>
      <c r="E836" s="27"/>
      <c r="F836" s="27"/>
      <c r="G836" s="25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5"/>
      <c r="B837" s="25"/>
      <c r="C837" s="25"/>
      <c r="D837" s="25"/>
      <c r="E837" s="27"/>
      <c r="F837" s="27"/>
      <c r="G837" s="25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5"/>
      <c r="B838" s="25"/>
      <c r="C838" s="25"/>
      <c r="D838" s="25"/>
      <c r="E838" s="27"/>
      <c r="F838" s="27"/>
      <c r="G838" s="25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5"/>
      <c r="B839" s="25"/>
      <c r="C839" s="25"/>
      <c r="D839" s="25"/>
      <c r="E839" s="27"/>
      <c r="F839" s="27"/>
      <c r="G839" s="25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5"/>
      <c r="B840" s="25"/>
      <c r="C840" s="25"/>
      <c r="D840" s="25"/>
      <c r="E840" s="27"/>
      <c r="F840" s="27"/>
      <c r="G840" s="25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5"/>
      <c r="B841" s="25"/>
      <c r="C841" s="25"/>
      <c r="D841" s="25"/>
      <c r="E841" s="27"/>
      <c r="F841" s="27"/>
      <c r="G841" s="25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5"/>
      <c r="B842" s="25"/>
      <c r="C842" s="25"/>
      <c r="D842" s="25"/>
      <c r="E842" s="27"/>
      <c r="F842" s="27"/>
      <c r="G842" s="25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5"/>
      <c r="B843" s="25"/>
      <c r="C843" s="25"/>
      <c r="D843" s="25"/>
      <c r="E843" s="27"/>
      <c r="F843" s="27"/>
      <c r="G843" s="25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5"/>
      <c r="B844" s="25"/>
      <c r="C844" s="25"/>
      <c r="D844" s="25"/>
      <c r="E844" s="27"/>
      <c r="F844" s="27"/>
      <c r="G844" s="25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5"/>
      <c r="B845" s="25"/>
      <c r="C845" s="25"/>
      <c r="D845" s="25"/>
      <c r="E845" s="27"/>
      <c r="F845" s="27"/>
      <c r="G845" s="25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5"/>
      <c r="B846" s="25"/>
      <c r="C846" s="25"/>
      <c r="D846" s="25"/>
      <c r="E846" s="27"/>
      <c r="F846" s="27"/>
      <c r="G846" s="25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5"/>
      <c r="B847" s="25"/>
      <c r="C847" s="25"/>
      <c r="D847" s="25"/>
      <c r="E847" s="27"/>
      <c r="F847" s="27"/>
      <c r="G847" s="25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5"/>
      <c r="B848" s="25"/>
      <c r="C848" s="25"/>
      <c r="D848" s="25"/>
      <c r="E848" s="27"/>
      <c r="F848" s="27"/>
      <c r="G848" s="25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5"/>
      <c r="B849" s="25"/>
      <c r="C849" s="25"/>
      <c r="D849" s="25"/>
      <c r="E849" s="27"/>
      <c r="F849" s="27"/>
      <c r="G849" s="25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5"/>
      <c r="B850" s="25"/>
      <c r="C850" s="25"/>
      <c r="D850" s="25"/>
      <c r="E850" s="27"/>
      <c r="F850" s="27"/>
      <c r="G850" s="25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5"/>
      <c r="B851" s="25"/>
      <c r="C851" s="25"/>
      <c r="D851" s="25"/>
      <c r="E851" s="27"/>
      <c r="F851" s="27"/>
      <c r="G851" s="25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5"/>
      <c r="B852" s="25"/>
      <c r="C852" s="25"/>
      <c r="D852" s="25"/>
      <c r="E852" s="27"/>
      <c r="F852" s="27"/>
      <c r="G852" s="25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5"/>
      <c r="B853" s="25"/>
      <c r="C853" s="25"/>
      <c r="D853" s="25"/>
      <c r="E853" s="27"/>
      <c r="F853" s="27"/>
      <c r="G853" s="25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5"/>
      <c r="B854" s="25"/>
      <c r="C854" s="25"/>
      <c r="D854" s="25"/>
      <c r="E854" s="27"/>
      <c r="F854" s="27"/>
      <c r="G854" s="25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5"/>
      <c r="B855" s="25"/>
      <c r="C855" s="25"/>
      <c r="D855" s="25"/>
      <c r="E855" s="27"/>
      <c r="F855" s="27"/>
      <c r="G855" s="25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5"/>
      <c r="B856" s="25"/>
      <c r="C856" s="25"/>
      <c r="D856" s="25"/>
      <c r="E856" s="27"/>
      <c r="F856" s="27"/>
      <c r="G856" s="25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5"/>
      <c r="B857" s="25"/>
      <c r="C857" s="25"/>
      <c r="D857" s="25"/>
      <c r="E857" s="27"/>
      <c r="F857" s="27"/>
      <c r="G857" s="25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5"/>
      <c r="B858" s="25"/>
      <c r="C858" s="25"/>
      <c r="D858" s="25"/>
      <c r="E858" s="27"/>
      <c r="F858" s="27"/>
      <c r="G858" s="25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5"/>
      <c r="B859" s="25"/>
      <c r="C859" s="25"/>
      <c r="D859" s="25"/>
      <c r="E859" s="27"/>
      <c r="F859" s="27"/>
      <c r="G859" s="25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5"/>
      <c r="B860" s="25"/>
      <c r="C860" s="25"/>
      <c r="D860" s="25"/>
      <c r="E860" s="27"/>
      <c r="F860" s="27"/>
      <c r="G860" s="25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5"/>
      <c r="B861" s="25"/>
      <c r="C861" s="25"/>
      <c r="D861" s="25"/>
      <c r="E861" s="27"/>
      <c r="F861" s="27"/>
      <c r="G861" s="25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5"/>
      <c r="B862" s="25"/>
      <c r="C862" s="25"/>
      <c r="D862" s="25"/>
      <c r="E862" s="27"/>
      <c r="F862" s="27"/>
      <c r="G862" s="25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5"/>
      <c r="B863" s="25"/>
      <c r="C863" s="25"/>
      <c r="D863" s="25"/>
      <c r="E863" s="27"/>
      <c r="F863" s="27"/>
      <c r="G863" s="25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5"/>
      <c r="B864" s="25"/>
      <c r="C864" s="25"/>
      <c r="D864" s="25"/>
      <c r="E864" s="27"/>
      <c r="F864" s="27"/>
      <c r="G864" s="25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5"/>
      <c r="B865" s="25"/>
      <c r="C865" s="25"/>
      <c r="D865" s="25"/>
      <c r="E865" s="27"/>
      <c r="F865" s="27"/>
      <c r="G865" s="25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5"/>
      <c r="B866" s="25"/>
      <c r="C866" s="25"/>
      <c r="D866" s="25"/>
      <c r="E866" s="27"/>
      <c r="F866" s="27"/>
      <c r="G866" s="25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5"/>
      <c r="B867" s="25"/>
      <c r="C867" s="25"/>
      <c r="D867" s="25"/>
      <c r="E867" s="27"/>
      <c r="F867" s="27"/>
      <c r="G867" s="25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5"/>
      <c r="B868" s="25"/>
      <c r="C868" s="25"/>
      <c r="D868" s="25"/>
      <c r="E868" s="27"/>
      <c r="F868" s="27"/>
      <c r="G868" s="25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5"/>
      <c r="B869" s="25"/>
      <c r="C869" s="25"/>
      <c r="D869" s="25"/>
      <c r="E869" s="27"/>
      <c r="F869" s="27"/>
      <c r="G869" s="25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5"/>
      <c r="B870" s="25"/>
      <c r="C870" s="25"/>
      <c r="D870" s="25"/>
      <c r="E870" s="27"/>
      <c r="F870" s="27"/>
      <c r="G870" s="25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5"/>
      <c r="B871" s="25"/>
      <c r="C871" s="25"/>
      <c r="D871" s="25"/>
      <c r="E871" s="27"/>
      <c r="F871" s="27"/>
      <c r="G871" s="25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5"/>
      <c r="B872" s="25"/>
      <c r="C872" s="25"/>
      <c r="D872" s="25"/>
      <c r="E872" s="27"/>
      <c r="F872" s="27"/>
      <c r="G872" s="25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5"/>
      <c r="B873" s="25"/>
      <c r="C873" s="25"/>
      <c r="D873" s="25"/>
      <c r="E873" s="27"/>
      <c r="F873" s="27"/>
      <c r="G873" s="25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5"/>
      <c r="B874" s="25"/>
      <c r="C874" s="25"/>
      <c r="D874" s="25"/>
      <c r="E874" s="27"/>
      <c r="F874" s="27"/>
      <c r="G874" s="25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5"/>
      <c r="B875" s="25"/>
      <c r="C875" s="25"/>
      <c r="D875" s="25"/>
      <c r="E875" s="27"/>
      <c r="F875" s="27"/>
      <c r="G875" s="25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5"/>
      <c r="B876" s="25"/>
      <c r="C876" s="25"/>
      <c r="D876" s="25"/>
      <c r="E876" s="27"/>
      <c r="F876" s="27"/>
      <c r="G876" s="25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5"/>
      <c r="B877" s="25"/>
      <c r="C877" s="25"/>
      <c r="D877" s="25"/>
      <c r="E877" s="27"/>
      <c r="F877" s="27"/>
      <c r="G877" s="25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5"/>
      <c r="B878" s="25"/>
      <c r="C878" s="25"/>
      <c r="D878" s="25"/>
      <c r="E878" s="27"/>
      <c r="F878" s="27"/>
      <c r="G878" s="25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5"/>
      <c r="B879" s="25"/>
      <c r="C879" s="25"/>
      <c r="D879" s="25"/>
      <c r="E879" s="27"/>
      <c r="F879" s="27"/>
      <c r="G879" s="25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5"/>
      <c r="B880" s="25"/>
      <c r="C880" s="25"/>
      <c r="D880" s="25"/>
      <c r="E880" s="27"/>
      <c r="F880" s="27"/>
      <c r="G880" s="25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5"/>
      <c r="B881" s="25"/>
      <c r="C881" s="25"/>
      <c r="D881" s="25"/>
      <c r="E881" s="27"/>
      <c r="F881" s="27"/>
      <c r="G881" s="25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5"/>
      <c r="B882" s="25"/>
      <c r="C882" s="25"/>
      <c r="D882" s="25"/>
      <c r="E882" s="27"/>
      <c r="F882" s="27"/>
      <c r="G882" s="25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5"/>
      <c r="B883" s="25"/>
      <c r="C883" s="25"/>
      <c r="D883" s="25"/>
      <c r="E883" s="27"/>
      <c r="F883" s="27"/>
      <c r="G883" s="25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5"/>
      <c r="B884" s="25"/>
      <c r="C884" s="25"/>
      <c r="D884" s="25"/>
      <c r="E884" s="27"/>
      <c r="F884" s="27"/>
      <c r="G884" s="25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5"/>
      <c r="B885" s="25"/>
      <c r="C885" s="25"/>
      <c r="D885" s="25"/>
      <c r="E885" s="27"/>
      <c r="F885" s="27"/>
      <c r="G885" s="25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5"/>
      <c r="B886" s="25"/>
      <c r="C886" s="25"/>
      <c r="D886" s="25"/>
      <c r="E886" s="27"/>
      <c r="F886" s="27"/>
      <c r="G886" s="25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5"/>
      <c r="B887" s="25"/>
      <c r="C887" s="25"/>
      <c r="D887" s="25"/>
      <c r="E887" s="27"/>
      <c r="F887" s="27"/>
      <c r="G887" s="25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5"/>
      <c r="B888" s="25"/>
      <c r="C888" s="25"/>
      <c r="D888" s="25"/>
      <c r="E888" s="27"/>
      <c r="F888" s="27"/>
      <c r="G888" s="25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5"/>
      <c r="B889" s="25"/>
      <c r="C889" s="25"/>
      <c r="D889" s="25"/>
      <c r="E889" s="27"/>
      <c r="F889" s="27"/>
      <c r="G889" s="25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5"/>
      <c r="B890" s="25"/>
      <c r="C890" s="25"/>
      <c r="D890" s="25"/>
      <c r="E890" s="27"/>
      <c r="F890" s="27"/>
      <c r="G890" s="25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5"/>
      <c r="B891" s="25"/>
      <c r="C891" s="25"/>
      <c r="D891" s="25"/>
      <c r="E891" s="27"/>
      <c r="F891" s="27"/>
      <c r="G891" s="25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5"/>
      <c r="B892" s="25"/>
      <c r="C892" s="25"/>
      <c r="D892" s="25"/>
      <c r="E892" s="27"/>
      <c r="F892" s="27"/>
      <c r="G892" s="25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5"/>
      <c r="B893" s="25"/>
      <c r="C893" s="25"/>
      <c r="D893" s="25"/>
      <c r="E893" s="27"/>
      <c r="F893" s="27"/>
      <c r="G893" s="25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5"/>
      <c r="B894" s="25"/>
      <c r="C894" s="25"/>
      <c r="D894" s="25"/>
      <c r="E894" s="27"/>
      <c r="F894" s="27"/>
      <c r="G894" s="25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5"/>
      <c r="B895" s="25"/>
      <c r="C895" s="25"/>
      <c r="D895" s="25"/>
      <c r="E895" s="27"/>
      <c r="F895" s="27"/>
      <c r="G895" s="25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5"/>
      <c r="B896" s="25"/>
      <c r="C896" s="25"/>
      <c r="D896" s="25"/>
      <c r="E896" s="27"/>
      <c r="F896" s="27"/>
      <c r="G896" s="25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5"/>
      <c r="B897" s="25"/>
      <c r="C897" s="25"/>
      <c r="D897" s="25"/>
      <c r="E897" s="27"/>
      <c r="F897" s="27"/>
      <c r="G897" s="25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5"/>
      <c r="B898" s="25"/>
      <c r="C898" s="25"/>
      <c r="D898" s="25"/>
      <c r="E898" s="27"/>
      <c r="F898" s="27"/>
      <c r="G898" s="25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5"/>
      <c r="B899" s="25"/>
      <c r="C899" s="25"/>
      <c r="D899" s="25"/>
      <c r="E899" s="27"/>
      <c r="F899" s="27"/>
      <c r="G899" s="25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5"/>
      <c r="B900" s="25"/>
      <c r="C900" s="25"/>
      <c r="D900" s="25"/>
      <c r="E900" s="27"/>
      <c r="F900" s="27"/>
      <c r="G900" s="25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5"/>
      <c r="B901" s="25"/>
      <c r="C901" s="25"/>
      <c r="D901" s="25"/>
      <c r="E901" s="27"/>
      <c r="F901" s="27"/>
      <c r="G901" s="25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5"/>
      <c r="B902" s="25"/>
      <c r="C902" s="25"/>
      <c r="D902" s="25"/>
      <c r="E902" s="27"/>
      <c r="F902" s="27"/>
      <c r="G902" s="25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5"/>
      <c r="B903" s="25"/>
      <c r="C903" s="25"/>
      <c r="D903" s="25"/>
      <c r="E903" s="27"/>
      <c r="F903" s="27"/>
      <c r="G903" s="25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5"/>
      <c r="B904" s="25"/>
      <c r="C904" s="25"/>
      <c r="D904" s="25"/>
      <c r="E904" s="27"/>
      <c r="F904" s="27"/>
      <c r="G904" s="25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5"/>
      <c r="B905" s="25"/>
      <c r="C905" s="25"/>
      <c r="D905" s="25"/>
      <c r="E905" s="27"/>
      <c r="F905" s="27"/>
      <c r="G905" s="25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5"/>
      <c r="B906" s="25"/>
      <c r="C906" s="25"/>
      <c r="D906" s="25"/>
      <c r="E906" s="27"/>
      <c r="F906" s="27"/>
      <c r="G906" s="25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5"/>
      <c r="B907" s="25"/>
      <c r="C907" s="25"/>
      <c r="D907" s="25"/>
      <c r="E907" s="27"/>
      <c r="F907" s="27"/>
      <c r="G907" s="25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5"/>
      <c r="B908" s="25"/>
      <c r="C908" s="25"/>
      <c r="D908" s="25"/>
      <c r="E908" s="27"/>
      <c r="F908" s="27"/>
      <c r="G908" s="25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5"/>
      <c r="B909" s="25"/>
      <c r="C909" s="25"/>
      <c r="D909" s="25"/>
      <c r="E909" s="27"/>
      <c r="F909" s="27"/>
      <c r="G909" s="25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5"/>
      <c r="B910" s="25"/>
      <c r="C910" s="25"/>
      <c r="D910" s="25"/>
      <c r="E910" s="27"/>
      <c r="F910" s="27"/>
      <c r="G910" s="25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5"/>
      <c r="B911" s="25"/>
      <c r="C911" s="25"/>
      <c r="D911" s="25"/>
      <c r="E911" s="27"/>
      <c r="F911" s="27"/>
      <c r="G911" s="25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5"/>
      <c r="B912" s="25"/>
      <c r="C912" s="25"/>
      <c r="D912" s="25"/>
      <c r="E912" s="27"/>
      <c r="F912" s="27"/>
      <c r="G912" s="25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5"/>
      <c r="B913" s="25"/>
      <c r="C913" s="25"/>
      <c r="D913" s="25"/>
      <c r="E913" s="27"/>
      <c r="F913" s="27"/>
      <c r="G913" s="25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5"/>
      <c r="B914" s="25"/>
      <c r="C914" s="25"/>
      <c r="D914" s="25"/>
      <c r="E914" s="27"/>
      <c r="F914" s="27"/>
      <c r="G914" s="25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5"/>
      <c r="B915" s="25"/>
      <c r="C915" s="25"/>
      <c r="D915" s="25"/>
      <c r="E915" s="27"/>
      <c r="F915" s="27"/>
      <c r="G915" s="25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5"/>
      <c r="B916" s="25"/>
      <c r="C916" s="25"/>
      <c r="D916" s="25"/>
      <c r="E916" s="27"/>
      <c r="F916" s="27"/>
      <c r="G916" s="25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5"/>
      <c r="B917" s="25"/>
      <c r="C917" s="25"/>
      <c r="D917" s="25"/>
      <c r="E917" s="27"/>
      <c r="F917" s="27"/>
      <c r="G917" s="25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5"/>
      <c r="B918" s="25"/>
      <c r="C918" s="25"/>
      <c r="D918" s="25"/>
      <c r="E918" s="27"/>
      <c r="F918" s="27"/>
      <c r="G918" s="25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5"/>
      <c r="B919" s="25"/>
      <c r="C919" s="25"/>
      <c r="D919" s="25"/>
      <c r="E919" s="27"/>
      <c r="F919" s="27"/>
      <c r="G919" s="25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5"/>
      <c r="B920" s="25"/>
      <c r="C920" s="25"/>
      <c r="D920" s="25"/>
      <c r="E920" s="27"/>
      <c r="F920" s="27"/>
      <c r="G920" s="25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5"/>
      <c r="B921" s="25"/>
      <c r="C921" s="25"/>
      <c r="D921" s="25"/>
      <c r="E921" s="27"/>
      <c r="F921" s="27"/>
      <c r="G921" s="25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5"/>
      <c r="B922" s="25"/>
      <c r="C922" s="25"/>
      <c r="D922" s="25"/>
      <c r="E922" s="27"/>
      <c r="F922" s="27"/>
      <c r="G922" s="25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5"/>
      <c r="B923" s="25"/>
      <c r="C923" s="25"/>
      <c r="D923" s="25"/>
      <c r="E923" s="27"/>
      <c r="F923" s="27"/>
      <c r="G923" s="25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5"/>
      <c r="B924" s="25"/>
      <c r="C924" s="25"/>
      <c r="D924" s="25"/>
      <c r="E924" s="27"/>
      <c r="F924" s="27"/>
      <c r="G924" s="25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5"/>
      <c r="B925" s="25"/>
      <c r="C925" s="25"/>
      <c r="D925" s="25"/>
      <c r="E925" s="27"/>
      <c r="F925" s="27"/>
      <c r="G925" s="25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5"/>
      <c r="B926" s="25"/>
      <c r="C926" s="25"/>
      <c r="D926" s="25"/>
      <c r="E926" s="27"/>
      <c r="F926" s="27"/>
      <c r="G926" s="25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5"/>
      <c r="B927" s="25"/>
      <c r="C927" s="25"/>
      <c r="D927" s="25"/>
      <c r="E927" s="27"/>
      <c r="F927" s="27"/>
      <c r="G927" s="25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5"/>
      <c r="B928" s="25"/>
      <c r="C928" s="25"/>
      <c r="D928" s="25"/>
      <c r="E928" s="27"/>
      <c r="F928" s="27"/>
      <c r="G928" s="25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5"/>
      <c r="B929" s="25"/>
      <c r="C929" s="25"/>
      <c r="D929" s="25"/>
      <c r="E929" s="27"/>
      <c r="F929" s="27"/>
      <c r="G929" s="25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5"/>
      <c r="B930" s="25"/>
      <c r="C930" s="25"/>
      <c r="D930" s="25"/>
      <c r="E930" s="27"/>
      <c r="F930" s="27"/>
      <c r="G930" s="25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5"/>
      <c r="B931" s="25"/>
      <c r="C931" s="25"/>
      <c r="D931" s="25"/>
      <c r="E931" s="27"/>
      <c r="F931" s="27"/>
      <c r="G931" s="25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5"/>
      <c r="B932" s="25"/>
      <c r="C932" s="25"/>
      <c r="D932" s="25"/>
      <c r="E932" s="27"/>
      <c r="F932" s="27"/>
      <c r="G932" s="25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5"/>
      <c r="B933" s="25"/>
      <c r="C933" s="25"/>
      <c r="D933" s="25"/>
      <c r="E933" s="27"/>
      <c r="F933" s="27"/>
      <c r="G933" s="25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5"/>
      <c r="B934" s="25"/>
      <c r="C934" s="25"/>
      <c r="D934" s="25"/>
      <c r="E934" s="27"/>
      <c r="F934" s="27"/>
      <c r="G934" s="25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5"/>
      <c r="B935" s="25"/>
      <c r="C935" s="25"/>
      <c r="D935" s="25"/>
      <c r="E935" s="27"/>
      <c r="F935" s="27"/>
      <c r="G935" s="25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5"/>
      <c r="B936" s="25"/>
      <c r="C936" s="25"/>
      <c r="D936" s="25"/>
      <c r="E936" s="27"/>
      <c r="F936" s="27"/>
      <c r="G936" s="25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5"/>
      <c r="B937" s="25"/>
      <c r="C937" s="25"/>
      <c r="D937" s="25"/>
      <c r="E937" s="27"/>
      <c r="F937" s="27"/>
      <c r="G937" s="25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5"/>
      <c r="B938" s="25"/>
      <c r="C938" s="25"/>
      <c r="D938" s="25"/>
      <c r="E938" s="27"/>
      <c r="F938" s="27"/>
      <c r="G938" s="25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5"/>
      <c r="B939" s="25"/>
      <c r="C939" s="25"/>
      <c r="D939" s="25"/>
      <c r="E939" s="27"/>
      <c r="F939" s="27"/>
      <c r="G939" s="25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5"/>
      <c r="B940" s="25"/>
      <c r="C940" s="25"/>
      <c r="D940" s="25"/>
      <c r="E940" s="27"/>
      <c r="F940" s="27"/>
      <c r="G940" s="25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5"/>
      <c r="B941" s="25"/>
      <c r="C941" s="25"/>
      <c r="D941" s="25"/>
      <c r="E941" s="27"/>
      <c r="F941" s="27"/>
      <c r="G941" s="25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5"/>
      <c r="B942" s="25"/>
      <c r="C942" s="25"/>
      <c r="D942" s="25"/>
      <c r="E942" s="27"/>
      <c r="F942" s="27"/>
      <c r="G942" s="25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5"/>
      <c r="B943" s="25"/>
      <c r="C943" s="25"/>
      <c r="D943" s="25"/>
      <c r="E943" s="27"/>
      <c r="F943" s="27"/>
      <c r="G943" s="25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5"/>
      <c r="B944" s="25"/>
      <c r="C944" s="25"/>
      <c r="D944" s="25"/>
      <c r="E944" s="27"/>
      <c r="F944" s="27"/>
      <c r="G944" s="25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5"/>
      <c r="B945" s="25"/>
      <c r="C945" s="25"/>
      <c r="D945" s="25"/>
      <c r="E945" s="27"/>
      <c r="F945" s="27"/>
      <c r="G945" s="25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5"/>
      <c r="B946" s="25"/>
      <c r="C946" s="25"/>
      <c r="D946" s="25"/>
      <c r="E946" s="27"/>
      <c r="F946" s="27"/>
      <c r="G946" s="25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5"/>
      <c r="B947" s="25"/>
      <c r="C947" s="25"/>
      <c r="D947" s="25"/>
      <c r="E947" s="27"/>
      <c r="F947" s="27"/>
      <c r="G947" s="25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5"/>
      <c r="B948" s="25"/>
      <c r="C948" s="25"/>
      <c r="D948" s="25"/>
      <c r="E948" s="27"/>
      <c r="F948" s="27"/>
      <c r="G948" s="25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5"/>
      <c r="B949" s="25"/>
      <c r="C949" s="25"/>
      <c r="D949" s="25"/>
      <c r="E949" s="27"/>
      <c r="F949" s="27"/>
      <c r="G949" s="25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5"/>
      <c r="B950" s="25"/>
      <c r="C950" s="25"/>
      <c r="D950" s="25"/>
      <c r="E950" s="27"/>
      <c r="F950" s="27"/>
      <c r="G950" s="25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5"/>
      <c r="B951" s="25"/>
      <c r="C951" s="25"/>
      <c r="D951" s="25"/>
      <c r="E951" s="27"/>
      <c r="F951" s="27"/>
      <c r="G951" s="25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5"/>
      <c r="B952" s="25"/>
      <c r="C952" s="25"/>
      <c r="D952" s="25"/>
      <c r="E952" s="27"/>
      <c r="F952" s="27"/>
      <c r="G952" s="25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5"/>
      <c r="B953" s="25"/>
      <c r="C953" s="25"/>
      <c r="D953" s="25"/>
      <c r="E953" s="27"/>
      <c r="F953" s="27"/>
      <c r="G953" s="25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5"/>
      <c r="B954" s="25"/>
      <c r="C954" s="25"/>
      <c r="D954" s="25"/>
      <c r="E954" s="27"/>
      <c r="F954" s="27"/>
      <c r="G954" s="25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5"/>
      <c r="B955" s="25"/>
      <c r="C955" s="25"/>
      <c r="D955" s="25"/>
      <c r="E955" s="27"/>
      <c r="F955" s="27"/>
      <c r="G955" s="25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5"/>
      <c r="B956" s="25"/>
      <c r="C956" s="25"/>
      <c r="D956" s="25"/>
      <c r="E956" s="27"/>
      <c r="F956" s="27"/>
      <c r="G956" s="25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5"/>
      <c r="B957" s="25"/>
      <c r="C957" s="25"/>
      <c r="D957" s="25"/>
      <c r="E957" s="27"/>
      <c r="F957" s="27"/>
      <c r="G957" s="25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5"/>
      <c r="B958" s="25"/>
      <c r="C958" s="25"/>
      <c r="D958" s="25"/>
      <c r="E958" s="27"/>
      <c r="F958" s="27"/>
      <c r="G958" s="25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5"/>
      <c r="B959" s="25"/>
      <c r="C959" s="25"/>
      <c r="D959" s="25"/>
      <c r="E959" s="27"/>
      <c r="F959" s="27"/>
      <c r="G959" s="25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5"/>
      <c r="B960" s="25"/>
      <c r="C960" s="25"/>
      <c r="D960" s="25"/>
      <c r="E960" s="27"/>
      <c r="F960" s="27"/>
      <c r="G960" s="25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5"/>
      <c r="B961" s="25"/>
      <c r="C961" s="25"/>
      <c r="D961" s="25"/>
      <c r="E961" s="27"/>
      <c r="F961" s="27"/>
      <c r="G961" s="25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5"/>
      <c r="B962" s="25"/>
      <c r="C962" s="25"/>
      <c r="D962" s="25"/>
      <c r="E962" s="27"/>
      <c r="F962" s="27"/>
      <c r="G962" s="25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5"/>
      <c r="B963" s="25"/>
      <c r="C963" s="25"/>
      <c r="D963" s="25"/>
      <c r="E963" s="27"/>
      <c r="F963" s="27"/>
      <c r="G963" s="25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5"/>
      <c r="B964" s="25"/>
      <c r="C964" s="25"/>
      <c r="D964" s="25"/>
      <c r="E964" s="27"/>
      <c r="F964" s="27"/>
      <c r="G964" s="25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5"/>
      <c r="B965" s="25"/>
      <c r="C965" s="25"/>
      <c r="D965" s="25"/>
      <c r="E965" s="27"/>
      <c r="F965" s="27"/>
      <c r="G965" s="25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5"/>
      <c r="B966" s="25"/>
      <c r="C966" s="25"/>
      <c r="D966" s="25"/>
      <c r="E966" s="27"/>
      <c r="F966" s="27"/>
      <c r="G966" s="25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5"/>
      <c r="B967" s="25"/>
      <c r="C967" s="25"/>
      <c r="D967" s="25"/>
      <c r="E967" s="27"/>
      <c r="F967" s="27"/>
      <c r="G967" s="25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5"/>
      <c r="B968" s="25"/>
      <c r="C968" s="25"/>
      <c r="D968" s="25"/>
      <c r="E968" s="27"/>
      <c r="F968" s="27"/>
      <c r="G968" s="25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5"/>
      <c r="B969" s="25"/>
      <c r="C969" s="25"/>
      <c r="D969" s="25"/>
      <c r="E969" s="27"/>
      <c r="F969" s="27"/>
      <c r="G969" s="25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5"/>
      <c r="B970" s="25"/>
      <c r="C970" s="25"/>
      <c r="D970" s="25"/>
      <c r="E970" s="27"/>
      <c r="F970" s="27"/>
      <c r="G970" s="25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5"/>
      <c r="B971" s="25"/>
      <c r="C971" s="25"/>
      <c r="D971" s="25"/>
      <c r="E971" s="27"/>
      <c r="F971" s="27"/>
      <c r="G971" s="25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5"/>
      <c r="B972" s="25"/>
      <c r="C972" s="25"/>
      <c r="D972" s="25"/>
      <c r="E972" s="27"/>
      <c r="F972" s="27"/>
      <c r="G972" s="25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5"/>
      <c r="B973" s="25"/>
      <c r="C973" s="25"/>
      <c r="D973" s="25"/>
      <c r="E973" s="27"/>
      <c r="F973" s="27"/>
      <c r="G973" s="25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5"/>
      <c r="B974" s="25"/>
      <c r="C974" s="25"/>
      <c r="D974" s="25"/>
      <c r="E974" s="27"/>
      <c r="F974" s="27"/>
      <c r="G974" s="25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5"/>
      <c r="B975" s="25"/>
      <c r="C975" s="25"/>
      <c r="D975" s="25"/>
      <c r="E975" s="27"/>
      <c r="F975" s="27"/>
      <c r="G975" s="25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5"/>
      <c r="B976" s="25"/>
      <c r="C976" s="25"/>
      <c r="D976" s="25"/>
      <c r="E976" s="27"/>
      <c r="F976" s="27"/>
      <c r="G976" s="25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5"/>
      <c r="B977" s="25"/>
      <c r="C977" s="25"/>
      <c r="D977" s="25"/>
      <c r="E977" s="27"/>
      <c r="F977" s="27"/>
      <c r="G977" s="25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5"/>
      <c r="B978" s="25"/>
      <c r="C978" s="25"/>
      <c r="D978" s="25"/>
      <c r="E978" s="27"/>
      <c r="F978" s="27"/>
      <c r="G978" s="25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5"/>
      <c r="B979" s="25"/>
      <c r="C979" s="25"/>
      <c r="D979" s="25"/>
      <c r="E979" s="27"/>
      <c r="F979" s="27"/>
      <c r="G979" s="25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5"/>
      <c r="B980" s="25"/>
      <c r="C980" s="25"/>
      <c r="D980" s="25"/>
      <c r="E980" s="27"/>
      <c r="F980" s="27"/>
      <c r="G980" s="25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5"/>
      <c r="B981" s="25"/>
      <c r="C981" s="25"/>
      <c r="D981" s="25"/>
      <c r="E981" s="27"/>
      <c r="F981" s="27"/>
      <c r="G981" s="25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5"/>
      <c r="B982" s="25"/>
      <c r="C982" s="25"/>
      <c r="D982" s="25"/>
      <c r="E982" s="27"/>
      <c r="F982" s="27"/>
      <c r="G982" s="25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5"/>
      <c r="B983" s="25"/>
      <c r="C983" s="25"/>
      <c r="D983" s="25"/>
      <c r="E983" s="27"/>
      <c r="F983" s="27"/>
      <c r="G983" s="25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5"/>
      <c r="B984" s="25"/>
      <c r="C984" s="25"/>
      <c r="D984" s="25"/>
      <c r="E984" s="27"/>
      <c r="F984" s="27"/>
      <c r="G984" s="25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5"/>
      <c r="B985" s="25"/>
      <c r="C985" s="25"/>
      <c r="D985" s="25"/>
      <c r="E985" s="27"/>
      <c r="F985" s="27"/>
      <c r="G985" s="25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5"/>
      <c r="B986" s="25"/>
      <c r="C986" s="25"/>
      <c r="D986" s="25"/>
      <c r="E986" s="27"/>
      <c r="F986" s="27"/>
      <c r="G986" s="25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5"/>
      <c r="B987" s="25"/>
      <c r="C987" s="25"/>
      <c r="D987" s="25"/>
      <c r="E987" s="27"/>
      <c r="F987" s="27"/>
      <c r="G987" s="25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5"/>
      <c r="B988" s="25"/>
      <c r="C988" s="25"/>
      <c r="D988" s="25"/>
      <c r="E988" s="27"/>
      <c r="F988" s="27"/>
      <c r="G988" s="25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5"/>
      <c r="B989" s="25"/>
      <c r="C989" s="25"/>
      <c r="D989" s="25"/>
      <c r="E989" s="27"/>
      <c r="F989" s="27"/>
      <c r="G989" s="25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5"/>
      <c r="B990" s="25"/>
      <c r="C990" s="25"/>
      <c r="D990" s="25"/>
      <c r="E990" s="27"/>
      <c r="F990" s="27"/>
      <c r="G990" s="25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5"/>
      <c r="B991" s="25"/>
      <c r="C991" s="25"/>
      <c r="D991" s="25"/>
      <c r="E991" s="27"/>
      <c r="F991" s="27"/>
      <c r="G991" s="25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5"/>
      <c r="B992" s="25"/>
      <c r="C992" s="25"/>
      <c r="D992" s="25"/>
      <c r="E992" s="27"/>
      <c r="F992" s="27"/>
      <c r="G992" s="25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5"/>
      <c r="B993" s="25"/>
      <c r="C993" s="25"/>
      <c r="D993" s="25"/>
      <c r="E993" s="27"/>
      <c r="F993" s="27"/>
      <c r="G993" s="25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5"/>
      <c r="B994" s="25"/>
      <c r="C994" s="25"/>
      <c r="D994" s="25"/>
      <c r="E994" s="27"/>
      <c r="F994" s="27"/>
      <c r="G994" s="25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5"/>
      <c r="B995" s="25"/>
      <c r="C995" s="25"/>
      <c r="D995" s="25"/>
      <c r="E995" s="27"/>
      <c r="F995" s="27"/>
      <c r="G995" s="25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5"/>
      <c r="B996" s="25"/>
      <c r="C996" s="25"/>
      <c r="D996" s="25"/>
      <c r="E996" s="27"/>
      <c r="F996" s="27"/>
      <c r="G996" s="25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5"/>
      <c r="B997" s="25"/>
      <c r="C997" s="25"/>
      <c r="D997" s="25"/>
      <c r="E997" s="27"/>
      <c r="F997" s="27"/>
      <c r="G997" s="25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5"/>
      <c r="B998" s="25"/>
      <c r="C998" s="25"/>
      <c r="D998" s="25"/>
      <c r="E998" s="27"/>
      <c r="F998" s="27"/>
      <c r="G998" s="25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5"/>
      <c r="B999" s="25"/>
      <c r="C999" s="25"/>
      <c r="D999" s="25"/>
      <c r="E999" s="27"/>
      <c r="F999" s="27"/>
      <c r="G999" s="25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5"/>
      <c r="B1000" s="25"/>
      <c r="C1000" s="25"/>
      <c r="D1000" s="25"/>
      <c r="E1000" s="27"/>
      <c r="F1000" s="27"/>
      <c r="G1000" s="25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hyperlinks>
    <hyperlink r:id="rId1" ref="B17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54" width="4.5"/>
    <col customWidth="1" min="55" max="55" width="6.0"/>
    <col customWidth="1" min="56" max="57" width="4.5"/>
  </cols>
  <sheetData>
    <row r="1">
      <c r="A1" s="31" t="s">
        <v>56</v>
      </c>
      <c r="B1" s="32" t="s">
        <v>45</v>
      </c>
      <c r="C1" s="32" t="s">
        <v>47</v>
      </c>
      <c r="D1" s="32" t="s">
        <v>13</v>
      </c>
      <c r="E1" s="32" t="s">
        <v>24</v>
      </c>
      <c r="F1" s="32" t="s">
        <v>39</v>
      </c>
      <c r="G1" s="32" t="s">
        <v>10</v>
      </c>
      <c r="H1" s="32" t="s">
        <v>9</v>
      </c>
      <c r="I1" s="32" t="s">
        <v>26</v>
      </c>
      <c r="J1" s="32" t="s">
        <v>38</v>
      </c>
      <c r="K1" s="32" t="s">
        <v>34</v>
      </c>
      <c r="L1" s="32" t="s">
        <v>25</v>
      </c>
      <c r="M1" s="32" t="s">
        <v>51</v>
      </c>
      <c r="N1" s="32" t="s">
        <v>11</v>
      </c>
      <c r="O1" s="32" t="s">
        <v>49</v>
      </c>
      <c r="P1" s="32" t="s">
        <v>48</v>
      </c>
      <c r="Q1" s="32" t="s">
        <v>22</v>
      </c>
      <c r="R1" s="32" t="s">
        <v>44</v>
      </c>
      <c r="S1" s="32" t="s">
        <v>28</v>
      </c>
      <c r="T1" s="32" t="s">
        <v>14</v>
      </c>
      <c r="U1" s="32" t="s">
        <v>32</v>
      </c>
      <c r="V1" s="32" t="s">
        <v>4</v>
      </c>
      <c r="W1" s="32" t="s">
        <v>16</v>
      </c>
      <c r="X1" s="32" t="s">
        <v>18</v>
      </c>
      <c r="Y1" s="32" t="s">
        <v>15</v>
      </c>
      <c r="Z1" s="32" t="s">
        <v>53</v>
      </c>
      <c r="AA1" s="32" t="s">
        <v>37</v>
      </c>
      <c r="AB1" s="32" t="s">
        <v>20</v>
      </c>
      <c r="AC1" s="32" t="s">
        <v>35</v>
      </c>
      <c r="AD1" s="32" t="s">
        <v>27</v>
      </c>
      <c r="AE1" s="32" t="s">
        <v>42</v>
      </c>
      <c r="AF1" s="32" t="s">
        <v>33</v>
      </c>
      <c r="AG1" s="32" t="s">
        <v>36</v>
      </c>
      <c r="AH1" s="32" t="s">
        <v>31</v>
      </c>
      <c r="AI1" s="32" t="s">
        <v>52</v>
      </c>
      <c r="AJ1" s="32" t="s">
        <v>19</v>
      </c>
      <c r="AK1" s="32" t="s">
        <v>46</v>
      </c>
      <c r="AL1" s="32" t="s">
        <v>5</v>
      </c>
      <c r="AM1" s="32" t="s">
        <v>50</v>
      </c>
      <c r="AN1" s="32" t="s">
        <v>40</v>
      </c>
      <c r="AO1" s="32" t="s">
        <v>41</v>
      </c>
      <c r="AP1" s="32" t="s">
        <v>6</v>
      </c>
      <c r="AQ1" s="32" t="s">
        <v>29</v>
      </c>
      <c r="AR1" s="32" t="s">
        <v>7</v>
      </c>
      <c r="AS1" s="32" t="s">
        <v>21</v>
      </c>
      <c r="AT1" s="32" t="s">
        <v>54</v>
      </c>
      <c r="AU1" s="32" t="s">
        <v>2</v>
      </c>
      <c r="AV1" s="32" t="s">
        <v>43</v>
      </c>
      <c r="AW1" s="32" t="s">
        <v>12</v>
      </c>
      <c r="AX1" s="32" t="s">
        <v>30</v>
      </c>
      <c r="AY1" s="32" t="s">
        <v>8</v>
      </c>
      <c r="AZ1" s="32" t="s">
        <v>17</v>
      </c>
      <c r="BA1" s="32" t="s">
        <v>23</v>
      </c>
      <c r="BB1" s="33" t="s">
        <v>116</v>
      </c>
      <c r="BC1" s="34"/>
      <c r="BD1" s="34"/>
      <c r="BE1" s="34"/>
    </row>
    <row r="2">
      <c r="A2" s="35" t="s">
        <v>117</v>
      </c>
      <c r="B2" s="36">
        <v>1.0</v>
      </c>
      <c r="C2" s="37">
        <v>2.0</v>
      </c>
      <c r="D2" s="37">
        <v>5.0</v>
      </c>
      <c r="E2" s="37">
        <v>5.0</v>
      </c>
      <c r="F2" s="37">
        <v>3.0</v>
      </c>
      <c r="G2" s="37">
        <v>5.0</v>
      </c>
      <c r="H2" s="37">
        <v>1.0</v>
      </c>
      <c r="I2" s="37">
        <v>4.0</v>
      </c>
      <c r="J2" s="37">
        <v>5.0</v>
      </c>
      <c r="K2" s="37">
        <v>3.0</v>
      </c>
      <c r="L2" s="37">
        <v>3.0</v>
      </c>
      <c r="M2" s="37">
        <v>2.0</v>
      </c>
      <c r="N2" s="37">
        <v>3.0</v>
      </c>
      <c r="O2" s="37">
        <v>3.0</v>
      </c>
      <c r="P2" s="37">
        <v>3.0</v>
      </c>
      <c r="Q2" s="37">
        <v>4.0</v>
      </c>
      <c r="R2" s="37">
        <v>3.0</v>
      </c>
      <c r="S2" s="37">
        <v>2.0</v>
      </c>
      <c r="T2" s="37">
        <v>2.0</v>
      </c>
      <c r="U2" s="37">
        <v>2.0</v>
      </c>
      <c r="V2" s="37">
        <v>5.0</v>
      </c>
      <c r="W2" s="37">
        <v>5.0</v>
      </c>
      <c r="X2" s="37">
        <v>3.0</v>
      </c>
      <c r="Y2" s="37">
        <v>4.0</v>
      </c>
      <c r="Z2" s="37">
        <v>3.0</v>
      </c>
      <c r="AA2" s="37">
        <v>2.0</v>
      </c>
      <c r="AB2" s="37">
        <v>4.0</v>
      </c>
      <c r="AC2" s="37">
        <v>1.0</v>
      </c>
      <c r="AD2" s="37">
        <v>1.0</v>
      </c>
      <c r="AE2" s="37">
        <v>4.0</v>
      </c>
      <c r="AF2" s="37">
        <v>3.0</v>
      </c>
      <c r="AG2" s="37">
        <v>2.0</v>
      </c>
      <c r="AH2" s="37">
        <v>4.0</v>
      </c>
      <c r="AI2" s="37">
        <v>2.0</v>
      </c>
      <c r="AJ2" s="37">
        <v>3.0</v>
      </c>
      <c r="AK2" s="37">
        <v>5.0</v>
      </c>
      <c r="AL2" s="37">
        <v>5.0</v>
      </c>
      <c r="AM2" s="37">
        <v>2.0</v>
      </c>
      <c r="AN2" s="37">
        <v>3.0</v>
      </c>
      <c r="AO2" s="37">
        <v>3.0</v>
      </c>
      <c r="AP2" s="37">
        <v>3.0</v>
      </c>
      <c r="AQ2" s="37">
        <v>4.0</v>
      </c>
      <c r="AR2" s="37">
        <v>5.0</v>
      </c>
      <c r="AS2" s="37">
        <v>4.0</v>
      </c>
      <c r="AT2" s="37">
        <v>2.0</v>
      </c>
      <c r="AU2" s="37">
        <v>5.0</v>
      </c>
      <c r="AV2" s="37">
        <v>3.0</v>
      </c>
      <c r="AW2" s="37">
        <v>2.0</v>
      </c>
      <c r="AX2" s="37">
        <v>4.0</v>
      </c>
      <c r="AY2" s="37">
        <v>5.0</v>
      </c>
      <c r="AZ2" s="37">
        <v>3.0</v>
      </c>
      <c r="BA2" s="37">
        <v>4.0</v>
      </c>
      <c r="BB2" s="38">
        <f t="shared" ref="BB2:BB55" si="1">SUM(B2:BA2)</f>
        <v>169</v>
      </c>
      <c r="BC2" s="39">
        <f t="shared" ref="BC2:BC55" si="2">(BB2-$B$65)/$B$65</f>
        <v>-0.09185846091</v>
      </c>
      <c r="BD2" s="39"/>
      <c r="BE2" s="39"/>
    </row>
    <row r="3">
      <c r="A3" s="35" t="s">
        <v>118</v>
      </c>
      <c r="B3" s="37">
        <v>3.0</v>
      </c>
      <c r="C3" s="36">
        <v>1.0</v>
      </c>
      <c r="D3" s="37">
        <v>5.0</v>
      </c>
      <c r="E3" s="37">
        <v>3.0</v>
      </c>
      <c r="F3" s="37">
        <v>4.0</v>
      </c>
      <c r="G3" s="37">
        <v>4.0</v>
      </c>
      <c r="H3" s="37">
        <v>4.0</v>
      </c>
      <c r="I3" s="37">
        <v>3.0</v>
      </c>
      <c r="J3" s="37">
        <v>3.0</v>
      </c>
      <c r="K3" s="37">
        <v>3.0</v>
      </c>
      <c r="L3" s="37">
        <v>3.0</v>
      </c>
      <c r="M3" s="37">
        <v>1.0</v>
      </c>
      <c r="N3" s="37">
        <v>3.0</v>
      </c>
      <c r="O3" s="37">
        <v>3.0</v>
      </c>
      <c r="P3" s="37">
        <v>2.0</v>
      </c>
      <c r="Q3" s="37">
        <v>3.0</v>
      </c>
      <c r="R3" s="37">
        <v>3.0</v>
      </c>
      <c r="S3" s="37">
        <v>4.0</v>
      </c>
      <c r="T3" s="37">
        <v>3.0</v>
      </c>
      <c r="U3" s="37">
        <v>4.0</v>
      </c>
      <c r="V3" s="37">
        <v>5.0</v>
      </c>
      <c r="W3" s="37">
        <v>4.0</v>
      </c>
      <c r="X3" s="37">
        <v>4.0</v>
      </c>
      <c r="Y3" s="37">
        <v>2.0</v>
      </c>
      <c r="Z3" s="37">
        <v>3.0</v>
      </c>
      <c r="AA3" s="37">
        <v>1.0</v>
      </c>
      <c r="AB3" s="37">
        <v>4.0</v>
      </c>
      <c r="AC3" s="37">
        <v>3.0</v>
      </c>
      <c r="AD3" s="37">
        <v>4.0</v>
      </c>
      <c r="AE3" s="37">
        <v>3.0</v>
      </c>
      <c r="AF3" s="37">
        <v>3.0</v>
      </c>
      <c r="AG3" s="37">
        <v>4.0</v>
      </c>
      <c r="AH3" s="37">
        <v>3.0</v>
      </c>
      <c r="AI3" s="37">
        <v>3.0</v>
      </c>
      <c r="AJ3" s="37">
        <v>4.0</v>
      </c>
      <c r="AK3" s="37">
        <v>3.0</v>
      </c>
      <c r="AL3" s="37">
        <v>4.0</v>
      </c>
      <c r="AM3" s="37">
        <v>3.0</v>
      </c>
      <c r="AN3" s="37">
        <v>3.0</v>
      </c>
      <c r="AO3" s="37">
        <v>2.0</v>
      </c>
      <c r="AP3" s="37">
        <v>4.0</v>
      </c>
      <c r="AQ3" s="37">
        <v>4.0</v>
      </c>
      <c r="AR3" s="37">
        <v>4.0</v>
      </c>
      <c r="AS3" s="37">
        <v>3.0</v>
      </c>
      <c r="AT3" s="37">
        <v>2.0</v>
      </c>
      <c r="AU3" s="37">
        <v>4.0</v>
      </c>
      <c r="AV3" s="37">
        <v>3.0</v>
      </c>
      <c r="AW3" s="37">
        <v>4.0</v>
      </c>
      <c r="AX3" s="37">
        <v>2.0</v>
      </c>
      <c r="AY3" s="37">
        <v>5.0</v>
      </c>
      <c r="AZ3" s="37">
        <v>3.0</v>
      </c>
      <c r="BA3" s="37">
        <v>3.0</v>
      </c>
      <c r="BB3" s="38">
        <f t="shared" si="1"/>
        <v>168</v>
      </c>
      <c r="BC3" s="39">
        <f t="shared" si="2"/>
        <v>-0.09723207949</v>
      </c>
      <c r="BD3" s="39"/>
      <c r="BE3" s="39"/>
    </row>
    <row r="4">
      <c r="A4" s="35" t="s">
        <v>119</v>
      </c>
      <c r="B4" s="37">
        <v>2.0</v>
      </c>
      <c r="C4" s="37">
        <v>3.0</v>
      </c>
      <c r="D4" s="36">
        <v>1.0</v>
      </c>
      <c r="E4" s="37">
        <v>3.0</v>
      </c>
      <c r="F4" s="37">
        <v>3.0</v>
      </c>
      <c r="G4" s="37">
        <v>4.0</v>
      </c>
      <c r="H4" s="37">
        <v>3.0</v>
      </c>
      <c r="I4" s="37">
        <v>3.0</v>
      </c>
      <c r="J4" s="37">
        <v>3.0</v>
      </c>
      <c r="K4" s="37">
        <v>2.0</v>
      </c>
      <c r="L4" s="37">
        <v>4.0</v>
      </c>
      <c r="M4" s="37">
        <v>2.0</v>
      </c>
      <c r="N4" s="37">
        <v>4.0</v>
      </c>
      <c r="O4" s="37">
        <v>3.0</v>
      </c>
      <c r="P4" s="37">
        <v>2.0</v>
      </c>
      <c r="Q4" s="37">
        <v>4.0</v>
      </c>
      <c r="R4" s="37">
        <v>3.0</v>
      </c>
      <c r="S4" s="37">
        <v>3.0</v>
      </c>
      <c r="T4" s="37">
        <v>4.0</v>
      </c>
      <c r="U4" s="37">
        <v>2.0</v>
      </c>
      <c r="V4" s="37">
        <v>4.0</v>
      </c>
      <c r="W4" s="37">
        <v>4.0</v>
      </c>
      <c r="X4" s="37">
        <v>3.0</v>
      </c>
      <c r="Y4" s="37">
        <v>3.0</v>
      </c>
      <c r="Z4" s="37">
        <v>2.0</v>
      </c>
      <c r="AA4" s="37">
        <v>2.0</v>
      </c>
      <c r="AB4" s="37">
        <v>3.0</v>
      </c>
      <c r="AC4" s="37">
        <v>3.0</v>
      </c>
      <c r="AD4" s="37">
        <v>3.0</v>
      </c>
      <c r="AE4" s="37">
        <v>5.0</v>
      </c>
      <c r="AF4" s="37">
        <v>2.0</v>
      </c>
      <c r="AG4" s="37">
        <v>3.0</v>
      </c>
      <c r="AH4" s="37">
        <v>3.0</v>
      </c>
      <c r="AI4" s="37">
        <v>2.0</v>
      </c>
      <c r="AJ4" s="37">
        <v>3.0</v>
      </c>
      <c r="AK4" s="37">
        <v>3.0</v>
      </c>
      <c r="AL4" s="37">
        <v>4.0</v>
      </c>
      <c r="AM4" s="37">
        <v>3.0</v>
      </c>
      <c r="AN4" s="37">
        <v>4.0</v>
      </c>
      <c r="AO4" s="37">
        <v>2.0</v>
      </c>
      <c r="AP4" s="37">
        <v>4.0</v>
      </c>
      <c r="AQ4" s="37">
        <v>3.0</v>
      </c>
      <c r="AR4" s="37">
        <v>4.0</v>
      </c>
      <c r="AS4" s="37">
        <v>5.0</v>
      </c>
      <c r="AT4" s="37">
        <v>2.0</v>
      </c>
      <c r="AU4" s="37">
        <v>5.0</v>
      </c>
      <c r="AV4" s="37">
        <v>3.0</v>
      </c>
      <c r="AW4" s="37">
        <v>4.0</v>
      </c>
      <c r="AX4" s="37">
        <v>2.0</v>
      </c>
      <c r="AY4" s="37">
        <v>5.0</v>
      </c>
      <c r="AZ4" s="37">
        <v>3.0</v>
      </c>
      <c r="BA4" s="37">
        <v>3.0</v>
      </c>
      <c r="BB4" s="38">
        <f t="shared" si="1"/>
        <v>162</v>
      </c>
      <c r="BC4" s="39">
        <f t="shared" si="2"/>
        <v>-0.1294737909</v>
      </c>
      <c r="BD4" s="39"/>
      <c r="BE4" s="39"/>
    </row>
    <row r="5">
      <c r="A5" s="35" t="s">
        <v>120</v>
      </c>
      <c r="B5" s="37">
        <v>3.0</v>
      </c>
      <c r="C5" s="37">
        <v>3.0</v>
      </c>
      <c r="D5" s="37">
        <v>5.0</v>
      </c>
      <c r="E5" s="36">
        <v>1.0</v>
      </c>
      <c r="F5" s="37">
        <v>4.0</v>
      </c>
      <c r="G5" s="37">
        <v>4.0</v>
      </c>
      <c r="H5" s="37">
        <v>5.0</v>
      </c>
      <c r="I5" s="37">
        <v>4.0</v>
      </c>
      <c r="J5" s="37">
        <v>3.0</v>
      </c>
      <c r="K5" s="37">
        <v>4.0</v>
      </c>
      <c r="L5" s="37">
        <v>4.0</v>
      </c>
      <c r="M5" s="37">
        <v>3.0</v>
      </c>
      <c r="N5" s="37">
        <v>5.0</v>
      </c>
      <c r="O5" s="37">
        <v>4.0</v>
      </c>
      <c r="P5" s="37">
        <v>3.0</v>
      </c>
      <c r="Q5" s="37">
        <v>5.0</v>
      </c>
      <c r="R5" s="37">
        <v>3.0</v>
      </c>
      <c r="S5" s="37">
        <v>3.0</v>
      </c>
      <c r="T5" s="37">
        <v>4.0</v>
      </c>
      <c r="U5" s="37">
        <v>4.0</v>
      </c>
      <c r="V5" s="37">
        <v>5.0</v>
      </c>
      <c r="W5" s="37">
        <v>4.0</v>
      </c>
      <c r="X5" s="37">
        <v>4.0</v>
      </c>
      <c r="Y5" s="37">
        <v>5.0</v>
      </c>
      <c r="Z5" s="37">
        <v>3.0</v>
      </c>
      <c r="AA5" s="37">
        <v>5.0</v>
      </c>
      <c r="AB5" s="37">
        <v>3.0</v>
      </c>
      <c r="AC5" s="37">
        <v>3.0</v>
      </c>
      <c r="AD5" s="37">
        <v>3.0</v>
      </c>
      <c r="AE5" s="37">
        <v>4.0</v>
      </c>
      <c r="AF5" s="37">
        <v>3.0</v>
      </c>
      <c r="AG5" s="37">
        <v>3.0</v>
      </c>
      <c r="AH5" s="37">
        <v>4.0</v>
      </c>
      <c r="AI5" s="37">
        <v>3.0</v>
      </c>
      <c r="AJ5" s="37">
        <v>3.0</v>
      </c>
      <c r="AK5" s="37">
        <v>3.0</v>
      </c>
      <c r="AL5" s="37">
        <v>4.0</v>
      </c>
      <c r="AM5" s="37">
        <v>3.0</v>
      </c>
      <c r="AN5" s="37">
        <v>4.0</v>
      </c>
      <c r="AO5" s="37">
        <v>5.0</v>
      </c>
      <c r="AP5" s="37">
        <v>4.0</v>
      </c>
      <c r="AQ5" s="37">
        <v>3.0</v>
      </c>
      <c r="AR5" s="37">
        <v>3.0</v>
      </c>
      <c r="AS5" s="37">
        <v>5.0</v>
      </c>
      <c r="AT5" s="37">
        <v>2.0</v>
      </c>
      <c r="AU5" s="37">
        <v>4.0</v>
      </c>
      <c r="AV5" s="37">
        <v>3.0</v>
      </c>
      <c r="AW5" s="37">
        <v>5.0</v>
      </c>
      <c r="AX5" s="37">
        <v>3.0</v>
      </c>
      <c r="AY5" s="37">
        <v>3.0</v>
      </c>
      <c r="AZ5" s="37">
        <v>5.0</v>
      </c>
      <c r="BA5" s="37">
        <v>4.0</v>
      </c>
      <c r="BB5" s="38">
        <f t="shared" si="1"/>
        <v>192</v>
      </c>
      <c r="BC5" s="39">
        <f t="shared" si="2"/>
        <v>0.0317347663</v>
      </c>
      <c r="BD5" s="39"/>
      <c r="BE5" s="39"/>
    </row>
    <row r="6">
      <c r="A6" s="35" t="s">
        <v>121</v>
      </c>
      <c r="B6" s="37">
        <v>3.0</v>
      </c>
      <c r="C6" s="37">
        <v>3.0</v>
      </c>
      <c r="D6" s="37">
        <v>3.0</v>
      </c>
      <c r="E6" s="37">
        <v>3.0</v>
      </c>
      <c r="F6" s="36">
        <v>1.0</v>
      </c>
      <c r="G6" s="37">
        <v>3.0</v>
      </c>
      <c r="H6" s="37">
        <v>4.0</v>
      </c>
      <c r="I6" s="37">
        <v>3.0</v>
      </c>
      <c r="J6" s="37">
        <v>3.0</v>
      </c>
      <c r="K6" s="37">
        <v>3.0</v>
      </c>
      <c r="L6" s="37">
        <v>3.0</v>
      </c>
      <c r="M6" s="37">
        <v>3.0</v>
      </c>
      <c r="N6" s="37">
        <v>3.0</v>
      </c>
      <c r="O6" s="37">
        <v>3.0</v>
      </c>
      <c r="P6" s="37">
        <v>3.0</v>
      </c>
      <c r="Q6" s="37">
        <v>3.0</v>
      </c>
      <c r="R6" s="37">
        <v>3.0</v>
      </c>
      <c r="S6" s="37">
        <v>4.0</v>
      </c>
      <c r="T6" s="37">
        <v>4.0</v>
      </c>
      <c r="U6" s="37">
        <v>3.0</v>
      </c>
      <c r="V6" s="37">
        <v>3.0</v>
      </c>
      <c r="W6" s="37">
        <v>4.0</v>
      </c>
      <c r="X6" s="37">
        <v>4.0</v>
      </c>
      <c r="Y6" s="37">
        <v>3.0</v>
      </c>
      <c r="Z6" s="37">
        <v>3.0</v>
      </c>
      <c r="AA6" s="37">
        <v>3.0</v>
      </c>
      <c r="AB6" s="37">
        <v>3.0</v>
      </c>
      <c r="AC6" s="37">
        <v>3.0</v>
      </c>
      <c r="AD6" s="37">
        <v>3.0</v>
      </c>
      <c r="AE6" s="37">
        <v>3.0</v>
      </c>
      <c r="AF6" s="37">
        <v>3.0</v>
      </c>
      <c r="AG6" s="37">
        <v>3.0</v>
      </c>
      <c r="AH6" s="37">
        <v>4.0</v>
      </c>
      <c r="AI6" s="37">
        <v>3.0</v>
      </c>
      <c r="AJ6" s="37">
        <v>3.0</v>
      </c>
      <c r="AK6" s="37">
        <v>3.0</v>
      </c>
      <c r="AL6" s="37">
        <v>4.0</v>
      </c>
      <c r="AM6" s="37">
        <v>3.0</v>
      </c>
      <c r="AN6" s="37">
        <v>3.0</v>
      </c>
      <c r="AO6" s="37">
        <v>3.0</v>
      </c>
      <c r="AP6" s="37">
        <v>4.0</v>
      </c>
      <c r="AQ6" s="37">
        <v>3.0</v>
      </c>
      <c r="AR6" s="37">
        <v>4.0</v>
      </c>
      <c r="AS6" s="37">
        <v>3.0</v>
      </c>
      <c r="AT6" s="37">
        <v>3.0</v>
      </c>
      <c r="AU6" s="37">
        <v>4.0</v>
      </c>
      <c r="AV6" s="37">
        <v>3.0</v>
      </c>
      <c r="AW6" s="37">
        <v>3.0</v>
      </c>
      <c r="AX6" s="37">
        <v>3.0</v>
      </c>
      <c r="AY6" s="37">
        <v>3.0</v>
      </c>
      <c r="AZ6" s="37">
        <v>3.0</v>
      </c>
      <c r="BA6" s="37">
        <v>4.0</v>
      </c>
      <c r="BB6" s="38">
        <f t="shared" si="1"/>
        <v>165</v>
      </c>
      <c r="BC6" s="39">
        <f t="shared" si="2"/>
        <v>-0.1133529352</v>
      </c>
      <c r="BD6" s="39"/>
      <c r="BE6" s="39"/>
    </row>
    <row r="7">
      <c r="A7" s="35" t="s">
        <v>122</v>
      </c>
      <c r="B7" s="37">
        <v>3.0</v>
      </c>
      <c r="C7" s="37">
        <v>4.0</v>
      </c>
      <c r="D7" s="37">
        <v>5.0</v>
      </c>
      <c r="E7" s="37">
        <v>5.0</v>
      </c>
      <c r="F7" s="37">
        <v>4.0</v>
      </c>
      <c r="G7" s="36">
        <v>1.0</v>
      </c>
      <c r="H7" s="37">
        <v>5.0</v>
      </c>
      <c r="I7" s="37">
        <v>4.0</v>
      </c>
      <c r="J7" s="37">
        <v>4.0</v>
      </c>
      <c r="K7" s="37">
        <v>3.0</v>
      </c>
      <c r="L7" s="37">
        <v>3.0</v>
      </c>
      <c r="M7" s="37">
        <v>2.0</v>
      </c>
      <c r="N7" s="37">
        <v>4.0</v>
      </c>
      <c r="O7" s="37">
        <v>3.0</v>
      </c>
      <c r="P7" s="37">
        <v>3.0</v>
      </c>
      <c r="Q7" s="37">
        <v>4.0</v>
      </c>
      <c r="R7" s="37">
        <v>3.0</v>
      </c>
      <c r="S7" s="37">
        <v>4.0</v>
      </c>
      <c r="T7" s="37">
        <v>5.0</v>
      </c>
      <c r="U7" s="37">
        <v>3.0</v>
      </c>
      <c r="V7" s="37">
        <v>5.0</v>
      </c>
      <c r="W7" s="37">
        <v>4.0</v>
      </c>
      <c r="X7" s="37">
        <v>4.0</v>
      </c>
      <c r="Y7" s="37">
        <v>3.0</v>
      </c>
      <c r="Z7" s="37">
        <v>3.0</v>
      </c>
      <c r="AA7" s="37">
        <v>2.0</v>
      </c>
      <c r="AB7" s="37">
        <v>4.0</v>
      </c>
      <c r="AC7" s="37">
        <v>3.0</v>
      </c>
      <c r="AD7" s="37">
        <v>3.0</v>
      </c>
      <c r="AE7" s="37">
        <v>4.0</v>
      </c>
      <c r="AF7" s="37">
        <v>4.0</v>
      </c>
      <c r="AG7" s="37">
        <v>4.0</v>
      </c>
      <c r="AH7" s="37">
        <v>4.0</v>
      </c>
      <c r="AI7" s="37">
        <v>3.0</v>
      </c>
      <c r="AJ7" s="37">
        <v>4.0</v>
      </c>
      <c r="AK7" s="37">
        <v>3.0</v>
      </c>
      <c r="AL7" s="37">
        <v>5.0</v>
      </c>
      <c r="AM7" s="37">
        <v>3.0</v>
      </c>
      <c r="AN7" s="37">
        <v>3.0</v>
      </c>
      <c r="AO7" s="37">
        <v>3.0</v>
      </c>
      <c r="AP7" s="37">
        <v>5.0</v>
      </c>
      <c r="AQ7" s="37">
        <v>5.0</v>
      </c>
      <c r="AR7" s="37">
        <v>5.0</v>
      </c>
      <c r="AS7" s="37">
        <v>4.0</v>
      </c>
      <c r="AT7" s="37">
        <v>3.0</v>
      </c>
      <c r="AU7" s="37">
        <v>5.0</v>
      </c>
      <c r="AV7" s="37">
        <v>4.0</v>
      </c>
      <c r="AW7" s="37">
        <v>4.0</v>
      </c>
      <c r="AX7" s="37">
        <v>3.0</v>
      </c>
      <c r="AY7" s="37">
        <v>4.0</v>
      </c>
      <c r="AZ7" s="37">
        <v>4.0</v>
      </c>
      <c r="BA7" s="37">
        <v>3.0</v>
      </c>
      <c r="BB7" s="38">
        <f t="shared" si="1"/>
        <v>192</v>
      </c>
      <c r="BC7" s="39">
        <f t="shared" si="2"/>
        <v>0.0317347663</v>
      </c>
      <c r="BD7" s="39"/>
      <c r="BE7" s="39"/>
    </row>
    <row r="8">
      <c r="A8" s="35" t="s">
        <v>123</v>
      </c>
      <c r="B8" s="37">
        <v>5.0</v>
      </c>
      <c r="C8" s="37">
        <v>3.0</v>
      </c>
      <c r="D8" s="37">
        <v>3.0</v>
      </c>
      <c r="E8" s="37">
        <v>5.0</v>
      </c>
      <c r="F8" s="37">
        <v>3.0</v>
      </c>
      <c r="G8" s="37">
        <v>5.0</v>
      </c>
      <c r="H8" s="36">
        <v>1.0</v>
      </c>
      <c r="I8" s="37">
        <v>4.0</v>
      </c>
      <c r="J8" s="37">
        <v>3.0</v>
      </c>
      <c r="K8" s="37">
        <v>3.0</v>
      </c>
      <c r="L8" s="37">
        <v>2.0</v>
      </c>
      <c r="M8" s="37">
        <v>2.0</v>
      </c>
      <c r="N8" s="37">
        <v>4.0</v>
      </c>
      <c r="O8" s="37">
        <v>4.0</v>
      </c>
      <c r="P8" s="37">
        <v>3.0</v>
      </c>
      <c r="Q8" s="37">
        <v>5.0</v>
      </c>
      <c r="R8" s="37">
        <v>2.0</v>
      </c>
      <c r="S8" s="37">
        <v>4.0</v>
      </c>
      <c r="T8" s="37">
        <v>4.0</v>
      </c>
      <c r="U8" s="37">
        <v>4.0</v>
      </c>
      <c r="V8" s="37">
        <v>5.0</v>
      </c>
      <c r="W8" s="37">
        <v>3.0</v>
      </c>
      <c r="X8" s="37">
        <v>4.0</v>
      </c>
      <c r="Y8" s="37">
        <v>3.0</v>
      </c>
      <c r="Z8" s="37">
        <v>3.0</v>
      </c>
      <c r="AA8" s="37">
        <v>4.0</v>
      </c>
      <c r="AB8" s="37">
        <v>3.0</v>
      </c>
      <c r="AC8" s="37">
        <v>3.0</v>
      </c>
      <c r="AD8" s="37">
        <v>4.0</v>
      </c>
      <c r="AE8" s="37">
        <v>3.0</v>
      </c>
      <c r="AF8" s="37">
        <v>3.0</v>
      </c>
      <c r="AG8" s="37">
        <v>3.0</v>
      </c>
      <c r="AH8" s="37">
        <v>3.0</v>
      </c>
      <c r="AI8" s="37">
        <v>2.0</v>
      </c>
      <c r="AJ8" s="37">
        <v>3.0</v>
      </c>
      <c r="AK8" s="37">
        <v>2.0</v>
      </c>
      <c r="AL8" s="37">
        <v>4.0</v>
      </c>
      <c r="AM8" s="37">
        <v>2.0</v>
      </c>
      <c r="AN8" s="37">
        <v>3.0</v>
      </c>
      <c r="AO8" s="37">
        <v>5.0</v>
      </c>
      <c r="AP8" s="37">
        <v>4.0</v>
      </c>
      <c r="AQ8" s="37">
        <v>3.0</v>
      </c>
      <c r="AR8" s="37">
        <v>3.0</v>
      </c>
      <c r="AS8" s="37">
        <v>5.0</v>
      </c>
      <c r="AT8" s="37">
        <v>2.0</v>
      </c>
      <c r="AU8" s="37">
        <v>4.0</v>
      </c>
      <c r="AV8" s="37">
        <v>3.0</v>
      </c>
      <c r="AW8" s="37">
        <v>5.0</v>
      </c>
      <c r="AX8" s="37">
        <v>3.0</v>
      </c>
      <c r="AY8" s="37">
        <v>4.0</v>
      </c>
      <c r="AZ8" s="37">
        <v>4.0</v>
      </c>
      <c r="BA8" s="37">
        <v>3.0</v>
      </c>
      <c r="BB8" s="38">
        <f t="shared" si="1"/>
        <v>177</v>
      </c>
      <c r="BC8" s="39">
        <f t="shared" si="2"/>
        <v>-0.04886951232</v>
      </c>
      <c r="BD8" s="39"/>
      <c r="BE8" s="39"/>
    </row>
    <row r="9">
      <c r="A9" s="35" t="s">
        <v>124</v>
      </c>
      <c r="B9" s="37">
        <v>3.0</v>
      </c>
      <c r="C9" s="37">
        <v>3.0</v>
      </c>
      <c r="D9" s="37">
        <v>5.0</v>
      </c>
      <c r="E9" s="37">
        <v>4.0</v>
      </c>
      <c r="F9" s="37">
        <v>4.0</v>
      </c>
      <c r="G9" s="37">
        <v>5.0</v>
      </c>
      <c r="H9" s="37">
        <v>5.0</v>
      </c>
      <c r="I9" s="36">
        <v>1.0</v>
      </c>
      <c r="J9" s="37">
        <v>4.0</v>
      </c>
      <c r="K9" s="37">
        <v>5.0</v>
      </c>
      <c r="L9" s="37">
        <v>4.0</v>
      </c>
      <c r="M9" s="37">
        <v>5.0</v>
      </c>
      <c r="N9" s="37">
        <v>5.0</v>
      </c>
      <c r="O9" s="37">
        <v>3.0</v>
      </c>
      <c r="P9" s="37">
        <v>4.0</v>
      </c>
      <c r="Q9" s="37">
        <v>4.0</v>
      </c>
      <c r="R9" s="37">
        <v>4.0</v>
      </c>
      <c r="S9" s="37">
        <v>4.0</v>
      </c>
      <c r="T9" s="37">
        <v>5.0</v>
      </c>
      <c r="U9" s="37">
        <v>5.0</v>
      </c>
      <c r="V9" s="37">
        <v>5.0</v>
      </c>
      <c r="W9" s="37">
        <v>5.0</v>
      </c>
      <c r="X9" s="37">
        <v>3.0</v>
      </c>
      <c r="Y9" s="37">
        <v>5.0</v>
      </c>
      <c r="Z9" s="37">
        <v>3.0</v>
      </c>
      <c r="AA9" s="37">
        <v>4.0</v>
      </c>
      <c r="AB9" s="37">
        <v>5.0</v>
      </c>
      <c r="AC9" s="37">
        <v>4.0</v>
      </c>
      <c r="AD9" s="37">
        <v>4.0</v>
      </c>
      <c r="AE9" s="37">
        <v>5.0</v>
      </c>
      <c r="AF9" s="37">
        <v>4.0</v>
      </c>
      <c r="AG9" s="37">
        <v>4.0</v>
      </c>
      <c r="AH9" s="37">
        <v>5.0</v>
      </c>
      <c r="AI9" s="37">
        <v>3.0</v>
      </c>
      <c r="AJ9" s="37">
        <v>5.0</v>
      </c>
      <c r="AK9" s="37">
        <v>4.0</v>
      </c>
      <c r="AL9" s="37">
        <v>4.0</v>
      </c>
      <c r="AM9" s="37">
        <v>3.0</v>
      </c>
      <c r="AN9" s="37">
        <v>4.0</v>
      </c>
      <c r="AO9" s="37">
        <v>4.0</v>
      </c>
      <c r="AP9" s="37">
        <v>5.0</v>
      </c>
      <c r="AQ9" s="37">
        <v>4.0</v>
      </c>
      <c r="AR9" s="37">
        <v>5.0</v>
      </c>
      <c r="AS9" s="37">
        <v>4.0</v>
      </c>
      <c r="AT9" s="37">
        <v>3.0</v>
      </c>
      <c r="AU9" s="37">
        <v>4.0</v>
      </c>
      <c r="AV9" s="37">
        <v>3.0</v>
      </c>
      <c r="AW9" s="37">
        <v>5.0</v>
      </c>
      <c r="AX9" s="37">
        <v>4.0</v>
      </c>
      <c r="AY9" s="37">
        <v>4.0</v>
      </c>
      <c r="AZ9" s="37">
        <v>5.0</v>
      </c>
      <c r="BA9" s="37">
        <v>4.0</v>
      </c>
      <c r="BB9" s="38">
        <f t="shared" si="1"/>
        <v>215</v>
      </c>
      <c r="BC9" s="39">
        <f t="shared" si="2"/>
        <v>0.1553279935</v>
      </c>
      <c r="BD9" s="39"/>
      <c r="BE9" s="39"/>
    </row>
    <row r="10">
      <c r="A10" s="35" t="s">
        <v>125</v>
      </c>
      <c r="B10" s="37">
        <v>3.0</v>
      </c>
      <c r="C10" s="37">
        <v>4.0</v>
      </c>
      <c r="D10" s="37">
        <v>5.0</v>
      </c>
      <c r="E10" s="37">
        <v>4.0</v>
      </c>
      <c r="F10" s="37">
        <v>3.0</v>
      </c>
      <c r="G10" s="37">
        <v>5.0</v>
      </c>
      <c r="H10" s="37">
        <v>4.0</v>
      </c>
      <c r="I10" s="37">
        <v>4.0</v>
      </c>
      <c r="J10" s="36">
        <v>1.0</v>
      </c>
      <c r="K10" s="37">
        <v>3.0</v>
      </c>
      <c r="L10" s="37">
        <v>4.0</v>
      </c>
      <c r="M10" s="37">
        <v>3.0</v>
      </c>
      <c r="N10" s="37">
        <v>4.0</v>
      </c>
      <c r="O10" s="37">
        <v>3.0</v>
      </c>
      <c r="P10" s="37">
        <v>3.0</v>
      </c>
      <c r="Q10" s="37">
        <v>4.0</v>
      </c>
      <c r="R10" s="37">
        <v>3.0</v>
      </c>
      <c r="S10" s="37">
        <v>3.0</v>
      </c>
      <c r="T10" s="37">
        <v>4.0</v>
      </c>
      <c r="U10" s="37">
        <v>3.0</v>
      </c>
      <c r="V10" s="37">
        <v>4.0</v>
      </c>
      <c r="W10" s="37">
        <v>4.0</v>
      </c>
      <c r="X10" s="37">
        <v>4.0</v>
      </c>
      <c r="Y10" s="37">
        <v>5.0</v>
      </c>
      <c r="Z10" s="37">
        <v>3.0</v>
      </c>
      <c r="AA10" s="37">
        <v>5.0</v>
      </c>
      <c r="AB10" s="37">
        <v>3.0</v>
      </c>
      <c r="AC10" s="37">
        <v>4.0</v>
      </c>
      <c r="AD10" s="37">
        <v>4.0</v>
      </c>
      <c r="AE10" s="37">
        <v>3.0</v>
      </c>
      <c r="AF10" s="37">
        <v>3.0</v>
      </c>
      <c r="AG10" s="37">
        <v>4.0</v>
      </c>
      <c r="AH10" s="37">
        <v>4.0</v>
      </c>
      <c r="AI10" s="37">
        <v>4.0</v>
      </c>
      <c r="AJ10" s="37">
        <v>3.0</v>
      </c>
      <c r="AK10" s="37">
        <v>3.0</v>
      </c>
      <c r="AL10" s="37">
        <v>4.0</v>
      </c>
      <c r="AM10" s="37">
        <v>3.0</v>
      </c>
      <c r="AN10" s="37">
        <v>3.0</v>
      </c>
      <c r="AO10" s="37">
        <v>3.0</v>
      </c>
      <c r="AP10" s="37">
        <v>5.0</v>
      </c>
      <c r="AQ10" s="37">
        <v>4.0</v>
      </c>
      <c r="AR10" s="37">
        <v>3.0</v>
      </c>
      <c r="AS10" s="37">
        <v>3.0</v>
      </c>
      <c r="AT10" s="37">
        <v>3.0</v>
      </c>
      <c r="AU10" s="37">
        <v>5.0</v>
      </c>
      <c r="AV10" s="37">
        <v>4.0</v>
      </c>
      <c r="AW10" s="37">
        <v>4.0</v>
      </c>
      <c r="AX10" s="37">
        <v>4.0</v>
      </c>
      <c r="AY10" s="37">
        <v>4.0</v>
      </c>
      <c r="AZ10" s="37">
        <v>3.0</v>
      </c>
      <c r="BA10" s="37">
        <v>4.0</v>
      </c>
      <c r="BB10" s="38">
        <f t="shared" si="1"/>
        <v>189</v>
      </c>
      <c r="BC10" s="39">
        <f t="shared" si="2"/>
        <v>0.01561391057</v>
      </c>
      <c r="BD10" s="39"/>
      <c r="BE10" s="39"/>
    </row>
    <row r="11">
      <c r="A11" s="35" t="s">
        <v>126</v>
      </c>
      <c r="B11" s="37">
        <v>3.0</v>
      </c>
      <c r="C11" s="37">
        <v>3.0</v>
      </c>
      <c r="D11" s="37">
        <v>3.0</v>
      </c>
      <c r="E11" s="37">
        <v>5.0</v>
      </c>
      <c r="F11" s="37">
        <v>4.0</v>
      </c>
      <c r="G11" s="37">
        <v>5.0</v>
      </c>
      <c r="H11" s="37">
        <v>5.0</v>
      </c>
      <c r="I11" s="37">
        <v>4.0</v>
      </c>
      <c r="J11" s="37">
        <v>4.0</v>
      </c>
      <c r="K11" s="36">
        <v>1.0</v>
      </c>
      <c r="L11" s="37">
        <v>5.0</v>
      </c>
      <c r="M11" s="37">
        <v>4.0</v>
      </c>
      <c r="N11" s="37">
        <v>5.0</v>
      </c>
      <c r="O11" s="37">
        <v>2.0</v>
      </c>
      <c r="P11" s="37">
        <v>4.0</v>
      </c>
      <c r="Q11" s="37">
        <v>4.0</v>
      </c>
      <c r="R11" s="37">
        <v>4.0</v>
      </c>
      <c r="S11" s="37">
        <v>4.0</v>
      </c>
      <c r="T11" s="37">
        <v>4.0</v>
      </c>
      <c r="U11" s="37">
        <v>5.0</v>
      </c>
      <c r="V11" s="37">
        <v>5.0</v>
      </c>
      <c r="W11" s="37">
        <v>4.0</v>
      </c>
      <c r="X11" s="37">
        <v>4.0</v>
      </c>
      <c r="Y11" s="37">
        <v>5.0</v>
      </c>
      <c r="Z11" s="37">
        <v>4.0</v>
      </c>
      <c r="AA11" s="37">
        <v>5.0</v>
      </c>
      <c r="AB11" s="37">
        <v>5.0</v>
      </c>
      <c r="AC11" s="37">
        <v>4.0</v>
      </c>
      <c r="AD11" s="37">
        <v>3.0</v>
      </c>
      <c r="AE11" s="37">
        <v>3.0</v>
      </c>
      <c r="AF11" s="37">
        <v>4.0</v>
      </c>
      <c r="AG11" s="37">
        <v>3.0</v>
      </c>
      <c r="AH11" s="37">
        <v>3.0</v>
      </c>
      <c r="AI11" s="37">
        <v>2.0</v>
      </c>
      <c r="AJ11" s="37">
        <v>4.0</v>
      </c>
      <c r="AK11" s="37">
        <v>3.0</v>
      </c>
      <c r="AL11" s="37">
        <v>5.0</v>
      </c>
      <c r="AM11" s="37">
        <v>4.0</v>
      </c>
      <c r="AN11" s="37">
        <v>3.0</v>
      </c>
      <c r="AO11" s="37">
        <v>5.0</v>
      </c>
      <c r="AP11" s="37">
        <v>5.0</v>
      </c>
      <c r="AQ11" s="37">
        <v>3.0</v>
      </c>
      <c r="AR11" s="37">
        <v>5.0</v>
      </c>
      <c r="AS11" s="37">
        <v>3.0</v>
      </c>
      <c r="AT11" s="37">
        <v>4.0</v>
      </c>
      <c r="AU11" s="37">
        <v>5.0</v>
      </c>
      <c r="AV11" s="37">
        <v>3.0</v>
      </c>
      <c r="AW11" s="37">
        <v>4.0</v>
      </c>
      <c r="AX11" s="37">
        <v>3.0</v>
      </c>
      <c r="AY11" s="37">
        <v>4.0</v>
      </c>
      <c r="AZ11" s="37">
        <v>5.0</v>
      </c>
      <c r="BA11" s="37">
        <v>5.0</v>
      </c>
      <c r="BB11" s="38">
        <f t="shared" si="1"/>
        <v>205</v>
      </c>
      <c r="BC11" s="39">
        <f t="shared" si="2"/>
        <v>0.1015918078</v>
      </c>
      <c r="BD11" s="39"/>
      <c r="BE11" s="39"/>
    </row>
    <row r="12">
      <c r="A12" s="35" t="s">
        <v>127</v>
      </c>
      <c r="B12" s="37">
        <v>3.0</v>
      </c>
      <c r="C12" s="37">
        <v>3.0</v>
      </c>
      <c r="D12" s="37">
        <v>5.0</v>
      </c>
      <c r="E12" s="37">
        <v>4.0</v>
      </c>
      <c r="F12" s="37">
        <v>3.0</v>
      </c>
      <c r="G12" s="37">
        <v>3.0</v>
      </c>
      <c r="H12" s="37">
        <v>3.0</v>
      </c>
      <c r="I12" s="37">
        <v>5.0</v>
      </c>
      <c r="J12" s="37">
        <v>5.0</v>
      </c>
      <c r="K12" s="37">
        <v>3.0</v>
      </c>
      <c r="L12" s="36">
        <v>1.0</v>
      </c>
      <c r="M12" s="37">
        <v>3.0</v>
      </c>
      <c r="N12" s="37">
        <v>4.0</v>
      </c>
      <c r="O12" s="37">
        <v>3.0</v>
      </c>
      <c r="P12" s="37">
        <v>4.0</v>
      </c>
      <c r="Q12" s="37">
        <v>3.0</v>
      </c>
      <c r="R12" s="37">
        <v>3.0</v>
      </c>
      <c r="S12" s="37">
        <v>4.0</v>
      </c>
      <c r="T12" s="37">
        <v>3.0</v>
      </c>
      <c r="U12" s="37">
        <v>3.0</v>
      </c>
      <c r="V12" s="37">
        <v>4.0</v>
      </c>
      <c r="W12" s="37">
        <v>4.0</v>
      </c>
      <c r="X12" s="37">
        <v>3.0</v>
      </c>
      <c r="Y12" s="37">
        <v>5.0</v>
      </c>
      <c r="Z12" s="37">
        <v>2.0</v>
      </c>
      <c r="AA12" s="37">
        <v>3.0</v>
      </c>
      <c r="AB12" s="37">
        <v>4.0</v>
      </c>
      <c r="AC12" s="37">
        <v>3.0</v>
      </c>
      <c r="AD12" s="37">
        <v>3.0</v>
      </c>
      <c r="AE12" s="37">
        <v>3.0</v>
      </c>
      <c r="AF12" s="37">
        <v>3.0</v>
      </c>
      <c r="AG12" s="37">
        <v>3.0</v>
      </c>
      <c r="AH12" s="37">
        <v>3.0</v>
      </c>
      <c r="AI12" s="37">
        <v>2.0</v>
      </c>
      <c r="AJ12" s="37">
        <v>4.0</v>
      </c>
      <c r="AK12" s="37">
        <v>3.0</v>
      </c>
      <c r="AL12" s="37">
        <v>4.0</v>
      </c>
      <c r="AM12" s="37">
        <v>3.0</v>
      </c>
      <c r="AN12" s="37">
        <v>4.0</v>
      </c>
      <c r="AO12" s="37">
        <v>3.0</v>
      </c>
      <c r="AP12" s="37">
        <v>4.0</v>
      </c>
      <c r="AQ12" s="37">
        <v>4.0</v>
      </c>
      <c r="AR12" s="37">
        <v>5.0</v>
      </c>
      <c r="AS12" s="37">
        <v>5.0</v>
      </c>
      <c r="AT12" s="37">
        <v>2.0</v>
      </c>
      <c r="AU12" s="37">
        <v>5.0</v>
      </c>
      <c r="AV12" s="37">
        <v>3.0</v>
      </c>
      <c r="AW12" s="37">
        <v>4.0</v>
      </c>
      <c r="AX12" s="37">
        <v>4.0</v>
      </c>
      <c r="AY12" s="37">
        <v>4.0</v>
      </c>
      <c r="AZ12" s="37">
        <v>5.0</v>
      </c>
      <c r="BA12" s="37">
        <v>3.0</v>
      </c>
      <c r="BB12" s="38">
        <f t="shared" si="1"/>
        <v>182</v>
      </c>
      <c r="BC12" s="39">
        <f t="shared" si="2"/>
        <v>-0.02200141945</v>
      </c>
      <c r="BD12" s="39"/>
      <c r="BE12" s="39"/>
    </row>
    <row r="13">
      <c r="A13" s="35" t="s">
        <v>128</v>
      </c>
      <c r="B13" s="37">
        <v>3.0</v>
      </c>
      <c r="C13" s="37">
        <v>3.0</v>
      </c>
      <c r="D13" s="37">
        <v>4.0</v>
      </c>
      <c r="E13" s="37">
        <v>3.0</v>
      </c>
      <c r="F13" s="37">
        <v>4.0</v>
      </c>
      <c r="G13" s="37">
        <v>4.0</v>
      </c>
      <c r="H13" s="37">
        <v>5.0</v>
      </c>
      <c r="I13" s="37">
        <v>3.0</v>
      </c>
      <c r="J13" s="37">
        <v>3.0</v>
      </c>
      <c r="K13" s="37">
        <v>5.0</v>
      </c>
      <c r="L13" s="37">
        <v>4.0</v>
      </c>
      <c r="M13" s="36">
        <v>1.0</v>
      </c>
      <c r="N13" s="37">
        <v>4.0</v>
      </c>
      <c r="O13" s="37">
        <v>4.0</v>
      </c>
      <c r="P13" s="37">
        <v>3.0</v>
      </c>
      <c r="Q13" s="37">
        <v>4.0</v>
      </c>
      <c r="R13" s="37">
        <v>4.0</v>
      </c>
      <c r="S13" s="37">
        <v>5.0</v>
      </c>
      <c r="T13" s="37">
        <v>3.0</v>
      </c>
      <c r="U13" s="37">
        <v>4.0</v>
      </c>
      <c r="V13" s="37">
        <v>4.0</v>
      </c>
      <c r="W13" s="37">
        <v>4.0</v>
      </c>
      <c r="X13" s="37">
        <v>3.0</v>
      </c>
      <c r="Y13" s="37">
        <v>4.0</v>
      </c>
      <c r="Z13" s="37">
        <v>2.0</v>
      </c>
      <c r="AA13" s="37">
        <v>3.0</v>
      </c>
      <c r="AB13" s="37">
        <v>5.0</v>
      </c>
      <c r="AC13" s="37">
        <v>4.0</v>
      </c>
      <c r="AD13" s="37">
        <v>4.0</v>
      </c>
      <c r="AE13" s="37">
        <v>3.0</v>
      </c>
      <c r="AF13" s="37">
        <v>3.0</v>
      </c>
      <c r="AG13" s="37">
        <v>2.0</v>
      </c>
      <c r="AH13" s="37">
        <v>3.0</v>
      </c>
      <c r="AI13" s="37">
        <v>3.0</v>
      </c>
      <c r="AJ13" s="37">
        <v>4.0</v>
      </c>
      <c r="AK13" s="37">
        <v>3.0</v>
      </c>
      <c r="AL13" s="37">
        <v>4.0</v>
      </c>
      <c r="AM13" s="37">
        <v>2.0</v>
      </c>
      <c r="AN13" s="37">
        <v>3.0</v>
      </c>
      <c r="AO13" s="37">
        <v>3.0</v>
      </c>
      <c r="AP13" s="37">
        <v>4.0</v>
      </c>
      <c r="AQ13" s="37">
        <v>4.0</v>
      </c>
      <c r="AR13" s="37">
        <v>5.0</v>
      </c>
      <c r="AS13" s="37">
        <v>3.0</v>
      </c>
      <c r="AT13" s="37">
        <v>2.0</v>
      </c>
      <c r="AU13" s="37">
        <v>4.0</v>
      </c>
      <c r="AV13" s="37">
        <v>3.0</v>
      </c>
      <c r="AW13" s="37">
        <v>3.0</v>
      </c>
      <c r="AX13" s="37">
        <v>3.0</v>
      </c>
      <c r="AY13" s="37">
        <v>3.0</v>
      </c>
      <c r="AZ13" s="37">
        <v>3.0</v>
      </c>
      <c r="BA13" s="37">
        <v>4.0</v>
      </c>
      <c r="BB13" s="38">
        <f t="shared" si="1"/>
        <v>180</v>
      </c>
      <c r="BC13" s="39">
        <f t="shared" si="2"/>
        <v>-0.0327486566</v>
      </c>
      <c r="BD13" s="39"/>
      <c r="BE13" s="39"/>
    </row>
    <row r="14">
      <c r="A14" s="40" t="s">
        <v>129</v>
      </c>
      <c r="B14" s="37">
        <v>4.0</v>
      </c>
      <c r="C14" s="37">
        <v>3.0</v>
      </c>
      <c r="D14" s="37">
        <v>3.0</v>
      </c>
      <c r="E14" s="37">
        <v>4.0</v>
      </c>
      <c r="F14" s="37">
        <v>3.0</v>
      </c>
      <c r="G14" s="37">
        <v>4.0</v>
      </c>
      <c r="H14" s="37">
        <v>5.0</v>
      </c>
      <c r="I14" s="37">
        <v>3.0</v>
      </c>
      <c r="J14" s="37">
        <v>3.0</v>
      </c>
      <c r="K14" s="37">
        <v>3.0</v>
      </c>
      <c r="L14" s="37">
        <v>4.0</v>
      </c>
      <c r="M14" s="37">
        <v>3.0</v>
      </c>
      <c r="N14" s="37">
        <v>5.0</v>
      </c>
      <c r="O14" s="37">
        <v>4.0</v>
      </c>
      <c r="P14" s="37">
        <v>3.0</v>
      </c>
      <c r="Q14" s="37">
        <v>4.0</v>
      </c>
      <c r="R14" s="37">
        <v>4.0</v>
      </c>
      <c r="S14" s="37">
        <v>3.0</v>
      </c>
      <c r="T14" s="37">
        <v>4.0</v>
      </c>
      <c r="U14" s="37">
        <v>5.0</v>
      </c>
      <c r="V14" s="37">
        <v>4.0</v>
      </c>
      <c r="W14" s="37">
        <v>3.0</v>
      </c>
      <c r="X14" s="37">
        <v>4.0</v>
      </c>
      <c r="Y14" s="37">
        <v>3.0</v>
      </c>
      <c r="Z14" s="37">
        <v>4.0</v>
      </c>
      <c r="AA14" s="37">
        <v>3.0</v>
      </c>
      <c r="AB14" s="37">
        <v>4.0</v>
      </c>
      <c r="AC14" s="37">
        <v>4.0</v>
      </c>
      <c r="AD14" s="37">
        <v>4.0</v>
      </c>
      <c r="AE14" s="37">
        <v>4.0</v>
      </c>
      <c r="AF14" s="37">
        <v>4.0</v>
      </c>
      <c r="AG14" s="37">
        <v>4.0</v>
      </c>
      <c r="AH14" s="37">
        <v>3.0</v>
      </c>
      <c r="AI14" s="37">
        <v>3.0</v>
      </c>
      <c r="AJ14" s="37">
        <v>4.0</v>
      </c>
      <c r="AK14" s="37">
        <v>4.0</v>
      </c>
      <c r="AL14" s="37">
        <v>4.0</v>
      </c>
      <c r="AM14" s="37">
        <v>4.0</v>
      </c>
      <c r="AN14" s="37">
        <v>4.0</v>
      </c>
      <c r="AO14" s="37">
        <v>5.0</v>
      </c>
      <c r="AP14" s="37">
        <v>4.0</v>
      </c>
      <c r="AQ14" s="37">
        <v>3.0</v>
      </c>
      <c r="AR14" s="37">
        <v>4.0</v>
      </c>
      <c r="AS14" s="37">
        <v>3.0</v>
      </c>
      <c r="AT14" s="37">
        <v>3.0</v>
      </c>
      <c r="AU14" s="37">
        <v>3.0</v>
      </c>
      <c r="AV14" s="37">
        <v>3.0</v>
      </c>
      <c r="AW14" s="37">
        <v>5.0</v>
      </c>
      <c r="AX14" s="37">
        <v>3.0</v>
      </c>
      <c r="AY14" s="37">
        <v>4.0</v>
      </c>
      <c r="AZ14" s="37">
        <v>5.0</v>
      </c>
      <c r="BA14" s="37">
        <v>4.0</v>
      </c>
      <c r="BB14" s="38">
        <f t="shared" si="1"/>
        <v>194</v>
      </c>
      <c r="BC14" s="39">
        <f t="shared" si="2"/>
        <v>0.04248200345</v>
      </c>
      <c r="BD14" s="39"/>
      <c r="BE14" s="39"/>
    </row>
    <row r="15">
      <c r="A15" s="35" t="s">
        <v>130</v>
      </c>
      <c r="B15" s="37">
        <v>4.0</v>
      </c>
      <c r="C15" s="37">
        <v>3.0</v>
      </c>
      <c r="D15" s="37">
        <v>4.0</v>
      </c>
      <c r="E15" s="37">
        <v>5.0</v>
      </c>
      <c r="F15" s="37">
        <v>3.0</v>
      </c>
      <c r="G15" s="37">
        <v>3.0</v>
      </c>
      <c r="H15" s="37">
        <v>5.0</v>
      </c>
      <c r="I15" s="37">
        <v>4.0</v>
      </c>
      <c r="J15" s="37">
        <v>3.0</v>
      </c>
      <c r="K15" s="37">
        <v>4.0</v>
      </c>
      <c r="L15" s="37">
        <v>4.0</v>
      </c>
      <c r="M15" s="37">
        <v>3.0</v>
      </c>
      <c r="N15" s="36">
        <v>1.0</v>
      </c>
      <c r="O15" s="37">
        <v>2.0</v>
      </c>
      <c r="P15" s="37">
        <v>4.0</v>
      </c>
      <c r="Q15" s="37">
        <v>4.0</v>
      </c>
      <c r="R15" s="37">
        <v>3.0</v>
      </c>
      <c r="S15" s="37">
        <v>4.0</v>
      </c>
      <c r="T15" s="37">
        <v>4.0</v>
      </c>
      <c r="U15" s="37">
        <v>4.0</v>
      </c>
      <c r="V15" s="37">
        <v>4.0</v>
      </c>
      <c r="W15" s="37">
        <v>4.0</v>
      </c>
      <c r="X15" s="37">
        <v>4.0</v>
      </c>
      <c r="Y15" s="37">
        <v>5.0</v>
      </c>
      <c r="Z15" s="37">
        <v>3.0</v>
      </c>
      <c r="AA15" s="37">
        <v>4.0</v>
      </c>
      <c r="AB15" s="37">
        <v>3.0</v>
      </c>
      <c r="AC15" s="37">
        <v>3.0</v>
      </c>
      <c r="AD15" s="37">
        <v>3.0</v>
      </c>
      <c r="AE15" s="37">
        <v>3.0</v>
      </c>
      <c r="AF15" s="37">
        <v>3.0</v>
      </c>
      <c r="AG15" s="37">
        <v>3.0</v>
      </c>
      <c r="AH15" s="37">
        <v>4.0</v>
      </c>
      <c r="AI15" s="37">
        <v>2.0</v>
      </c>
      <c r="AJ15" s="37">
        <v>3.0</v>
      </c>
      <c r="AK15" s="37">
        <v>3.0</v>
      </c>
      <c r="AL15" s="37">
        <v>4.0</v>
      </c>
      <c r="AM15" s="37">
        <v>3.0</v>
      </c>
      <c r="AN15" s="37">
        <v>3.0</v>
      </c>
      <c r="AO15" s="37">
        <v>4.0</v>
      </c>
      <c r="AP15" s="37">
        <v>3.0</v>
      </c>
      <c r="AQ15" s="37">
        <v>3.0</v>
      </c>
      <c r="AR15" s="37">
        <v>3.0</v>
      </c>
      <c r="AS15" s="37">
        <v>4.0</v>
      </c>
      <c r="AT15" s="37">
        <v>2.0</v>
      </c>
      <c r="AU15" s="37">
        <v>4.0</v>
      </c>
      <c r="AV15" s="37">
        <v>3.0</v>
      </c>
      <c r="AW15" s="37">
        <v>5.0</v>
      </c>
      <c r="AX15" s="37">
        <v>4.0</v>
      </c>
      <c r="AY15" s="37">
        <v>5.0</v>
      </c>
      <c r="AZ15" s="37">
        <v>4.0</v>
      </c>
      <c r="BA15" s="37">
        <v>4.0</v>
      </c>
      <c r="BB15" s="38">
        <f t="shared" si="1"/>
        <v>183</v>
      </c>
      <c r="BC15" s="39">
        <f t="shared" si="2"/>
        <v>-0.01662780087</v>
      </c>
      <c r="BD15" s="39"/>
      <c r="BE15" s="39"/>
    </row>
    <row r="16">
      <c r="A16" s="40" t="s">
        <v>131</v>
      </c>
      <c r="B16" s="37">
        <v>3.0</v>
      </c>
      <c r="C16" s="37">
        <v>3.0</v>
      </c>
      <c r="D16" s="37">
        <v>3.0</v>
      </c>
      <c r="E16" s="37">
        <v>3.0</v>
      </c>
      <c r="F16" s="37">
        <v>3.0</v>
      </c>
      <c r="G16" s="37">
        <v>3.0</v>
      </c>
      <c r="H16" s="37">
        <v>3.0</v>
      </c>
      <c r="I16" s="37">
        <v>4.0</v>
      </c>
      <c r="J16" s="37">
        <v>3.0</v>
      </c>
      <c r="K16" s="37">
        <v>3.0</v>
      </c>
      <c r="L16" s="37">
        <v>3.0</v>
      </c>
      <c r="M16" s="37">
        <v>3.0</v>
      </c>
      <c r="N16" s="37">
        <v>3.0</v>
      </c>
      <c r="O16" s="37">
        <v>3.0</v>
      </c>
      <c r="P16" s="37">
        <v>3.0</v>
      </c>
      <c r="Q16" s="37">
        <v>3.0</v>
      </c>
      <c r="R16" s="37">
        <v>3.0</v>
      </c>
      <c r="S16" s="37">
        <v>3.0</v>
      </c>
      <c r="T16" s="37">
        <v>3.0</v>
      </c>
      <c r="U16" s="37">
        <v>5.0</v>
      </c>
      <c r="V16" s="37">
        <v>3.0</v>
      </c>
      <c r="W16" s="37">
        <v>3.0</v>
      </c>
      <c r="X16" s="37">
        <v>3.0</v>
      </c>
      <c r="Y16" s="37">
        <v>3.0</v>
      </c>
      <c r="Z16" s="37">
        <v>3.0</v>
      </c>
      <c r="AA16" s="37">
        <v>3.0</v>
      </c>
      <c r="AB16" s="37">
        <v>3.0</v>
      </c>
      <c r="AC16" s="37">
        <v>3.0</v>
      </c>
      <c r="AD16" s="37">
        <v>3.0</v>
      </c>
      <c r="AE16" s="37">
        <v>3.0</v>
      </c>
      <c r="AF16" s="37">
        <v>3.0</v>
      </c>
      <c r="AG16" s="37">
        <v>3.0</v>
      </c>
      <c r="AH16" s="37">
        <v>3.0</v>
      </c>
      <c r="AI16" s="37">
        <v>3.0</v>
      </c>
      <c r="AJ16" s="37">
        <v>3.0</v>
      </c>
      <c r="AK16" s="37">
        <v>3.0</v>
      </c>
      <c r="AL16" s="37">
        <v>3.0</v>
      </c>
      <c r="AM16" s="37">
        <v>3.0</v>
      </c>
      <c r="AN16" s="37">
        <v>3.0</v>
      </c>
      <c r="AO16" s="37">
        <v>3.0</v>
      </c>
      <c r="AP16" s="37">
        <v>3.0</v>
      </c>
      <c r="AQ16" s="37">
        <v>4.0</v>
      </c>
      <c r="AR16" s="37">
        <v>4.0</v>
      </c>
      <c r="AS16" s="37">
        <v>3.0</v>
      </c>
      <c r="AT16" s="37">
        <v>3.0</v>
      </c>
      <c r="AU16" s="37">
        <v>3.0</v>
      </c>
      <c r="AV16" s="37">
        <v>3.0</v>
      </c>
      <c r="AW16" s="37">
        <v>3.0</v>
      </c>
      <c r="AX16" s="37">
        <v>3.0</v>
      </c>
      <c r="AY16" s="37">
        <v>3.0</v>
      </c>
      <c r="AZ16" s="37">
        <v>3.0</v>
      </c>
      <c r="BA16" s="37">
        <v>3.0</v>
      </c>
      <c r="BB16" s="38">
        <f t="shared" si="1"/>
        <v>161</v>
      </c>
      <c r="BC16" s="39">
        <f t="shared" si="2"/>
        <v>-0.1348474095</v>
      </c>
      <c r="BD16" s="39"/>
      <c r="BE16" s="39"/>
    </row>
    <row r="17">
      <c r="A17" s="35" t="s">
        <v>132</v>
      </c>
      <c r="B17" s="37">
        <v>3.0</v>
      </c>
      <c r="C17" s="37">
        <v>3.0</v>
      </c>
      <c r="D17" s="37">
        <v>3.0</v>
      </c>
      <c r="E17" s="37">
        <v>3.0</v>
      </c>
      <c r="F17" s="37">
        <v>3.0</v>
      </c>
      <c r="G17" s="37">
        <v>5.0</v>
      </c>
      <c r="H17" s="37">
        <v>4.0</v>
      </c>
      <c r="I17" s="37">
        <v>4.0</v>
      </c>
      <c r="J17" s="37">
        <v>4.0</v>
      </c>
      <c r="K17" s="37">
        <v>3.0</v>
      </c>
      <c r="L17" s="37">
        <v>2.0</v>
      </c>
      <c r="M17" s="37">
        <v>2.0</v>
      </c>
      <c r="N17" s="37">
        <v>3.0</v>
      </c>
      <c r="O17" s="36">
        <v>1.0</v>
      </c>
      <c r="P17" s="37">
        <v>3.0</v>
      </c>
      <c r="Q17" s="37">
        <v>3.0</v>
      </c>
      <c r="R17" s="37">
        <v>2.0</v>
      </c>
      <c r="S17" s="37">
        <v>4.0</v>
      </c>
      <c r="T17" s="37">
        <v>5.0</v>
      </c>
      <c r="U17" s="37">
        <v>2.0</v>
      </c>
      <c r="V17" s="37">
        <v>4.0</v>
      </c>
      <c r="W17" s="37">
        <v>4.0</v>
      </c>
      <c r="X17" s="37">
        <v>3.0</v>
      </c>
      <c r="Y17" s="37">
        <v>3.0</v>
      </c>
      <c r="Z17" s="37">
        <v>3.0</v>
      </c>
      <c r="AA17" s="37">
        <v>3.0</v>
      </c>
      <c r="AB17" s="37">
        <v>3.0</v>
      </c>
      <c r="AC17" s="37">
        <v>4.0</v>
      </c>
      <c r="AD17" s="37">
        <v>4.0</v>
      </c>
      <c r="AE17" s="37">
        <v>3.0</v>
      </c>
      <c r="AF17" s="37">
        <v>4.0</v>
      </c>
      <c r="AG17" s="37">
        <v>5.0</v>
      </c>
      <c r="AH17" s="37">
        <v>4.0</v>
      </c>
      <c r="AI17" s="37">
        <v>3.0</v>
      </c>
      <c r="AJ17" s="37">
        <v>4.0</v>
      </c>
      <c r="AK17" s="37">
        <v>3.0</v>
      </c>
      <c r="AL17" s="37">
        <v>5.0</v>
      </c>
      <c r="AM17" s="37">
        <v>4.0</v>
      </c>
      <c r="AN17" s="37">
        <v>4.0</v>
      </c>
      <c r="AO17" s="37">
        <v>2.0</v>
      </c>
      <c r="AP17" s="37">
        <v>5.0</v>
      </c>
      <c r="AQ17" s="37">
        <v>5.0</v>
      </c>
      <c r="AR17" s="37">
        <v>3.0</v>
      </c>
      <c r="AS17" s="37">
        <v>3.0</v>
      </c>
      <c r="AT17" s="37">
        <v>3.0</v>
      </c>
      <c r="AU17" s="37">
        <v>5.0</v>
      </c>
      <c r="AV17" s="37">
        <v>5.0</v>
      </c>
      <c r="AW17" s="37">
        <v>3.0</v>
      </c>
      <c r="AX17" s="37">
        <v>2.0</v>
      </c>
      <c r="AY17" s="37">
        <v>4.0</v>
      </c>
      <c r="AZ17" s="37">
        <v>3.0</v>
      </c>
      <c r="BA17" s="37">
        <v>5.0</v>
      </c>
      <c r="BB17" s="38">
        <f t="shared" si="1"/>
        <v>180</v>
      </c>
      <c r="BC17" s="39">
        <f t="shared" si="2"/>
        <v>-0.0327486566</v>
      </c>
      <c r="BD17" s="39"/>
      <c r="BE17" s="39"/>
    </row>
    <row r="18">
      <c r="A18" s="35" t="s">
        <v>133</v>
      </c>
      <c r="B18" s="37">
        <v>2.0</v>
      </c>
      <c r="C18" s="37">
        <v>2.0</v>
      </c>
      <c r="D18" s="37">
        <v>4.0</v>
      </c>
      <c r="E18" s="37">
        <v>4.0</v>
      </c>
      <c r="F18" s="37">
        <v>3.0</v>
      </c>
      <c r="G18" s="37">
        <v>3.0</v>
      </c>
      <c r="H18" s="37">
        <v>4.0</v>
      </c>
      <c r="I18" s="37">
        <v>4.0</v>
      </c>
      <c r="J18" s="37">
        <v>4.0</v>
      </c>
      <c r="K18" s="37">
        <v>2.0</v>
      </c>
      <c r="L18" s="37">
        <v>5.0</v>
      </c>
      <c r="M18" s="37">
        <v>3.0</v>
      </c>
      <c r="N18" s="37">
        <v>5.0</v>
      </c>
      <c r="O18" s="37">
        <v>3.0</v>
      </c>
      <c r="P18" s="36">
        <v>1.0</v>
      </c>
      <c r="Q18" s="37">
        <v>4.0</v>
      </c>
      <c r="R18" s="37">
        <v>3.0</v>
      </c>
      <c r="S18" s="37">
        <v>2.0</v>
      </c>
      <c r="T18" s="37">
        <v>4.0</v>
      </c>
      <c r="U18" s="37">
        <v>2.0</v>
      </c>
      <c r="V18" s="37">
        <v>5.0</v>
      </c>
      <c r="W18" s="37">
        <v>4.0</v>
      </c>
      <c r="X18" s="37">
        <v>4.0</v>
      </c>
      <c r="Y18" s="37">
        <v>5.0</v>
      </c>
      <c r="Z18" s="37">
        <v>3.0</v>
      </c>
      <c r="AA18" s="37">
        <v>4.0</v>
      </c>
      <c r="AB18" s="37">
        <v>5.0</v>
      </c>
      <c r="AC18" s="37">
        <v>3.0</v>
      </c>
      <c r="AD18" s="37">
        <v>3.0</v>
      </c>
      <c r="AE18" s="37">
        <v>3.0</v>
      </c>
      <c r="AF18" s="37">
        <v>4.0</v>
      </c>
      <c r="AG18" s="37">
        <v>3.0</v>
      </c>
      <c r="AH18" s="37">
        <v>3.0</v>
      </c>
      <c r="AI18" s="37">
        <v>3.0</v>
      </c>
      <c r="AJ18" s="37">
        <v>4.0</v>
      </c>
      <c r="AK18" s="37">
        <v>4.0</v>
      </c>
      <c r="AL18" s="37">
        <v>5.0</v>
      </c>
      <c r="AM18" s="37">
        <v>2.0</v>
      </c>
      <c r="AN18" s="37">
        <v>5.0</v>
      </c>
      <c r="AO18" s="37">
        <v>5.0</v>
      </c>
      <c r="AP18" s="37">
        <v>3.0</v>
      </c>
      <c r="AQ18" s="37">
        <v>4.0</v>
      </c>
      <c r="AR18" s="37">
        <v>4.0</v>
      </c>
      <c r="AS18" s="37">
        <v>4.0</v>
      </c>
      <c r="AT18" s="37">
        <v>2.0</v>
      </c>
      <c r="AU18" s="37">
        <v>5.0</v>
      </c>
      <c r="AV18" s="37">
        <v>4.0</v>
      </c>
      <c r="AW18" s="37">
        <v>5.0</v>
      </c>
      <c r="AX18" s="37">
        <v>3.0</v>
      </c>
      <c r="AY18" s="37">
        <v>4.0</v>
      </c>
      <c r="AZ18" s="37">
        <v>5.0</v>
      </c>
      <c r="BA18" s="37">
        <v>3.0</v>
      </c>
      <c r="BB18" s="38">
        <f t="shared" si="1"/>
        <v>187</v>
      </c>
      <c r="BC18" s="39">
        <f t="shared" si="2"/>
        <v>0.004866673426</v>
      </c>
      <c r="BD18" s="39"/>
      <c r="BE18" s="39"/>
    </row>
    <row r="19">
      <c r="A19" s="35" t="s">
        <v>134</v>
      </c>
      <c r="B19" s="37">
        <v>3.0</v>
      </c>
      <c r="C19" s="37">
        <v>3.0</v>
      </c>
      <c r="D19" s="37">
        <v>5.0</v>
      </c>
      <c r="E19" s="37">
        <v>5.0</v>
      </c>
      <c r="F19" s="37">
        <v>3.0</v>
      </c>
      <c r="G19" s="37">
        <v>5.0</v>
      </c>
      <c r="H19" s="37">
        <v>4.0</v>
      </c>
      <c r="I19" s="37">
        <v>3.0</v>
      </c>
      <c r="J19" s="37">
        <v>4.0</v>
      </c>
      <c r="K19" s="37">
        <v>5.0</v>
      </c>
      <c r="L19" s="37">
        <v>4.0</v>
      </c>
      <c r="M19" s="37">
        <v>3.0</v>
      </c>
      <c r="N19" s="37">
        <v>5.0</v>
      </c>
      <c r="O19" s="37">
        <v>3.0</v>
      </c>
      <c r="P19" s="37">
        <v>3.0</v>
      </c>
      <c r="Q19" s="36">
        <v>1.0</v>
      </c>
      <c r="R19" s="37">
        <v>4.0</v>
      </c>
      <c r="S19" s="37">
        <v>4.0</v>
      </c>
      <c r="T19" s="37">
        <v>5.0</v>
      </c>
      <c r="U19" s="37">
        <v>3.0</v>
      </c>
      <c r="V19" s="37">
        <v>5.0</v>
      </c>
      <c r="W19" s="37">
        <v>4.0</v>
      </c>
      <c r="X19" s="37">
        <v>4.0</v>
      </c>
      <c r="Y19" s="37">
        <v>5.0</v>
      </c>
      <c r="Z19" s="37">
        <v>2.0</v>
      </c>
      <c r="AA19" s="37">
        <v>3.0</v>
      </c>
      <c r="AB19" s="37">
        <v>5.0</v>
      </c>
      <c r="AC19" s="37">
        <v>4.0</v>
      </c>
      <c r="AD19" s="37">
        <v>4.0</v>
      </c>
      <c r="AE19" s="37">
        <v>3.0</v>
      </c>
      <c r="AF19" s="37">
        <v>4.0</v>
      </c>
      <c r="AG19" s="37">
        <v>3.0</v>
      </c>
      <c r="AH19" s="37">
        <v>4.0</v>
      </c>
      <c r="AI19" s="37">
        <v>2.0</v>
      </c>
      <c r="AJ19" s="37">
        <v>5.0</v>
      </c>
      <c r="AK19" s="37">
        <v>4.0</v>
      </c>
      <c r="AL19" s="37">
        <v>5.0</v>
      </c>
      <c r="AM19" s="37">
        <v>3.0</v>
      </c>
      <c r="AN19" s="37">
        <v>3.0</v>
      </c>
      <c r="AO19" s="37">
        <v>3.0</v>
      </c>
      <c r="AP19" s="37">
        <v>4.0</v>
      </c>
      <c r="AQ19" s="37">
        <v>3.0</v>
      </c>
      <c r="AR19" s="37">
        <v>5.0</v>
      </c>
      <c r="AS19" s="37">
        <v>4.0</v>
      </c>
      <c r="AT19" s="37">
        <v>2.0</v>
      </c>
      <c r="AU19" s="37">
        <v>4.0</v>
      </c>
      <c r="AV19" s="37">
        <v>3.0</v>
      </c>
      <c r="AW19" s="37">
        <v>4.0</v>
      </c>
      <c r="AX19" s="37">
        <v>4.0</v>
      </c>
      <c r="AY19" s="37">
        <v>5.0</v>
      </c>
      <c r="AZ19" s="37">
        <v>5.0</v>
      </c>
      <c r="BA19" s="37">
        <v>4.0</v>
      </c>
      <c r="BB19" s="38">
        <f t="shared" si="1"/>
        <v>197</v>
      </c>
      <c r="BC19" s="39">
        <f t="shared" si="2"/>
        <v>0.05860285917</v>
      </c>
      <c r="BD19" s="39"/>
      <c r="BE19" s="39"/>
    </row>
    <row r="20">
      <c r="A20" s="35" t="s">
        <v>135</v>
      </c>
      <c r="B20" s="37">
        <v>4.0</v>
      </c>
      <c r="C20" s="37">
        <v>3.0</v>
      </c>
      <c r="D20" s="37">
        <v>5.0</v>
      </c>
      <c r="E20" s="37">
        <v>5.0</v>
      </c>
      <c r="F20" s="37">
        <v>3.0</v>
      </c>
      <c r="G20" s="37">
        <v>5.0</v>
      </c>
      <c r="H20" s="37">
        <v>5.0</v>
      </c>
      <c r="I20" s="37">
        <v>4.0</v>
      </c>
      <c r="J20" s="37">
        <v>5.0</v>
      </c>
      <c r="K20" s="37">
        <v>4.0</v>
      </c>
      <c r="L20" s="37">
        <v>4.0</v>
      </c>
      <c r="M20" s="37">
        <v>3.0</v>
      </c>
      <c r="N20" s="37">
        <v>5.0</v>
      </c>
      <c r="O20" s="37">
        <v>3.0</v>
      </c>
      <c r="P20" s="37">
        <v>3.0</v>
      </c>
      <c r="Q20" s="37">
        <v>4.0</v>
      </c>
      <c r="R20" s="36">
        <v>1.0</v>
      </c>
      <c r="S20" s="37">
        <v>4.0</v>
      </c>
      <c r="T20" s="37">
        <v>5.0</v>
      </c>
      <c r="U20" s="37">
        <v>4.0</v>
      </c>
      <c r="V20" s="37">
        <v>5.0</v>
      </c>
      <c r="W20" s="37">
        <v>4.0</v>
      </c>
      <c r="X20" s="37">
        <v>5.0</v>
      </c>
      <c r="Y20" s="37">
        <v>5.0</v>
      </c>
      <c r="Z20" s="37">
        <v>4.0</v>
      </c>
      <c r="AA20" s="37">
        <v>4.0</v>
      </c>
      <c r="AB20" s="37">
        <v>4.0</v>
      </c>
      <c r="AC20" s="37">
        <v>3.0</v>
      </c>
      <c r="AD20" s="37">
        <v>4.0</v>
      </c>
      <c r="AE20" s="37">
        <v>4.0</v>
      </c>
      <c r="AF20" s="37">
        <v>4.0</v>
      </c>
      <c r="AG20" s="37">
        <v>3.0</v>
      </c>
      <c r="AH20" s="37">
        <v>5.0</v>
      </c>
      <c r="AI20" s="37">
        <v>3.0</v>
      </c>
      <c r="AJ20" s="37">
        <v>4.0</v>
      </c>
      <c r="AK20" s="37">
        <v>3.0</v>
      </c>
      <c r="AL20" s="37">
        <v>4.0</v>
      </c>
      <c r="AM20" s="37">
        <v>3.0</v>
      </c>
      <c r="AN20" s="37">
        <v>3.0</v>
      </c>
      <c r="AO20" s="37">
        <v>5.0</v>
      </c>
      <c r="AP20" s="37">
        <v>5.0</v>
      </c>
      <c r="AQ20" s="37">
        <v>4.0</v>
      </c>
      <c r="AR20" s="37">
        <v>5.0</v>
      </c>
      <c r="AS20" s="37">
        <v>4.0</v>
      </c>
      <c r="AT20" s="37">
        <v>3.0</v>
      </c>
      <c r="AU20" s="37">
        <v>4.0</v>
      </c>
      <c r="AV20" s="37">
        <v>4.0</v>
      </c>
      <c r="AW20" s="37">
        <v>4.0</v>
      </c>
      <c r="AX20" s="37">
        <v>3.0</v>
      </c>
      <c r="AY20" s="37">
        <v>5.0</v>
      </c>
      <c r="AZ20" s="37">
        <v>5.0</v>
      </c>
      <c r="BA20" s="37">
        <v>4.0</v>
      </c>
      <c r="BB20" s="38">
        <f t="shared" si="1"/>
        <v>208</v>
      </c>
      <c r="BC20" s="39">
        <f t="shared" si="2"/>
        <v>0.1177126635</v>
      </c>
      <c r="BD20" s="39"/>
      <c r="BE20" s="39"/>
    </row>
    <row r="21">
      <c r="A21" s="35" t="s">
        <v>136</v>
      </c>
      <c r="B21" s="37">
        <v>3.0</v>
      </c>
      <c r="C21" s="37">
        <v>3.0</v>
      </c>
      <c r="D21" s="37">
        <v>3.0</v>
      </c>
      <c r="E21" s="37">
        <v>4.0</v>
      </c>
      <c r="F21" s="37">
        <v>3.0</v>
      </c>
      <c r="G21" s="37">
        <v>5.0</v>
      </c>
      <c r="H21" s="37">
        <v>5.0</v>
      </c>
      <c r="I21" s="37">
        <v>4.0</v>
      </c>
      <c r="J21" s="37">
        <v>3.0</v>
      </c>
      <c r="K21" s="37">
        <v>3.0</v>
      </c>
      <c r="L21" s="37">
        <v>3.0</v>
      </c>
      <c r="M21" s="37">
        <v>3.0</v>
      </c>
      <c r="N21" s="37">
        <v>5.0</v>
      </c>
      <c r="O21" s="37">
        <v>3.0</v>
      </c>
      <c r="P21" s="37">
        <v>4.0</v>
      </c>
      <c r="Q21" s="37">
        <v>4.0</v>
      </c>
      <c r="R21" s="37">
        <v>3.0</v>
      </c>
      <c r="S21" s="36">
        <v>1.0</v>
      </c>
      <c r="T21" s="37">
        <v>3.0</v>
      </c>
      <c r="U21" s="37">
        <v>5.0</v>
      </c>
      <c r="V21" s="37">
        <v>5.0</v>
      </c>
      <c r="W21" s="37">
        <v>5.0</v>
      </c>
      <c r="X21" s="37">
        <v>4.0</v>
      </c>
      <c r="Y21" s="37">
        <v>4.0</v>
      </c>
      <c r="Z21" s="37">
        <v>2.0</v>
      </c>
      <c r="AA21" s="37">
        <v>3.0</v>
      </c>
      <c r="AB21" s="37">
        <v>3.0</v>
      </c>
      <c r="AC21" s="37">
        <v>4.0</v>
      </c>
      <c r="AD21" s="37">
        <v>4.0</v>
      </c>
      <c r="AE21" s="37">
        <v>2.0</v>
      </c>
      <c r="AF21" s="37">
        <v>5.0</v>
      </c>
      <c r="AG21" s="37">
        <v>3.0</v>
      </c>
      <c r="AH21" s="37">
        <v>4.0</v>
      </c>
      <c r="AI21" s="37">
        <v>3.0</v>
      </c>
      <c r="AJ21" s="37">
        <v>4.0</v>
      </c>
      <c r="AK21" s="37">
        <v>3.0</v>
      </c>
      <c r="AL21" s="37">
        <v>5.0</v>
      </c>
      <c r="AM21" s="37">
        <v>4.0</v>
      </c>
      <c r="AN21" s="37">
        <v>3.0</v>
      </c>
      <c r="AO21" s="37">
        <v>5.0</v>
      </c>
      <c r="AP21" s="37">
        <v>5.0</v>
      </c>
      <c r="AQ21" s="37">
        <v>4.0</v>
      </c>
      <c r="AR21" s="37">
        <v>5.0</v>
      </c>
      <c r="AS21" s="37">
        <v>4.0</v>
      </c>
      <c r="AT21" s="37">
        <v>3.0</v>
      </c>
      <c r="AU21" s="37">
        <v>5.0</v>
      </c>
      <c r="AV21" s="37">
        <v>3.0</v>
      </c>
      <c r="AW21" s="37">
        <v>5.0</v>
      </c>
      <c r="AX21" s="37">
        <v>4.0</v>
      </c>
      <c r="AY21" s="37">
        <v>5.0</v>
      </c>
      <c r="AZ21" s="37">
        <v>4.0</v>
      </c>
      <c r="BA21" s="37">
        <v>4.0</v>
      </c>
      <c r="BB21" s="38">
        <f t="shared" si="1"/>
        <v>196</v>
      </c>
      <c r="BC21" s="39">
        <f t="shared" si="2"/>
        <v>0.0532292406</v>
      </c>
      <c r="BD21" s="39"/>
      <c r="BE21" s="39"/>
    </row>
    <row r="22">
      <c r="A22" s="35" t="s">
        <v>137</v>
      </c>
      <c r="B22" s="37">
        <v>3.0</v>
      </c>
      <c r="C22" s="37">
        <v>3.0</v>
      </c>
      <c r="D22" s="37">
        <v>4.0</v>
      </c>
      <c r="E22" s="37">
        <v>3.0</v>
      </c>
      <c r="F22" s="37">
        <v>3.0</v>
      </c>
      <c r="G22" s="37">
        <v>4.0</v>
      </c>
      <c r="H22" s="37">
        <v>4.0</v>
      </c>
      <c r="I22" s="37">
        <v>3.0</v>
      </c>
      <c r="J22" s="37">
        <v>3.0</v>
      </c>
      <c r="K22" s="37">
        <v>3.0</v>
      </c>
      <c r="L22" s="37">
        <v>3.0</v>
      </c>
      <c r="M22" s="37">
        <v>2.0</v>
      </c>
      <c r="N22" s="37">
        <v>4.0</v>
      </c>
      <c r="O22" s="37">
        <v>3.0</v>
      </c>
      <c r="P22" s="37">
        <v>3.0</v>
      </c>
      <c r="Q22" s="37">
        <v>4.0</v>
      </c>
      <c r="R22" s="37">
        <v>3.0</v>
      </c>
      <c r="S22" s="37">
        <v>4.0</v>
      </c>
      <c r="T22" s="36">
        <v>1.0</v>
      </c>
      <c r="U22" s="37">
        <v>3.0</v>
      </c>
      <c r="V22" s="37">
        <v>4.0</v>
      </c>
      <c r="W22" s="37">
        <v>4.0</v>
      </c>
      <c r="X22" s="37">
        <v>5.0</v>
      </c>
      <c r="Y22" s="37">
        <v>4.0</v>
      </c>
      <c r="Z22" s="37">
        <v>2.0</v>
      </c>
      <c r="AA22" s="37">
        <v>3.0</v>
      </c>
      <c r="AB22" s="37">
        <v>3.0</v>
      </c>
      <c r="AC22" s="37">
        <v>3.0</v>
      </c>
      <c r="AD22" s="37">
        <v>4.0</v>
      </c>
      <c r="AE22" s="37">
        <v>4.0</v>
      </c>
      <c r="AF22" s="37">
        <v>3.0</v>
      </c>
      <c r="AG22" s="37">
        <v>3.0</v>
      </c>
      <c r="AH22" s="37">
        <v>3.0</v>
      </c>
      <c r="AI22" s="37">
        <v>2.0</v>
      </c>
      <c r="AJ22" s="37">
        <v>4.0</v>
      </c>
      <c r="AK22" s="37">
        <v>3.0</v>
      </c>
      <c r="AL22" s="37">
        <v>5.0</v>
      </c>
      <c r="AM22" s="37">
        <v>3.0</v>
      </c>
      <c r="AN22" s="37">
        <v>3.0</v>
      </c>
      <c r="AO22" s="37">
        <v>3.0</v>
      </c>
      <c r="AP22" s="37">
        <v>4.0</v>
      </c>
      <c r="AQ22" s="37">
        <v>4.0</v>
      </c>
      <c r="AR22" s="37">
        <v>4.0</v>
      </c>
      <c r="AS22" s="37">
        <v>4.0</v>
      </c>
      <c r="AT22" s="37">
        <v>2.0</v>
      </c>
      <c r="AU22" s="37">
        <v>5.0</v>
      </c>
      <c r="AV22" s="37">
        <v>3.0</v>
      </c>
      <c r="AW22" s="37">
        <v>4.0</v>
      </c>
      <c r="AX22" s="37">
        <v>2.0</v>
      </c>
      <c r="AY22" s="37">
        <v>4.0</v>
      </c>
      <c r="AZ22" s="37">
        <v>3.0</v>
      </c>
      <c r="BA22" s="37">
        <v>4.0</v>
      </c>
      <c r="BB22" s="38">
        <f t="shared" si="1"/>
        <v>174</v>
      </c>
      <c r="BC22" s="39">
        <f t="shared" si="2"/>
        <v>-0.06499036804</v>
      </c>
      <c r="BD22" s="39"/>
      <c r="BE22" s="39"/>
    </row>
    <row r="23">
      <c r="A23" s="35" t="s">
        <v>138</v>
      </c>
      <c r="B23" s="37">
        <v>4.0</v>
      </c>
      <c r="C23" s="37">
        <v>3.0</v>
      </c>
      <c r="D23" s="37">
        <v>5.0</v>
      </c>
      <c r="E23" s="37">
        <v>4.0</v>
      </c>
      <c r="F23" s="37">
        <v>5.0</v>
      </c>
      <c r="G23" s="37">
        <v>5.0</v>
      </c>
      <c r="H23" s="37">
        <v>5.0</v>
      </c>
      <c r="I23" s="37">
        <v>4.0</v>
      </c>
      <c r="J23" s="37">
        <v>5.0</v>
      </c>
      <c r="K23" s="37">
        <v>5.0</v>
      </c>
      <c r="L23" s="37">
        <v>4.0</v>
      </c>
      <c r="M23" s="37">
        <v>4.0</v>
      </c>
      <c r="N23" s="37">
        <v>5.0</v>
      </c>
      <c r="O23" s="37">
        <v>4.0</v>
      </c>
      <c r="P23" s="37">
        <v>5.0</v>
      </c>
      <c r="Q23" s="37">
        <v>5.0</v>
      </c>
      <c r="R23" s="37">
        <v>4.0</v>
      </c>
      <c r="S23" s="37">
        <v>5.0</v>
      </c>
      <c r="T23" s="37">
        <v>5.0</v>
      </c>
      <c r="U23" s="36">
        <v>1.0</v>
      </c>
      <c r="V23" s="37">
        <v>4.0</v>
      </c>
      <c r="W23" s="37">
        <v>5.0</v>
      </c>
      <c r="X23" s="37">
        <v>5.0</v>
      </c>
      <c r="Y23" s="37">
        <v>5.0</v>
      </c>
      <c r="Z23" s="37">
        <v>3.0</v>
      </c>
      <c r="AA23" s="37">
        <v>4.0</v>
      </c>
      <c r="AB23" s="37">
        <v>4.0</v>
      </c>
      <c r="AC23" s="37">
        <v>4.0</v>
      </c>
      <c r="AD23" s="37">
        <v>4.0</v>
      </c>
      <c r="AE23" s="37">
        <v>4.0</v>
      </c>
      <c r="AF23" s="37">
        <v>5.0</v>
      </c>
      <c r="AG23" s="37">
        <v>5.0</v>
      </c>
      <c r="AH23" s="37">
        <v>4.0</v>
      </c>
      <c r="AI23" s="37">
        <v>4.0</v>
      </c>
      <c r="AJ23" s="37">
        <v>5.0</v>
      </c>
      <c r="AK23" s="37">
        <v>4.0</v>
      </c>
      <c r="AL23" s="37">
        <v>5.0</v>
      </c>
      <c r="AM23" s="37">
        <v>4.0</v>
      </c>
      <c r="AN23" s="37">
        <v>4.0</v>
      </c>
      <c r="AO23" s="37">
        <v>5.0</v>
      </c>
      <c r="AP23" s="37">
        <v>5.0</v>
      </c>
      <c r="AQ23" s="37">
        <v>5.0</v>
      </c>
      <c r="AR23" s="37">
        <v>5.0</v>
      </c>
      <c r="AS23" s="37">
        <v>4.0</v>
      </c>
      <c r="AT23" s="37">
        <v>3.0</v>
      </c>
      <c r="AU23" s="37">
        <v>5.0</v>
      </c>
      <c r="AV23" s="37">
        <v>4.0</v>
      </c>
      <c r="AW23" s="37">
        <v>4.0</v>
      </c>
      <c r="AX23" s="37">
        <v>4.0</v>
      </c>
      <c r="AY23" s="37">
        <v>5.0</v>
      </c>
      <c r="AZ23" s="37">
        <v>5.0</v>
      </c>
      <c r="BA23" s="37">
        <v>5.0</v>
      </c>
      <c r="BB23" s="38">
        <f t="shared" si="1"/>
        <v>228</v>
      </c>
      <c r="BC23" s="39">
        <f t="shared" si="2"/>
        <v>0.225185035</v>
      </c>
      <c r="BD23" s="39"/>
      <c r="BE23" s="39"/>
    </row>
    <row r="24">
      <c r="A24" s="35" t="s">
        <v>139</v>
      </c>
      <c r="B24" s="37">
        <v>3.0</v>
      </c>
      <c r="C24" s="37">
        <v>3.0</v>
      </c>
      <c r="D24" s="37">
        <v>3.0</v>
      </c>
      <c r="E24" s="37">
        <v>5.0</v>
      </c>
      <c r="F24" s="37">
        <v>3.0</v>
      </c>
      <c r="G24" s="37">
        <v>5.0</v>
      </c>
      <c r="H24" s="37">
        <v>5.0</v>
      </c>
      <c r="I24" s="37">
        <v>4.0</v>
      </c>
      <c r="J24" s="37">
        <v>3.0</v>
      </c>
      <c r="K24" s="37">
        <v>3.0</v>
      </c>
      <c r="L24" s="37">
        <v>3.0</v>
      </c>
      <c r="M24" s="37">
        <v>3.0</v>
      </c>
      <c r="N24" s="37">
        <v>4.0</v>
      </c>
      <c r="O24" s="37">
        <v>2.0</v>
      </c>
      <c r="P24" s="37">
        <v>3.0</v>
      </c>
      <c r="Q24" s="37">
        <v>5.0</v>
      </c>
      <c r="R24" s="37">
        <v>3.0</v>
      </c>
      <c r="S24" s="37">
        <v>3.0</v>
      </c>
      <c r="T24" s="37">
        <v>3.0</v>
      </c>
      <c r="U24" s="37">
        <v>3.0</v>
      </c>
      <c r="V24" s="36">
        <v>1.0</v>
      </c>
      <c r="W24" s="37">
        <v>5.0</v>
      </c>
      <c r="X24" s="37">
        <v>5.0</v>
      </c>
      <c r="Y24" s="37">
        <v>5.0</v>
      </c>
      <c r="Z24" s="37">
        <v>2.0</v>
      </c>
      <c r="AA24" s="37">
        <v>4.0</v>
      </c>
      <c r="AB24" s="37">
        <v>4.0</v>
      </c>
      <c r="AC24" s="37">
        <v>3.0</v>
      </c>
      <c r="AD24" s="37">
        <v>3.0</v>
      </c>
      <c r="AE24" s="37">
        <v>3.0</v>
      </c>
      <c r="AF24" s="37">
        <v>3.0</v>
      </c>
      <c r="AG24" s="37">
        <v>3.0</v>
      </c>
      <c r="AH24" s="37">
        <v>3.0</v>
      </c>
      <c r="AI24" s="37">
        <v>2.0</v>
      </c>
      <c r="AJ24" s="37">
        <v>4.0</v>
      </c>
      <c r="AK24" s="37">
        <v>3.0</v>
      </c>
      <c r="AL24" s="37">
        <v>5.0</v>
      </c>
      <c r="AM24" s="37">
        <v>3.0</v>
      </c>
      <c r="AN24" s="37">
        <v>3.0</v>
      </c>
      <c r="AO24" s="37">
        <v>3.0</v>
      </c>
      <c r="AP24" s="37">
        <v>4.0</v>
      </c>
      <c r="AQ24" s="37">
        <v>3.0</v>
      </c>
      <c r="AR24" s="37">
        <v>5.0</v>
      </c>
      <c r="AS24" s="37">
        <v>4.0</v>
      </c>
      <c r="AT24" s="37">
        <v>3.0</v>
      </c>
      <c r="AU24" s="37">
        <v>5.0</v>
      </c>
      <c r="AV24" s="37">
        <v>3.0</v>
      </c>
      <c r="AW24" s="37">
        <v>4.0</v>
      </c>
      <c r="AX24" s="37">
        <v>3.0</v>
      </c>
      <c r="AY24" s="37">
        <v>5.0</v>
      </c>
      <c r="AZ24" s="37">
        <v>4.0</v>
      </c>
      <c r="BA24" s="37">
        <v>4.0</v>
      </c>
      <c r="BB24" s="38">
        <f t="shared" si="1"/>
        <v>183</v>
      </c>
      <c r="BC24" s="39">
        <f t="shared" si="2"/>
        <v>-0.01662780087</v>
      </c>
      <c r="BD24" s="39"/>
      <c r="BE24" s="39"/>
    </row>
    <row r="25">
      <c r="A25" s="35" t="s">
        <v>140</v>
      </c>
      <c r="B25" s="37">
        <v>3.0</v>
      </c>
      <c r="C25" s="37">
        <v>3.0</v>
      </c>
      <c r="D25" s="37">
        <v>4.0</v>
      </c>
      <c r="E25" s="37">
        <v>4.0</v>
      </c>
      <c r="F25" s="37">
        <v>2.0</v>
      </c>
      <c r="G25" s="37">
        <v>4.0</v>
      </c>
      <c r="H25" s="37">
        <v>5.0</v>
      </c>
      <c r="I25" s="37">
        <v>3.0</v>
      </c>
      <c r="J25" s="37">
        <v>2.0</v>
      </c>
      <c r="K25" s="37">
        <v>3.0</v>
      </c>
      <c r="L25" s="37">
        <v>3.0</v>
      </c>
      <c r="M25" s="37">
        <v>2.0</v>
      </c>
      <c r="N25" s="37">
        <v>5.0</v>
      </c>
      <c r="O25" s="37">
        <v>3.0</v>
      </c>
      <c r="P25" s="37">
        <v>3.0</v>
      </c>
      <c r="Q25" s="37">
        <v>3.0</v>
      </c>
      <c r="R25" s="37">
        <v>3.0</v>
      </c>
      <c r="S25" s="37">
        <v>4.0</v>
      </c>
      <c r="T25" s="37">
        <v>5.0</v>
      </c>
      <c r="U25" s="37">
        <v>2.0</v>
      </c>
      <c r="V25" s="37">
        <v>5.0</v>
      </c>
      <c r="W25" s="36">
        <v>1.0</v>
      </c>
      <c r="X25" s="37">
        <v>4.0</v>
      </c>
      <c r="Y25" s="37">
        <v>5.0</v>
      </c>
      <c r="Z25" s="37">
        <v>3.0</v>
      </c>
      <c r="AA25" s="37">
        <v>3.0</v>
      </c>
      <c r="AB25" s="37">
        <v>3.0</v>
      </c>
      <c r="AC25" s="37">
        <v>4.0</v>
      </c>
      <c r="AD25" s="37">
        <v>4.0</v>
      </c>
      <c r="AE25" s="37">
        <v>4.0</v>
      </c>
      <c r="AF25" s="37">
        <v>3.0</v>
      </c>
      <c r="AG25" s="37">
        <v>4.0</v>
      </c>
      <c r="AH25" s="37">
        <v>3.0</v>
      </c>
      <c r="AI25" s="37">
        <v>2.0</v>
      </c>
      <c r="AJ25" s="37">
        <v>4.0</v>
      </c>
      <c r="AK25" s="37">
        <v>3.0</v>
      </c>
      <c r="AL25" s="37">
        <v>5.0</v>
      </c>
      <c r="AM25" s="37">
        <v>2.0</v>
      </c>
      <c r="AN25" s="37">
        <v>3.0</v>
      </c>
      <c r="AO25" s="37">
        <v>2.0</v>
      </c>
      <c r="AP25" s="37">
        <v>5.0</v>
      </c>
      <c r="AQ25" s="37">
        <v>4.0</v>
      </c>
      <c r="AR25" s="37">
        <v>5.0</v>
      </c>
      <c r="AS25" s="37">
        <v>4.0</v>
      </c>
      <c r="AT25" s="37">
        <v>2.0</v>
      </c>
      <c r="AU25" s="37">
        <v>5.0</v>
      </c>
      <c r="AV25" s="37">
        <v>3.0</v>
      </c>
      <c r="AW25" s="37">
        <v>4.0</v>
      </c>
      <c r="AX25" s="37">
        <v>4.0</v>
      </c>
      <c r="AY25" s="37">
        <v>5.0</v>
      </c>
      <c r="AZ25" s="37">
        <v>3.0</v>
      </c>
      <c r="BA25" s="37">
        <v>4.0</v>
      </c>
      <c r="BB25" s="38">
        <f t="shared" si="1"/>
        <v>181</v>
      </c>
      <c r="BC25" s="39">
        <f t="shared" si="2"/>
        <v>-0.02737503802</v>
      </c>
      <c r="BD25" s="39"/>
      <c r="BE25" s="39"/>
    </row>
    <row r="26">
      <c r="A26" s="35" t="s">
        <v>141</v>
      </c>
      <c r="B26" s="37">
        <v>3.0</v>
      </c>
      <c r="C26" s="37">
        <v>3.0</v>
      </c>
      <c r="D26" s="37">
        <v>4.0</v>
      </c>
      <c r="E26" s="37">
        <v>4.0</v>
      </c>
      <c r="F26" s="37">
        <v>4.0</v>
      </c>
      <c r="G26" s="37">
        <v>5.0</v>
      </c>
      <c r="H26" s="37">
        <v>4.0</v>
      </c>
      <c r="I26" s="37">
        <v>3.0</v>
      </c>
      <c r="J26" s="37">
        <v>3.0</v>
      </c>
      <c r="K26" s="37">
        <v>3.0</v>
      </c>
      <c r="L26" s="37">
        <v>4.0</v>
      </c>
      <c r="M26" s="37">
        <v>2.0</v>
      </c>
      <c r="N26" s="37">
        <v>4.0</v>
      </c>
      <c r="O26" s="37">
        <v>3.0</v>
      </c>
      <c r="P26" s="37">
        <v>3.0</v>
      </c>
      <c r="Q26" s="37">
        <v>4.0</v>
      </c>
      <c r="R26" s="37">
        <v>3.0</v>
      </c>
      <c r="S26" s="37">
        <v>4.0</v>
      </c>
      <c r="T26" s="37">
        <v>5.0</v>
      </c>
      <c r="U26" s="37">
        <v>3.0</v>
      </c>
      <c r="V26" s="37">
        <v>5.0</v>
      </c>
      <c r="W26" s="37">
        <v>4.0</v>
      </c>
      <c r="X26" s="36">
        <v>1.0</v>
      </c>
      <c r="Y26" s="37">
        <v>3.0</v>
      </c>
      <c r="Z26" s="37">
        <v>3.0</v>
      </c>
      <c r="AA26" s="37">
        <v>3.0</v>
      </c>
      <c r="AB26" s="37">
        <v>4.0</v>
      </c>
      <c r="AC26" s="37">
        <v>3.0</v>
      </c>
      <c r="AD26" s="37">
        <v>3.0</v>
      </c>
      <c r="AE26" s="37">
        <v>3.0</v>
      </c>
      <c r="AF26" s="37">
        <v>4.0</v>
      </c>
      <c r="AG26" s="37">
        <v>4.0</v>
      </c>
      <c r="AH26" s="37">
        <v>4.0</v>
      </c>
      <c r="AI26" s="37">
        <v>3.0</v>
      </c>
      <c r="AJ26" s="37">
        <v>3.0</v>
      </c>
      <c r="AK26" s="37">
        <v>3.0</v>
      </c>
      <c r="AL26" s="37">
        <v>5.0</v>
      </c>
      <c r="AM26" s="37">
        <v>3.0</v>
      </c>
      <c r="AN26" s="37">
        <v>3.0</v>
      </c>
      <c r="AO26" s="37">
        <v>3.0</v>
      </c>
      <c r="AP26" s="37">
        <v>5.0</v>
      </c>
      <c r="AQ26" s="37">
        <v>4.0</v>
      </c>
      <c r="AR26" s="37">
        <v>4.0</v>
      </c>
      <c r="AS26" s="37">
        <v>3.0</v>
      </c>
      <c r="AT26" s="37">
        <v>3.0</v>
      </c>
      <c r="AU26" s="37">
        <v>5.0</v>
      </c>
      <c r="AV26" s="37">
        <v>3.0</v>
      </c>
      <c r="AW26" s="37">
        <v>3.0</v>
      </c>
      <c r="AX26" s="37">
        <v>3.0</v>
      </c>
      <c r="AY26" s="37">
        <v>5.0</v>
      </c>
      <c r="AZ26" s="37">
        <v>4.0</v>
      </c>
      <c r="BA26" s="37">
        <v>4.0</v>
      </c>
      <c r="BB26" s="38">
        <f t="shared" si="1"/>
        <v>184</v>
      </c>
      <c r="BC26" s="39">
        <f t="shared" si="2"/>
        <v>-0.0112541823</v>
      </c>
      <c r="BD26" s="39"/>
      <c r="BE26" s="39"/>
    </row>
    <row r="27">
      <c r="A27" s="35" t="s">
        <v>142</v>
      </c>
      <c r="B27" s="37">
        <v>5.0</v>
      </c>
      <c r="C27" s="37">
        <v>4.0</v>
      </c>
      <c r="D27" s="37">
        <v>5.0</v>
      </c>
      <c r="E27" s="37">
        <v>5.0</v>
      </c>
      <c r="F27" s="37">
        <v>4.0</v>
      </c>
      <c r="G27" s="37">
        <v>5.0</v>
      </c>
      <c r="H27" s="37">
        <v>5.0</v>
      </c>
      <c r="I27" s="37">
        <v>4.0</v>
      </c>
      <c r="J27" s="37">
        <v>4.0</v>
      </c>
      <c r="K27" s="37">
        <v>5.0</v>
      </c>
      <c r="L27" s="37">
        <v>4.0</v>
      </c>
      <c r="M27" s="37">
        <v>4.0</v>
      </c>
      <c r="N27" s="37">
        <v>5.0</v>
      </c>
      <c r="O27" s="37">
        <v>4.0</v>
      </c>
      <c r="P27" s="37">
        <v>4.0</v>
      </c>
      <c r="Q27" s="37">
        <v>5.0</v>
      </c>
      <c r="R27" s="37">
        <v>4.0</v>
      </c>
      <c r="S27" s="37">
        <v>5.0</v>
      </c>
      <c r="T27" s="37">
        <v>5.0</v>
      </c>
      <c r="U27" s="37">
        <v>4.0</v>
      </c>
      <c r="V27" s="37">
        <v>5.0</v>
      </c>
      <c r="W27" s="37">
        <v>5.0</v>
      </c>
      <c r="X27" s="37">
        <v>5.0</v>
      </c>
      <c r="Y27" s="36">
        <v>1.0</v>
      </c>
      <c r="Z27" s="37">
        <v>4.0</v>
      </c>
      <c r="AA27" s="37">
        <v>5.0</v>
      </c>
      <c r="AB27" s="37">
        <v>5.0</v>
      </c>
      <c r="AC27" s="37">
        <v>5.0</v>
      </c>
      <c r="AD27" s="37">
        <v>5.0</v>
      </c>
      <c r="AE27" s="37">
        <v>4.0</v>
      </c>
      <c r="AF27" s="37">
        <v>5.0</v>
      </c>
      <c r="AG27" s="37">
        <v>5.0</v>
      </c>
      <c r="AH27" s="37">
        <v>5.0</v>
      </c>
      <c r="AI27" s="37">
        <v>4.0</v>
      </c>
      <c r="AJ27" s="37">
        <v>5.0</v>
      </c>
      <c r="AK27" s="37">
        <v>4.0</v>
      </c>
      <c r="AL27" s="37">
        <v>5.0</v>
      </c>
      <c r="AM27" s="37">
        <v>4.0</v>
      </c>
      <c r="AN27" s="37">
        <v>4.0</v>
      </c>
      <c r="AO27" s="37">
        <v>4.0</v>
      </c>
      <c r="AP27" s="37">
        <v>5.0</v>
      </c>
      <c r="AQ27" s="37">
        <v>4.0</v>
      </c>
      <c r="AR27" s="37">
        <v>4.0</v>
      </c>
      <c r="AS27" s="37">
        <v>5.0</v>
      </c>
      <c r="AT27" s="37">
        <v>4.0</v>
      </c>
      <c r="AU27" s="37">
        <v>5.0</v>
      </c>
      <c r="AV27" s="37">
        <v>4.0</v>
      </c>
      <c r="AW27" s="37">
        <v>5.0</v>
      </c>
      <c r="AX27" s="37">
        <v>5.0</v>
      </c>
      <c r="AY27" s="37">
        <v>5.0</v>
      </c>
      <c r="AZ27" s="37">
        <v>5.0</v>
      </c>
      <c r="BA27" s="37">
        <v>4.0</v>
      </c>
      <c r="BB27" s="38">
        <f t="shared" si="1"/>
        <v>234</v>
      </c>
      <c r="BC27" s="39">
        <f t="shared" si="2"/>
        <v>0.2574267464</v>
      </c>
      <c r="BD27" s="39"/>
      <c r="BE27" s="39"/>
    </row>
    <row r="28">
      <c r="A28" s="35" t="s">
        <v>143</v>
      </c>
      <c r="B28" s="37">
        <v>5.0</v>
      </c>
      <c r="C28" s="37">
        <v>2.0</v>
      </c>
      <c r="D28" s="37">
        <v>5.0</v>
      </c>
      <c r="E28" s="37">
        <v>4.0</v>
      </c>
      <c r="F28" s="37">
        <v>2.0</v>
      </c>
      <c r="G28" s="37">
        <v>4.0</v>
      </c>
      <c r="H28" s="37">
        <v>2.0</v>
      </c>
      <c r="I28" s="37">
        <v>3.0</v>
      </c>
      <c r="J28" s="37">
        <v>2.0</v>
      </c>
      <c r="K28" s="37">
        <v>3.0</v>
      </c>
      <c r="L28" s="37">
        <v>2.0</v>
      </c>
      <c r="M28" s="37">
        <v>1.0</v>
      </c>
      <c r="N28" s="37">
        <v>3.0</v>
      </c>
      <c r="O28" s="37">
        <v>3.0</v>
      </c>
      <c r="P28" s="37">
        <v>2.0</v>
      </c>
      <c r="Q28" s="37">
        <v>2.0</v>
      </c>
      <c r="R28" s="37">
        <v>2.0</v>
      </c>
      <c r="S28" s="37">
        <v>2.0</v>
      </c>
      <c r="T28" s="37">
        <v>2.0</v>
      </c>
      <c r="U28" s="37">
        <v>1.0</v>
      </c>
      <c r="V28" s="37">
        <v>4.0</v>
      </c>
      <c r="W28" s="37">
        <v>4.0</v>
      </c>
      <c r="X28" s="37">
        <v>2.0</v>
      </c>
      <c r="Y28" s="37">
        <v>2.0</v>
      </c>
      <c r="Z28" s="36">
        <v>1.0</v>
      </c>
      <c r="AA28" s="37">
        <v>2.0</v>
      </c>
      <c r="AB28" s="37">
        <v>3.0</v>
      </c>
      <c r="AC28" s="37">
        <v>3.0</v>
      </c>
      <c r="AD28" s="37">
        <v>2.0</v>
      </c>
      <c r="AE28" s="37">
        <v>4.0</v>
      </c>
      <c r="AF28" s="37">
        <v>2.0</v>
      </c>
      <c r="AG28" s="37">
        <v>2.0</v>
      </c>
      <c r="AH28" s="37">
        <v>3.0</v>
      </c>
      <c r="AI28" s="37">
        <v>1.0</v>
      </c>
      <c r="AJ28" s="37">
        <v>2.0</v>
      </c>
      <c r="AK28" s="37">
        <v>4.0</v>
      </c>
      <c r="AL28" s="37">
        <v>4.0</v>
      </c>
      <c r="AM28" s="37">
        <v>2.0</v>
      </c>
      <c r="AN28" s="37">
        <v>3.0</v>
      </c>
      <c r="AO28" s="37">
        <v>3.0</v>
      </c>
      <c r="AP28" s="37">
        <v>3.0</v>
      </c>
      <c r="AQ28" s="37">
        <v>4.0</v>
      </c>
      <c r="AR28" s="37">
        <v>5.0</v>
      </c>
      <c r="AS28" s="37">
        <v>3.0</v>
      </c>
      <c r="AT28" s="37">
        <v>2.0</v>
      </c>
      <c r="AU28" s="37">
        <v>2.0</v>
      </c>
      <c r="AV28" s="37">
        <v>2.0</v>
      </c>
      <c r="AW28" s="37">
        <v>2.0</v>
      </c>
      <c r="AX28" s="37">
        <v>2.0</v>
      </c>
      <c r="AY28" s="37">
        <v>3.0</v>
      </c>
      <c r="AZ28" s="37">
        <v>5.0</v>
      </c>
      <c r="BA28" s="37">
        <v>2.0</v>
      </c>
      <c r="BB28" s="38">
        <f t="shared" si="1"/>
        <v>140</v>
      </c>
      <c r="BC28" s="39">
        <f t="shared" si="2"/>
        <v>-0.2476933996</v>
      </c>
      <c r="BD28" s="39"/>
      <c r="BE28" s="39"/>
    </row>
    <row r="29">
      <c r="A29" s="35" t="s">
        <v>144</v>
      </c>
      <c r="B29" s="37">
        <v>3.0</v>
      </c>
      <c r="C29" s="37">
        <v>5.0</v>
      </c>
      <c r="D29" s="37">
        <v>3.0</v>
      </c>
      <c r="E29" s="37">
        <v>3.0</v>
      </c>
      <c r="F29" s="37">
        <v>4.0</v>
      </c>
      <c r="G29" s="37">
        <v>4.0</v>
      </c>
      <c r="H29" s="37">
        <v>5.0</v>
      </c>
      <c r="I29" s="37">
        <v>5.0</v>
      </c>
      <c r="J29" s="37">
        <v>4.0</v>
      </c>
      <c r="K29" s="37">
        <v>3.0</v>
      </c>
      <c r="L29" s="37">
        <v>5.0</v>
      </c>
      <c r="M29" s="37">
        <v>4.0</v>
      </c>
      <c r="N29" s="37">
        <v>3.0</v>
      </c>
      <c r="O29" s="37">
        <v>2.0</v>
      </c>
      <c r="P29" s="37">
        <v>3.0</v>
      </c>
      <c r="Q29" s="37">
        <v>3.0</v>
      </c>
      <c r="R29" s="37">
        <v>3.0</v>
      </c>
      <c r="S29" s="37">
        <v>3.0</v>
      </c>
      <c r="T29" s="37">
        <v>4.0</v>
      </c>
      <c r="U29" s="37">
        <v>3.0</v>
      </c>
      <c r="V29" s="37">
        <v>4.0</v>
      </c>
      <c r="W29" s="37">
        <v>3.0</v>
      </c>
      <c r="X29" s="37">
        <v>3.0</v>
      </c>
      <c r="Y29" s="37">
        <v>4.0</v>
      </c>
      <c r="Z29" s="37">
        <v>2.0</v>
      </c>
      <c r="AA29" s="36">
        <v>1.0</v>
      </c>
      <c r="AB29" s="37">
        <v>4.0</v>
      </c>
      <c r="AC29" s="37">
        <v>4.0</v>
      </c>
      <c r="AD29" s="37">
        <v>5.0</v>
      </c>
      <c r="AE29" s="37">
        <v>3.0</v>
      </c>
      <c r="AF29" s="37">
        <v>3.0</v>
      </c>
      <c r="AG29" s="37">
        <v>4.0</v>
      </c>
      <c r="AH29" s="37">
        <v>4.0</v>
      </c>
      <c r="AI29" s="37">
        <v>3.0</v>
      </c>
      <c r="AJ29" s="37">
        <v>4.0</v>
      </c>
      <c r="AK29" s="37">
        <v>2.0</v>
      </c>
      <c r="AL29" s="37">
        <v>3.0</v>
      </c>
      <c r="AM29" s="37">
        <v>2.0</v>
      </c>
      <c r="AN29" s="37">
        <v>3.0</v>
      </c>
      <c r="AO29" s="37">
        <v>3.0</v>
      </c>
      <c r="AP29" s="37">
        <v>4.0</v>
      </c>
      <c r="AQ29" s="37">
        <v>3.0</v>
      </c>
      <c r="AR29" s="37">
        <v>4.0</v>
      </c>
      <c r="AS29" s="37">
        <v>5.0</v>
      </c>
      <c r="AT29" s="37">
        <v>2.0</v>
      </c>
      <c r="AU29" s="37">
        <v>4.0</v>
      </c>
      <c r="AV29" s="37">
        <v>4.0</v>
      </c>
      <c r="AW29" s="37">
        <v>3.0</v>
      </c>
      <c r="AX29" s="37">
        <v>5.0</v>
      </c>
      <c r="AY29" s="37">
        <v>3.0</v>
      </c>
      <c r="AZ29" s="37">
        <v>3.0</v>
      </c>
      <c r="BA29" s="37">
        <v>5.0</v>
      </c>
      <c r="BB29" s="38">
        <f t="shared" si="1"/>
        <v>181</v>
      </c>
      <c r="BC29" s="39">
        <f t="shared" si="2"/>
        <v>-0.02737503802</v>
      </c>
      <c r="BD29" s="39"/>
      <c r="BE29" s="39"/>
    </row>
    <row r="30">
      <c r="A30" s="35" t="s">
        <v>145</v>
      </c>
      <c r="B30" s="37">
        <v>3.0</v>
      </c>
      <c r="C30" s="37">
        <v>3.0</v>
      </c>
      <c r="D30" s="37">
        <v>5.0</v>
      </c>
      <c r="E30" s="37">
        <v>5.0</v>
      </c>
      <c r="F30" s="37">
        <v>4.0</v>
      </c>
      <c r="G30" s="37">
        <v>4.0</v>
      </c>
      <c r="H30" s="37">
        <v>5.0</v>
      </c>
      <c r="I30" s="37">
        <v>3.0</v>
      </c>
      <c r="J30" s="37">
        <v>3.0</v>
      </c>
      <c r="K30" s="37">
        <v>3.0</v>
      </c>
      <c r="L30" s="37">
        <v>5.0</v>
      </c>
      <c r="M30" s="37">
        <v>3.0</v>
      </c>
      <c r="N30" s="37">
        <v>4.0</v>
      </c>
      <c r="O30" s="37">
        <v>3.0</v>
      </c>
      <c r="P30" s="37">
        <v>3.0</v>
      </c>
      <c r="Q30" s="37">
        <v>4.0</v>
      </c>
      <c r="R30" s="37">
        <v>3.0</v>
      </c>
      <c r="S30" s="37">
        <v>3.0</v>
      </c>
      <c r="T30" s="37">
        <v>5.0</v>
      </c>
      <c r="U30" s="37">
        <v>4.0</v>
      </c>
      <c r="V30" s="37">
        <v>4.0</v>
      </c>
      <c r="W30" s="37">
        <v>5.0</v>
      </c>
      <c r="X30" s="37">
        <v>4.0</v>
      </c>
      <c r="Y30" s="37">
        <v>4.0</v>
      </c>
      <c r="Z30" s="37">
        <v>3.0</v>
      </c>
      <c r="AA30" s="37">
        <v>4.0</v>
      </c>
      <c r="AB30" s="36">
        <v>1.0</v>
      </c>
      <c r="AC30" s="37">
        <v>3.0</v>
      </c>
      <c r="AD30" s="37">
        <v>4.0</v>
      </c>
      <c r="AE30" s="37">
        <v>3.0</v>
      </c>
      <c r="AF30" s="37">
        <v>4.0</v>
      </c>
      <c r="AG30" s="37">
        <v>4.0</v>
      </c>
      <c r="AH30" s="37">
        <v>5.0</v>
      </c>
      <c r="AI30" s="37">
        <v>3.0</v>
      </c>
      <c r="AJ30" s="37">
        <v>4.0</v>
      </c>
      <c r="AK30" s="37">
        <v>3.0</v>
      </c>
      <c r="AL30" s="37">
        <v>5.0</v>
      </c>
      <c r="AM30" s="37">
        <v>3.0</v>
      </c>
      <c r="AN30" s="37">
        <v>4.0</v>
      </c>
      <c r="AO30" s="37">
        <v>3.0</v>
      </c>
      <c r="AP30" s="37">
        <v>4.0</v>
      </c>
      <c r="AQ30" s="37">
        <v>4.0</v>
      </c>
      <c r="AR30" s="37">
        <v>4.0</v>
      </c>
      <c r="AS30" s="37">
        <v>4.0</v>
      </c>
      <c r="AT30" s="37">
        <v>3.0</v>
      </c>
      <c r="AU30" s="37">
        <v>5.0</v>
      </c>
      <c r="AV30" s="37">
        <v>4.0</v>
      </c>
      <c r="AW30" s="37">
        <v>5.0</v>
      </c>
      <c r="AX30" s="37">
        <v>4.0</v>
      </c>
      <c r="AY30" s="37">
        <v>4.0</v>
      </c>
      <c r="AZ30" s="37">
        <v>4.0</v>
      </c>
      <c r="BA30" s="37">
        <v>4.0</v>
      </c>
      <c r="BB30" s="38">
        <f t="shared" si="1"/>
        <v>197</v>
      </c>
      <c r="BC30" s="39">
        <f t="shared" si="2"/>
        <v>0.05860285917</v>
      </c>
      <c r="BD30" s="39"/>
      <c r="BE30" s="39"/>
    </row>
    <row r="31">
      <c r="A31" s="35" t="s">
        <v>146</v>
      </c>
      <c r="B31" s="37">
        <v>2.0</v>
      </c>
      <c r="C31" s="37">
        <v>3.0</v>
      </c>
      <c r="D31" s="37">
        <v>4.0</v>
      </c>
      <c r="E31" s="37">
        <v>5.0</v>
      </c>
      <c r="F31" s="37">
        <v>3.0</v>
      </c>
      <c r="G31" s="37">
        <v>4.0</v>
      </c>
      <c r="H31" s="37">
        <v>4.0</v>
      </c>
      <c r="I31" s="37">
        <v>5.0</v>
      </c>
      <c r="J31" s="37">
        <v>4.0</v>
      </c>
      <c r="K31" s="37">
        <v>4.0</v>
      </c>
      <c r="L31" s="37">
        <v>5.0</v>
      </c>
      <c r="M31" s="37">
        <v>2.0</v>
      </c>
      <c r="N31" s="37">
        <v>4.0</v>
      </c>
      <c r="O31" s="37">
        <v>3.0</v>
      </c>
      <c r="P31" s="37">
        <v>3.0</v>
      </c>
      <c r="Q31" s="37">
        <v>5.0</v>
      </c>
      <c r="R31" s="37">
        <v>3.0</v>
      </c>
      <c r="S31" s="37">
        <v>4.0</v>
      </c>
      <c r="T31" s="37">
        <v>5.0</v>
      </c>
      <c r="U31" s="37">
        <v>4.0</v>
      </c>
      <c r="V31" s="37">
        <v>5.0</v>
      </c>
      <c r="W31" s="37">
        <v>5.0</v>
      </c>
      <c r="X31" s="37">
        <v>5.0</v>
      </c>
      <c r="Y31" s="37">
        <v>3.0</v>
      </c>
      <c r="Z31" s="37">
        <v>3.0</v>
      </c>
      <c r="AA31" s="37">
        <v>4.0</v>
      </c>
      <c r="AB31" s="37">
        <v>5.0</v>
      </c>
      <c r="AC31" s="36">
        <v>1.0</v>
      </c>
      <c r="AD31" s="37">
        <v>3.0</v>
      </c>
      <c r="AE31" s="37">
        <v>3.0</v>
      </c>
      <c r="AF31" s="37">
        <v>3.0</v>
      </c>
      <c r="AG31" s="37">
        <v>3.0</v>
      </c>
      <c r="AH31" s="37">
        <v>3.0</v>
      </c>
      <c r="AI31" s="37">
        <v>3.0</v>
      </c>
      <c r="AJ31" s="37">
        <v>5.0</v>
      </c>
      <c r="AK31" s="37">
        <v>3.0</v>
      </c>
      <c r="AL31" s="37">
        <v>5.0</v>
      </c>
      <c r="AM31" s="37">
        <v>2.0</v>
      </c>
      <c r="AN31" s="37">
        <v>3.0</v>
      </c>
      <c r="AO31" s="37">
        <v>2.0</v>
      </c>
      <c r="AP31" s="37">
        <v>4.0</v>
      </c>
      <c r="AQ31" s="37">
        <v>4.0</v>
      </c>
      <c r="AR31" s="37">
        <v>5.0</v>
      </c>
      <c r="AS31" s="37">
        <v>4.0</v>
      </c>
      <c r="AT31" s="37">
        <v>2.0</v>
      </c>
      <c r="AU31" s="37">
        <v>5.0</v>
      </c>
      <c r="AV31" s="37">
        <v>3.0</v>
      </c>
      <c r="AW31" s="37">
        <v>5.0</v>
      </c>
      <c r="AX31" s="37">
        <v>5.0</v>
      </c>
      <c r="AY31" s="37">
        <v>5.0</v>
      </c>
      <c r="AZ31" s="37">
        <v>4.0</v>
      </c>
      <c r="BA31" s="37">
        <v>3.0</v>
      </c>
      <c r="BB31" s="38">
        <f t="shared" si="1"/>
        <v>194</v>
      </c>
      <c r="BC31" s="39">
        <f t="shared" si="2"/>
        <v>0.04248200345</v>
      </c>
      <c r="BD31" s="39"/>
      <c r="BE31" s="39"/>
    </row>
    <row r="32">
      <c r="A32" s="35" t="s">
        <v>147</v>
      </c>
      <c r="B32" s="37">
        <v>2.0</v>
      </c>
      <c r="C32" s="37">
        <v>2.0</v>
      </c>
      <c r="D32" s="37">
        <v>2.0</v>
      </c>
      <c r="E32" s="37">
        <v>3.0</v>
      </c>
      <c r="F32" s="37">
        <v>2.0</v>
      </c>
      <c r="G32" s="37">
        <v>5.0</v>
      </c>
      <c r="H32" s="37">
        <v>3.0</v>
      </c>
      <c r="I32" s="37">
        <v>2.0</v>
      </c>
      <c r="J32" s="37">
        <v>2.0</v>
      </c>
      <c r="K32" s="37">
        <v>2.0</v>
      </c>
      <c r="L32" s="37">
        <v>4.0</v>
      </c>
      <c r="M32" s="37">
        <v>1.0</v>
      </c>
      <c r="N32" s="37">
        <v>4.0</v>
      </c>
      <c r="O32" s="37">
        <v>3.0</v>
      </c>
      <c r="P32" s="37">
        <v>2.0</v>
      </c>
      <c r="Q32" s="37">
        <v>4.0</v>
      </c>
      <c r="R32" s="37">
        <v>4.0</v>
      </c>
      <c r="S32" s="37">
        <v>4.0</v>
      </c>
      <c r="T32" s="37">
        <v>4.0</v>
      </c>
      <c r="U32" s="37">
        <v>2.0</v>
      </c>
      <c r="V32" s="37">
        <v>4.0</v>
      </c>
      <c r="W32" s="37">
        <v>3.0</v>
      </c>
      <c r="X32" s="37">
        <v>4.0</v>
      </c>
      <c r="Y32" s="37">
        <v>2.0</v>
      </c>
      <c r="Z32" s="37">
        <v>1.0</v>
      </c>
      <c r="AA32" s="37">
        <v>2.0</v>
      </c>
      <c r="AB32" s="37">
        <v>3.0</v>
      </c>
      <c r="AC32" s="37">
        <v>3.0</v>
      </c>
      <c r="AD32" s="36">
        <v>1.0</v>
      </c>
      <c r="AE32" s="37">
        <v>2.0</v>
      </c>
      <c r="AF32" s="37">
        <v>2.0</v>
      </c>
      <c r="AG32" s="37">
        <v>3.0</v>
      </c>
      <c r="AH32" s="37">
        <v>2.0</v>
      </c>
      <c r="AI32" s="37">
        <v>2.0</v>
      </c>
      <c r="AJ32" s="37">
        <v>3.0</v>
      </c>
      <c r="AK32" s="37">
        <v>2.0</v>
      </c>
      <c r="AL32" s="37">
        <v>4.0</v>
      </c>
      <c r="AM32" s="37">
        <v>3.0</v>
      </c>
      <c r="AN32" s="37">
        <v>3.0</v>
      </c>
      <c r="AO32" s="37">
        <v>1.0</v>
      </c>
      <c r="AP32" s="37">
        <v>5.0</v>
      </c>
      <c r="AQ32" s="37">
        <v>3.0</v>
      </c>
      <c r="AR32" s="37">
        <v>3.0</v>
      </c>
      <c r="AS32" s="37">
        <v>4.0</v>
      </c>
      <c r="AT32" s="37">
        <v>1.0</v>
      </c>
      <c r="AU32" s="37">
        <v>4.0</v>
      </c>
      <c r="AV32" s="37">
        <v>2.0</v>
      </c>
      <c r="AW32" s="37">
        <v>4.0</v>
      </c>
      <c r="AX32" s="37">
        <v>2.0</v>
      </c>
      <c r="AY32" s="37">
        <v>4.0</v>
      </c>
      <c r="AZ32" s="37">
        <v>1.0</v>
      </c>
      <c r="BA32" s="37">
        <v>4.0</v>
      </c>
      <c r="BB32" s="38">
        <f t="shared" si="1"/>
        <v>144</v>
      </c>
      <c r="BC32" s="39">
        <f t="shared" si="2"/>
        <v>-0.2261989253</v>
      </c>
      <c r="BD32" s="39"/>
      <c r="BE32" s="39"/>
    </row>
    <row r="33">
      <c r="A33" s="35" t="s">
        <v>148</v>
      </c>
      <c r="B33" s="37">
        <v>3.0</v>
      </c>
      <c r="C33" s="37">
        <v>5.0</v>
      </c>
      <c r="D33" s="37">
        <v>5.0</v>
      </c>
      <c r="E33" s="37">
        <v>4.0</v>
      </c>
      <c r="F33" s="37">
        <v>5.0</v>
      </c>
      <c r="G33" s="37">
        <v>5.0</v>
      </c>
      <c r="H33" s="37">
        <v>5.0</v>
      </c>
      <c r="I33" s="37">
        <v>5.0</v>
      </c>
      <c r="J33" s="37">
        <v>4.0</v>
      </c>
      <c r="K33" s="37">
        <v>4.0</v>
      </c>
      <c r="L33" s="37">
        <v>4.0</v>
      </c>
      <c r="M33" s="37">
        <v>3.0</v>
      </c>
      <c r="N33" s="37">
        <v>5.0</v>
      </c>
      <c r="O33" s="37">
        <v>3.0</v>
      </c>
      <c r="P33" s="37">
        <v>3.0</v>
      </c>
      <c r="Q33" s="37">
        <v>4.0</v>
      </c>
      <c r="R33" s="37">
        <v>4.0</v>
      </c>
      <c r="S33" s="37">
        <v>4.0</v>
      </c>
      <c r="T33" s="37">
        <v>5.0</v>
      </c>
      <c r="U33" s="37">
        <v>4.0</v>
      </c>
      <c r="V33" s="37">
        <v>5.0</v>
      </c>
      <c r="W33" s="37">
        <v>5.0</v>
      </c>
      <c r="X33" s="37">
        <v>3.0</v>
      </c>
      <c r="Y33" s="37">
        <v>5.0</v>
      </c>
      <c r="Z33" s="37">
        <v>3.0</v>
      </c>
      <c r="AA33" s="37">
        <v>4.0</v>
      </c>
      <c r="AB33" s="37">
        <v>4.0</v>
      </c>
      <c r="AC33" s="37">
        <v>4.0</v>
      </c>
      <c r="AD33" s="37">
        <v>5.0</v>
      </c>
      <c r="AE33" s="36">
        <v>1.0</v>
      </c>
      <c r="AF33" s="37">
        <v>4.0</v>
      </c>
      <c r="AG33" s="37">
        <v>4.0</v>
      </c>
      <c r="AH33" s="37">
        <v>4.0</v>
      </c>
      <c r="AI33" s="37">
        <v>4.0</v>
      </c>
      <c r="AJ33" s="37">
        <v>5.0</v>
      </c>
      <c r="AK33" s="37">
        <v>3.0</v>
      </c>
      <c r="AL33" s="37">
        <v>5.0</v>
      </c>
      <c r="AM33" s="37">
        <v>4.0</v>
      </c>
      <c r="AN33" s="37">
        <v>4.0</v>
      </c>
      <c r="AO33" s="37">
        <v>2.0</v>
      </c>
      <c r="AP33" s="37">
        <v>5.0</v>
      </c>
      <c r="AQ33" s="37">
        <v>4.0</v>
      </c>
      <c r="AR33" s="37">
        <v>5.0</v>
      </c>
      <c r="AS33" s="37">
        <v>5.0</v>
      </c>
      <c r="AT33" s="37">
        <v>4.0</v>
      </c>
      <c r="AU33" s="37">
        <v>5.0</v>
      </c>
      <c r="AV33" s="37">
        <v>4.0</v>
      </c>
      <c r="AW33" s="37">
        <v>5.0</v>
      </c>
      <c r="AX33" s="37">
        <v>4.0</v>
      </c>
      <c r="AY33" s="37">
        <v>5.0</v>
      </c>
      <c r="AZ33" s="37">
        <v>5.0</v>
      </c>
      <c r="BA33" s="37">
        <v>4.0</v>
      </c>
      <c r="BB33" s="38">
        <f t="shared" si="1"/>
        <v>217</v>
      </c>
      <c r="BC33" s="39">
        <f t="shared" si="2"/>
        <v>0.1660752307</v>
      </c>
      <c r="BD33" s="39"/>
      <c r="BE33" s="39"/>
    </row>
    <row r="34">
      <c r="A34" s="35" t="s">
        <v>149</v>
      </c>
      <c r="B34" s="37">
        <v>3.0</v>
      </c>
      <c r="C34" s="37">
        <v>3.0</v>
      </c>
      <c r="D34" s="37">
        <v>5.0</v>
      </c>
      <c r="E34" s="37">
        <v>4.0</v>
      </c>
      <c r="F34" s="37">
        <v>4.0</v>
      </c>
      <c r="G34" s="37">
        <v>5.0</v>
      </c>
      <c r="H34" s="37">
        <v>5.0</v>
      </c>
      <c r="I34" s="37">
        <v>4.0</v>
      </c>
      <c r="J34" s="37">
        <v>3.0</v>
      </c>
      <c r="K34" s="37">
        <v>4.0</v>
      </c>
      <c r="L34" s="37">
        <v>3.0</v>
      </c>
      <c r="M34" s="37">
        <v>4.0</v>
      </c>
      <c r="N34" s="37">
        <v>5.0</v>
      </c>
      <c r="O34" s="37">
        <v>2.0</v>
      </c>
      <c r="P34" s="37">
        <v>3.0</v>
      </c>
      <c r="Q34" s="37">
        <v>4.0</v>
      </c>
      <c r="R34" s="37">
        <v>4.0</v>
      </c>
      <c r="S34" s="37">
        <v>3.0</v>
      </c>
      <c r="T34" s="37">
        <v>4.0</v>
      </c>
      <c r="U34" s="37">
        <v>4.0</v>
      </c>
      <c r="V34" s="37">
        <v>4.0</v>
      </c>
      <c r="W34" s="37">
        <v>4.0</v>
      </c>
      <c r="X34" s="37">
        <v>5.0</v>
      </c>
      <c r="Y34" s="37">
        <v>5.0</v>
      </c>
      <c r="Z34" s="37">
        <v>3.0</v>
      </c>
      <c r="AA34" s="37">
        <v>3.0</v>
      </c>
      <c r="AB34" s="37">
        <v>4.0</v>
      </c>
      <c r="AC34" s="37">
        <v>4.0</v>
      </c>
      <c r="AD34" s="37">
        <v>3.0</v>
      </c>
      <c r="AE34" s="37">
        <v>3.0</v>
      </c>
      <c r="AF34" s="36">
        <v>1.0</v>
      </c>
      <c r="AG34" s="37">
        <v>3.0</v>
      </c>
      <c r="AH34" s="37">
        <v>4.0</v>
      </c>
      <c r="AI34" s="37">
        <v>3.0</v>
      </c>
      <c r="AJ34" s="37">
        <v>4.0</v>
      </c>
      <c r="AK34" s="37">
        <v>4.0</v>
      </c>
      <c r="AL34" s="37">
        <v>4.0</v>
      </c>
      <c r="AM34" s="37">
        <v>3.0</v>
      </c>
      <c r="AN34" s="37">
        <v>2.0</v>
      </c>
      <c r="AO34" s="37">
        <v>5.0</v>
      </c>
      <c r="AP34" s="37">
        <v>5.0</v>
      </c>
      <c r="AQ34" s="37">
        <v>3.0</v>
      </c>
      <c r="AR34" s="37">
        <v>5.0</v>
      </c>
      <c r="AS34" s="37">
        <v>4.0</v>
      </c>
      <c r="AT34" s="37">
        <v>3.0</v>
      </c>
      <c r="AU34" s="37">
        <v>4.0</v>
      </c>
      <c r="AV34" s="37">
        <v>4.0</v>
      </c>
      <c r="AW34" s="37">
        <v>4.0</v>
      </c>
      <c r="AX34" s="37">
        <v>5.0</v>
      </c>
      <c r="AY34" s="37">
        <v>5.0</v>
      </c>
      <c r="AZ34" s="37">
        <v>5.0</v>
      </c>
      <c r="BA34" s="37">
        <v>4.0</v>
      </c>
      <c r="BB34" s="38">
        <f t="shared" si="1"/>
        <v>198</v>
      </c>
      <c r="BC34" s="39">
        <f t="shared" si="2"/>
        <v>0.06397647775</v>
      </c>
      <c r="BD34" s="39"/>
      <c r="BE34" s="39"/>
    </row>
    <row r="35">
      <c r="A35" s="35" t="s">
        <v>150</v>
      </c>
      <c r="B35" s="37">
        <v>2.0</v>
      </c>
      <c r="C35" s="37">
        <v>3.0</v>
      </c>
      <c r="D35" s="37">
        <v>2.0</v>
      </c>
      <c r="E35" s="37">
        <v>3.0</v>
      </c>
      <c r="F35" s="37">
        <v>3.0</v>
      </c>
      <c r="G35" s="37">
        <v>4.0</v>
      </c>
      <c r="H35" s="37">
        <v>3.0</v>
      </c>
      <c r="I35" s="37">
        <v>3.0</v>
      </c>
      <c r="J35" s="37">
        <v>2.0</v>
      </c>
      <c r="K35" s="37">
        <v>4.0</v>
      </c>
      <c r="L35" s="37">
        <v>3.0</v>
      </c>
      <c r="M35" s="37">
        <v>1.0</v>
      </c>
      <c r="N35" s="37">
        <v>3.0</v>
      </c>
      <c r="O35" s="37">
        <v>3.0</v>
      </c>
      <c r="P35" s="37">
        <v>3.0</v>
      </c>
      <c r="Q35" s="37">
        <v>2.0</v>
      </c>
      <c r="R35" s="37">
        <v>3.0</v>
      </c>
      <c r="S35" s="37">
        <v>3.0</v>
      </c>
      <c r="T35" s="37">
        <v>4.0</v>
      </c>
      <c r="U35" s="37">
        <v>4.0</v>
      </c>
      <c r="V35" s="37">
        <v>3.0</v>
      </c>
      <c r="W35" s="37">
        <v>2.0</v>
      </c>
      <c r="X35" s="37">
        <v>3.0</v>
      </c>
      <c r="Y35" s="37">
        <v>2.0</v>
      </c>
      <c r="Z35" s="37">
        <v>2.0</v>
      </c>
      <c r="AA35" s="37">
        <v>2.0</v>
      </c>
      <c r="AB35" s="37">
        <v>3.0</v>
      </c>
      <c r="AC35" s="37">
        <v>5.0</v>
      </c>
      <c r="AD35" s="37">
        <v>3.0</v>
      </c>
      <c r="AE35" s="37">
        <v>2.0</v>
      </c>
      <c r="AF35" s="37">
        <v>3.0</v>
      </c>
      <c r="AG35" s="36">
        <v>1.0</v>
      </c>
      <c r="AH35" s="37">
        <v>1.0</v>
      </c>
      <c r="AI35" s="37">
        <v>2.0</v>
      </c>
      <c r="AJ35" s="37">
        <v>4.0</v>
      </c>
      <c r="AK35" s="37">
        <v>1.0</v>
      </c>
      <c r="AL35" s="37">
        <v>2.0</v>
      </c>
      <c r="AM35" s="37">
        <v>2.0</v>
      </c>
      <c r="AN35" s="37">
        <v>2.0</v>
      </c>
      <c r="AO35" s="37">
        <v>2.0</v>
      </c>
      <c r="AP35" s="37">
        <v>4.0</v>
      </c>
      <c r="AQ35" s="37">
        <v>4.0</v>
      </c>
      <c r="AR35" s="37">
        <v>3.0</v>
      </c>
      <c r="AS35" s="37">
        <v>1.0</v>
      </c>
      <c r="AT35" s="37">
        <v>2.0</v>
      </c>
      <c r="AU35" s="37">
        <v>5.0</v>
      </c>
      <c r="AV35" s="37">
        <v>3.0</v>
      </c>
      <c r="AW35" s="37">
        <v>4.0</v>
      </c>
      <c r="AX35" s="37">
        <v>4.0</v>
      </c>
      <c r="AY35" s="37">
        <v>4.0</v>
      </c>
      <c r="AZ35" s="37">
        <v>3.0</v>
      </c>
      <c r="BA35" s="37">
        <v>4.0</v>
      </c>
      <c r="BB35" s="38">
        <f t="shared" si="1"/>
        <v>146</v>
      </c>
      <c r="BC35" s="39">
        <f t="shared" si="2"/>
        <v>-0.2154516881</v>
      </c>
      <c r="BD35" s="39"/>
      <c r="BE35" s="39"/>
    </row>
    <row r="36">
      <c r="A36" s="35" t="s">
        <v>151</v>
      </c>
      <c r="B36" s="37">
        <v>5.0</v>
      </c>
      <c r="C36" s="37">
        <v>4.0</v>
      </c>
      <c r="D36" s="37">
        <v>5.0</v>
      </c>
      <c r="E36" s="37">
        <v>5.0</v>
      </c>
      <c r="F36" s="37">
        <v>4.0</v>
      </c>
      <c r="G36" s="37">
        <v>5.0</v>
      </c>
      <c r="H36" s="37">
        <v>5.0</v>
      </c>
      <c r="I36" s="37">
        <v>4.0</v>
      </c>
      <c r="J36" s="37">
        <v>4.0</v>
      </c>
      <c r="K36" s="37">
        <v>3.0</v>
      </c>
      <c r="L36" s="37">
        <v>3.0</v>
      </c>
      <c r="M36" s="37">
        <v>3.0</v>
      </c>
      <c r="N36" s="37">
        <v>3.0</v>
      </c>
      <c r="O36" s="37">
        <v>3.0</v>
      </c>
      <c r="P36" s="37">
        <v>3.0</v>
      </c>
      <c r="Q36" s="37">
        <v>5.0</v>
      </c>
      <c r="R36" s="37">
        <v>4.0</v>
      </c>
      <c r="S36" s="37">
        <v>5.0</v>
      </c>
      <c r="T36" s="37">
        <v>5.0</v>
      </c>
      <c r="U36" s="37">
        <v>4.0</v>
      </c>
      <c r="V36" s="37">
        <v>4.0</v>
      </c>
      <c r="W36" s="37">
        <v>5.0</v>
      </c>
      <c r="X36" s="37">
        <v>4.0</v>
      </c>
      <c r="Y36" s="37">
        <v>3.0</v>
      </c>
      <c r="Z36" s="37">
        <v>3.0</v>
      </c>
      <c r="AA36" s="37">
        <v>3.0</v>
      </c>
      <c r="AB36" s="37">
        <v>4.0</v>
      </c>
      <c r="AC36" s="37">
        <v>3.0</v>
      </c>
      <c r="AD36" s="37">
        <v>4.0</v>
      </c>
      <c r="AE36" s="37">
        <v>3.0</v>
      </c>
      <c r="AF36" s="37">
        <v>5.0</v>
      </c>
      <c r="AG36" s="37">
        <v>5.0</v>
      </c>
      <c r="AH36" s="36">
        <v>1.0</v>
      </c>
      <c r="AI36" s="37">
        <v>3.0</v>
      </c>
      <c r="AJ36" s="37">
        <v>4.0</v>
      </c>
      <c r="AK36" s="37">
        <v>3.0</v>
      </c>
      <c r="AL36" s="37">
        <v>5.0</v>
      </c>
      <c r="AM36" s="37">
        <v>4.0</v>
      </c>
      <c r="AN36" s="37">
        <v>3.0</v>
      </c>
      <c r="AO36" s="37">
        <v>3.0</v>
      </c>
      <c r="AP36" s="37">
        <v>5.0</v>
      </c>
      <c r="AQ36" s="37">
        <v>4.0</v>
      </c>
      <c r="AR36" s="37">
        <v>5.0</v>
      </c>
      <c r="AS36" s="37">
        <v>5.0</v>
      </c>
      <c r="AT36" s="37">
        <v>3.0</v>
      </c>
      <c r="AU36" s="37">
        <v>5.0</v>
      </c>
      <c r="AV36" s="37">
        <v>5.0</v>
      </c>
      <c r="AW36" s="37">
        <v>4.0</v>
      </c>
      <c r="AX36" s="37">
        <v>3.0</v>
      </c>
      <c r="AY36" s="37">
        <v>4.0</v>
      </c>
      <c r="AZ36" s="37">
        <v>5.0</v>
      </c>
      <c r="BA36" s="37">
        <v>4.0</v>
      </c>
      <c r="BB36" s="38">
        <f t="shared" si="1"/>
        <v>206</v>
      </c>
      <c r="BC36" s="39">
        <f t="shared" si="2"/>
        <v>0.1069654263</v>
      </c>
      <c r="BD36" s="39"/>
      <c r="BE36" s="39"/>
    </row>
    <row r="37">
      <c r="A37" s="35" t="s">
        <v>152</v>
      </c>
      <c r="B37" s="37">
        <v>2.0</v>
      </c>
      <c r="C37" s="37">
        <v>4.0</v>
      </c>
      <c r="D37" s="37">
        <v>5.0</v>
      </c>
      <c r="E37" s="37">
        <v>3.0</v>
      </c>
      <c r="F37" s="37">
        <v>3.0</v>
      </c>
      <c r="G37" s="37">
        <v>4.0</v>
      </c>
      <c r="H37" s="37">
        <v>4.0</v>
      </c>
      <c r="I37" s="37">
        <v>3.0</v>
      </c>
      <c r="J37" s="37">
        <v>2.0</v>
      </c>
      <c r="K37" s="37">
        <v>3.0</v>
      </c>
      <c r="L37" s="37">
        <v>4.0</v>
      </c>
      <c r="M37" s="37">
        <v>3.0</v>
      </c>
      <c r="N37" s="37">
        <v>4.0</v>
      </c>
      <c r="O37" s="37">
        <v>3.0</v>
      </c>
      <c r="P37" s="37">
        <v>3.0</v>
      </c>
      <c r="Q37" s="37">
        <v>4.0</v>
      </c>
      <c r="R37" s="37">
        <v>4.0</v>
      </c>
      <c r="S37" s="37">
        <v>3.0</v>
      </c>
      <c r="T37" s="37">
        <v>4.0</v>
      </c>
      <c r="U37" s="37">
        <v>3.0</v>
      </c>
      <c r="V37" s="37">
        <v>5.0</v>
      </c>
      <c r="W37" s="37">
        <v>4.0</v>
      </c>
      <c r="X37" s="37">
        <v>5.0</v>
      </c>
      <c r="Y37" s="37">
        <v>5.0</v>
      </c>
      <c r="Z37" s="37">
        <v>2.0</v>
      </c>
      <c r="AA37" s="37">
        <v>2.0</v>
      </c>
      <c r="AB37" s="37">
        <v>5.0</v>
      </c>
      <c r="AC37" s="37">
        <v>2.0</v>
      </c>
      <c r="AD37" s="37">
        <v>4.0</v>
      </c>
      <c r="AE37" s="37">
        <v>3.0</v>
      </c>
      <c r="AF37" s="37">
        <v>3.0</v>
      </c>
      <c r="AG37" s="37">
        <v>4.0</v>
      </c>
      <c r="AH37" s="37">
        <v>4.0</v>
      </c>
      <c r="AI37" s="36">
        <v>1.0</v>
      </c>
      <c r="AJ37" s="37">
        <v>5.0</v>
      </c>
      <c r="AK37" s="37">
        <v>4.0</v>
      </c>
      <c r="AL37" s="37">
        <v>5.0</v>
      </c>
      <c r="AM37" s="37">
        <v>3.0</v>
      </c>
      <c r="AN37" s="37">
        <v>3.0</v>
      </c>
      <c r="AO37" s="37">
        <v>2.0</v>
      </c>
      <c r="AP37" s="37">
        <v>4.0</v>
      </c>
      <c r="AQ37" s="37">
        <v>3.0</v>
      </c>
      <c r="AR37" s="37">
        <v>5.0</v>
      </c>
      <c r="AS37" s="37">
        <v>5.0</v>
      </c>
      <c r="AT37" s="37">
        <v>2.0</v>
      </c>
      <c r="AU37" s="37">
        <v>5.0</v>
      </c>
      <c r="AV37" s="37">
        <v>3.0</v>
      </c>
      <c r="AW37" s="37">
        <v>5.0</v>
      </c>
      <c r="AX37" s="37">
        <v>4.0</v>
      </c>
      <c r="AY37" s="37">
        <v>5.0</v>
      </c>
      <c r="AZ37" s="37">
        <v>3.0</v>
      </c>
      <c r="BA37" s="37">
        <v>5.0</v>
      </c>
      <c r="BB37" s="38">
        <f t="shared" si="1"/>
        <v>188</v>
      </c>
      <c r="BC37" s="39">
        <f t="shared" si="2"/>
        <v>0.010240292</v>
      </c>
      <c r="BD37" s="39"/>
      <c r="BE37" s="39"/>
    </row>
    <row r="38">
      <c r="A38" s="35" t="s">
        <v>153</v>
      </c>
      <c r="B38" s="37">
        <v>3.0</v>
      </c>
      <c r="C38" s="37">
        <v>3.0</v>
      </c>
      <c r="D38" s="37">
        <v>4.0</v>
      </c>
      <c r="E38" s="37">
        <v>2.0</v>
      </c>
      <c r="F38" s="37">
        <v>4.0</v>
      </c>
      <c r="G38" s="37">
        <v>4.0</v>
      </c>
      <c r="H38" s="37">
        <v>5.0</v>
      </c>
      <c r="I38" s="37">
        <v>4.0</v>
      </c>
      <c r="J38" s="37">
        <v>4.0</v>
      </c>
      <c r="K38" s="37">
        <v>5.0</v>
      </c>
      <c r="L38" s="37">
        <v>4.0</v>
      </c>
      <c r="M38" s="37">
        <v>3.0</v>
      </c>
      <c r="N38" s="37">
        <v>5.0</v>
      </c>
      <c r="O38" s="37">
        <v>3.0</v>
      </c>
      <c r="P38" s="37">
        <v>3.0</v>
      </c>
      <c r="Q38" s="37">
        <v>4.0</v>
      </c>
      <c r="R38" s="37">
        <v>4.0</v>
      </c>
      <c r="S38" s="37">
        <v>3.0</v>
      </c>
      <c r="T38" s="37">
        <v>4.0</v>
      </c>
      <c r="U38" s="37">
        <v>4.0</v>
      </c>
      <c r="V38" s="37">
        <v>5.0</v>
      </c>
      <c r="W38" s="37">
        <v>3.0</v>
      </c>
      <c r="X38" s="37">
        <v>4.0</v>
      </c>
      <c r="Y38" s="37">
        <v>5.0</v>
      </c>
      <c r="Z38" s="37">
        <v>3.0</v>
      </c>
      <c r="AA38" s="37">
        <v>5.0</v>
      </c>
      <c r="AB38" s="37">
        <v>5.0</v>
      </c>
      <c r="AC38" s="37">
        <v>4.0</v>
      </c>
      <c r="AD38" s="37">
        <v>3.0</v>
      </c>
      <c r="AE38" s="37">
        <v>4.0</v>
      </c>
      <c r="AF38" s="37">
        <v>3.0</v>
      </c>
      <c r="AG38" s="37">
        <v>3.0</v>
      </c>
      <c r="AH38" s="37">
        <v>3.0</v>
      </c>
      <c r="AI38" s="37">
        <v>2.0</v>
      </c>
      <c r="AJ38" s="36">
        <v>1.0</v>
      </c>
      <c r="AK38" s="37">
        <v>4.0</v>
      </c>
      <c r="AL38" s="37">
        <v>5.0</v>
      </c>
      <c r="AM38" s="37">
        <v>3.0</v>
      </c>
      <c r="AN38" s="37">
        <v>5.0</v>
      </c>
      <c r="AO38" s="37">
        <v>5.0</v>
      </c>
      <c r="AP38" s="37">
        <v>5.0</v>
      </c>
      <c r="AQ38" s="37">
        <v>3.0</v>
      </c>
      <c r="AR38" s="37">
        <v>3.0</v>
      </c>
      <c r="AS38" s="37">
        <v>4.0</v>
      </c>
      <c r="AT38" s="37">
        <v>3.0</v>
      </c>
      <c r="AU38" s="37">
        <v>5.0</v>
      </c>
      <c r="AV38" s="37">
        <v>4.0</v>
      </c>
      <c r="AW38" s="37">
        <v>5.0</v>
      </c>
      <c r="AX38" s="37">
        <v>3.0</v>
      </c>
      <c r="AY38" s="37">
        <v>3.0</v>
      </c>
      <c r="AZ38" s="37">
        <v>5.0</v>
      </c>
      <c r="BA38" s="37">
        <v>4.0</v>
      </c>
      <c r="BB38" s="38">
        <f t="shared" si="1"/>
        <v>197</v>
      </c>
      <c r="BC38" s="39">
        <f t="shared" si="2"/>
        <v>0.05860285917</v>
      </c>
      <c r="BD38" s="39"/>
      <c r="BE38" s="39"/>
    </row>
    <row r="39">
      <c r="A39" s="35" t="s">
        <v>154</v>
      </c>
      <c r="B39" s="37">
        <v>4.0</v>
      </c>
      <c r="C39" s="37">
        <v>3.0</v>
      </c>
      <c r="D39" s="37">
        <v>5.0</v>
      </c>
      <c r="E39" s="37">
        <v>4.0</v>
      </c>
      <c r="F39" s="37">
        <v>3.0</v>
      </c>
      <c r="G39" s="37">
        <v>4.0</v>
      </c>
      <c r="H39" s="37">
        <v>5.0</v>
      </c>
      <c r="I39" s="37">
        <v>4.0</v>
      </c>
      <c r="J39" s="37">
        <v>4.0</v>
      </c>
      <c r="K39" s="37">
        <v>5.0</v>
      </c>
      <c r="L39" s="37">
        <v>4.0</v>
      </c>
      <c r="M39" s="37">
        <v>4.0</v>
      </c>
      <c r="N39" s="37">
        <v>4.0</v>
      </c>
      <c r="O39" s="37">
        <v>3.0</v>
      </c>
      <c r="P39" s="37">
        <v>3.0</v>
      </c>
      <c r="Q39" s="37">
        <v>3.0</v>
      </c>
      <c r="R39" s="37">
        <v>3.0</v>
      </c>
      <c r="S39" s="37">
        <v>3.0</v>
      </c>
      <c r="T39" s="37">
        <v>5.0</v>
      </c>
      <c r="U39" s="37">
        <v>4.0</v>
      </c>
      <c r="V39" s="37">
        <v>4.0</v>
      </c>
      <c r="W39" s="37">
        <v>4.0</v>
      </c>
      <c r="X39" s="37">
        <v>4.0</v>
      </c>
      <c r="Y39" s="37">
        <v>5.0</v>
      </c>
      <c r="Z39" s="37">
        <v>3.0</v>
      </c>
      <c r="AA39" s="37">
        <v>5.0</v>
      </c>
      <c r="AB39" s="37">
        <v>5.0</v>
      </c>
      <c r="AC39" s="37">
        <v>4.0</v>
      </c>
      <c r="AD39" s="37">
        <v>4.0</v>
      </c>
      <c r="AE39" s="37">
        <v>4.0</v>
      </c>
      <c r="AF39" s="37">
        <v>4.0</v>
      </c>
      <c r="AG39" s="37">
        <v>3.0</v>
      </c>
      <c r="AH39" s="37">
        <v>3.0</v>
      </c>
      <c r="AI39" s="37">
        <v>3.0</v>
      </c>
      <c r="AJ39" s="37">
        <v>4.0</v>
      </c>
      <c r="AK39" s="36">
        <v>1.0</v>
      </c>
      <c r="AL39" s="37">
        <v>4.0</v>
      </c>
      <c r="AM39" s="37">
        <v>4.0</v>
      </c>
      <c r="AN39" s="37">
        <v>3.0</v>
      </c>
      <c r="AO39" s="37">
        <v>4.0</v>
      </c>
      <c r="AP39" s="37">
        <v>5.0</v>
      </c>
      <c r="AQ39" s="37">
        <v>3.0</v>
      </c>
      <c r="AR39" s="37">
        <v>4.0</v>
      </c>
      <c r="AS39" s="37">
        <v>3.0</v>
      </c>
      <c r="AT39" s="37">
        <v>3.0</v>
      </c>
      <c r="AU39" s="37">
        <v>5.0</v>
      </c>
      <c r="AV39" s="37">
        <v>3.0</v>
      </c>
      <c r="AW39" s="37">
        <v>4.0</v>
      </c>
      <c r="AX39" s="37">
        <v>5.0</v>
      </c>
      <c r="AY39" s="37">
        <v>4.0</v>
      </c>
      <c r="AZ39" s="37">
        <v>5.0</v>
      </c>
      <c r="BA39" s="37">
        <v>3.0</v>
      </c>
      <c r="BB39" s="38">
        <f t="shared" si="1"/>
        <v>199</v>
      </c>
      <c r="BC39" s="39">
        <f t="shared" si="2"/>
        <v>0.06935009632</v>
      </c>
      <c r="BD39" s="39"/>
      <c r="BE39" s="39"/>
    </row>
    <row r="40">
      <c r="A40" s="35" t="s">
        <v>155</v>
      </c>
      <c r="B40" s="37">
        <v>3.0</v>
      </c>
      <c r="C40" s="37">
        <v>3.0</v>
      </c>
      <c r="D40" s="37">
        <v>4.0</v>
      </c>
      <c r="E40" s="37">
        <v>4.0</v>
      </c>
      <c r="F40" s="37">
        <v>3.0</v>
      </c>
      <c r="G40" s="37">
        <v>5.0</v>
      </c>
      <c r="H40" s="37">
        <v>4.0</v>
      </c>
      <c r="I40" s="37">
        <v>3.0</v>
      </c>
      <c r="J40" s="37">
        <v>2.0</v>
      </c>
      <c r="K40" s="37">
        <v>3.0</v>
      </c>
      <c r="L40" s="37">
        <v>5.0</v>
      </c>
      <c r="M40" s="37">
        <v>4.0</v>
      </c>
      <c r="N40" s="37">
        <v>5.0</v>
      </c>
      <c r="O40" s="37">
        <v>3.0</v>
      </c>
      <c r="P40" s="37">
        <v>2.0</v>
      </c>
      <c r="Q40" s="37">
        <v>4.0</v>
      </c>
      <c r="R40" s="37">
        <v>3.0</v>
      </c>
      <c r="S40" s="37">
        <v>3.0</v>
      </c>
      <c r="T40" s="37">
        <v>5.0</v>
      </c>
      <c r="U40" s="37">
        <v>3.0</v>
      </c>
      <c r="V40" s="37">
        <v>5.0</v>
      </c>
      <c r="W40" s="37">
        <v>4.0</v>
      </c>
      <c r="X40" s="37">
        <v>4.0</v>
      </c>
      <c r="Y40" s="37">
        <v>3.0</v>
      </c>
      <c r="Z40" s="37">
        <v>2.0</v>
      </c>
      <c r="AA40" s="37">
        <v>3.0</v>
      </c>
      <c r="AB40" s="37">
        <v>4.0</v>
      </c>
      <c r="AC40" s="37">
        <v>3.0</v>
      </c>
      <c r="AD40" s="37">
        <v>4.0</v>
      </c>
      <c r="AE40" s="37">
        <v>3.0</v>
      </c>
      <c r="AF40" s="37">
        <v>3.0</v>
      </c>
      <c r="AG40" s="37">
        <v>4.0</v>
      </c>
      <c r="AH40" s="37">
        <v>4.0</v>
      </c>
      <c r="AI40" s="37">
        <v>3.0</v>
      </c>
      <c r="AJ40" s="37">
        <v>4.0</v>
      </c>
      <c r="AK40" s="37">
        <v>3.0</v>
      </c>
      <c r="AL40" s="36">
        <v>1.0</v>
      </c>
      <c r="AM40" s="37">
        <v>3.0</v>
      </c>
      <c r="AN40" s="37">
        <v>3.0</v>
      </c>
      <c r="AO40" s="37">
        <v>2.0</v>
      </c>
      <c r="AP40" s="37">
        <v>5.0</v>
      </c>
      <c r="AQ40" s="37">
        <v>3.0</v>
      </c>
      <c r="AR40" s="37">
        <v>5.0</v>
      </c>
      <c r="AS40" s="37">
        <v>4.0</v>
      </c>
      <c r="AT40" s="37">
        <v>2.0</v>
      </c>
      <c r="AU40" s="37">
        <v>5.0</v>
      </c>
      <c r="AV40" s="37">
        <v>2.0</v>
      </c>
      <c r="AW40" s="37">
        <v>5.0</v>
      </c>
      <c r="AX40" s="37">
        <v>4.0</v>
      </c>
      <c r="AY40" s="37">
        <v>5.0</v>
      </c>
      <c r="AZ40" s="37">
        <v>3.0</v>
      </c>
      <c r="BA40" s="37">
        <v>4.0</v>
      </c>
      <c r="BB40" s="38">
        <f t="shared" si="1"/>
        <v>183</v>
      </c>
      <c r="BC40" s="39">
        <f t="shared" si="2"/>
        <v>-0.01662780087</v>
      </c>
      <c r="BD40" s="39"/>
      <c r="BE40" s="39"/>
    </row>
    <row r="41">
      <c r="A41" s="35" t="s">
        <v>156</v>
      </c>
      <c r="B41" s="37">
        <v>3.0</v>
      </c>
      <c r="C41" s="37">
        <v>2.0</v>
      </c>
      <c r="D41" s="37">
        <v>3.0</v>
      </c>
      <c r="E41" s="37">
        <v>3.0</v>
      </c>
      <c r="F41" s="37">
        <v>4.0</v>
      </c>
      <c r="G41" s="37">
        <v>3.0</v>
      </c>
      <c r="H41" s="37">
        <v>3.0</v>
      </c>
      <c r="I41" s="37">
        <v>3.0</v>
      </c>
      <c r="J41" s="37">
        <v>3.0</v>
      </c>
      <c r="K41" s="37">
        <v>5.0</v>
      </c>
      <c r="L41" s="37">
        <v>5.0</v>
      </c>
      <c r="M41" s="37">
        <v>4.0</v>
      </c>
      <c r="N41" s="37">
        <v>5.0</v>
      </c>
      <c r="O41" s="37">
        <v>3.0</v>
      </c>
      <c r="P41" s="37">
        <v>2.0</v>
      </c>
      <c r="Q41" s="37">
        <v>3.0</v>
      </c>
      <c r="R41" s="37">
        <v>3.0</v>
      </c>
      <c r="S41" s="37">
        <v>3.0</v>
      </c>
      <c r="T41" s="37">
        <v>3.0</v>
      </c>
      <c r="U41" s="37">
        <v>4.0</v>
      </c>
      <c r="V41" s="37">
        <v>4.0</v>
      </c>
      <c r="W41" s="37">
        <v>5.0</v>
      </c>
      <c r="X41" s="37">
        <v>3.0</v>
      </c>
      <c r="Y41" s="37">
        <v>4.0</v>
      </c>
      <c r="Z41" s="37">
        <v>2.0</v>
      </c>
      <c r="AA41" s="37">
        <v>3.0</v>
      </c>
      <c r="AB41" s="37">
        <v>5.0</v>
      </c>
      <c r="AC41" s="37">
        <v>4.0</v>
      </c>
      <c r="AD41" s="37">
        <v>3.0</v>
      </c>
      <c r="AE41" s="37">
        <v>3.0</v>
      </c>
      <c r="AF41" s="37">
        <v>3.0</v>
      </c>
      <c r="AG41" s="37">
        <v>4.0</v>
      </c>
      <c r="AH41" s="37">
        <v>2.0</v>
      </c>
      <c r="AI41" s="37">
        <v>3.0</v>
      </c>
      <c r="AJ41" s="37">
        <v>5.0</v>
      </c>
      <c r="AK41" s="37">
        <v>3.0</v>
      </c>
      <c r="AL41" s="37">
        <v>3.0</v>
      </c>
      <c r="AM41" s="36">
        <v>1.0</v>
      </c>
      <c r="AN41" s="37">
        <v>4.0</v>
      </c>
      <c r="AO41" s="37">
        <v>4.0</v>
      </c>
      <c r="AP41" s="37">
        <v>2.0</v>
      </c>
      <c r="AQ41" s="37">
        <v>5.0</v>
      </c>
      <c r="AR41" s="37">
        <v>3.0</v>
      </c>
      <c r="AS41" s="37">
        <v>3.0</v>
      </c>
      <c r="AT41" s="37">
        <v>2.0</v>
      </c>
      <c r="AU41" s="37">
        <v>5.0</v>
      </c>
      <c r="AV41" s="37">
        <v>4.0</v>
      </c>
      <c r="AW41" s="37">
        <v>3.0</v>
      </c>
      <c r="AX41" s="37">
        <v>4.0</v>
      </c>
      <c r="AY41" s="37">
        <v>4.0</v>
      </c>
      <c r="AZ41" s="37">
        <v>4.0</v>
      </c>
      <c r="BA41" s="37">
        <v>5.0</v>
      </c>
      <c r="BB41" s="38">
        <f t="shared" si="1"/>
        <v>179</v>
      </c>
      <c r="BC41" s="39">
        <f t="shared" si="2"/>
        <v>-0.03812227517</v>
      </c>
      <c r="BD41" s="39"/>
      <c r="BE41" s="39"/>
    </row>
    <row r="42">
      <c r="A42" s="35" t="s">
        <v>157</v>
      </c>
      <c r="B42" s="37">
        <v>5.0</v>
      </c>
      <c r="C42" s="37">
        <v>2.0</v>
      </c>
      <c r="D42" s="37">
        <v>3.0</v>
      </c>
      <c r="E42" s="37">
        <v>5.0</v>
      </c>
      <c r="F42" s="37">
        <v>3.0</v>
      </c>
      <c r="G42" s="37">
        <v>3.0</v>
      </c>
      <c r="H42" s="37">
        <v>4.0</v>
      </c>
      <c r="I42" s="37">
        <v>3.0</v>
      </c>
      <c r="J42" s="37">
        <v>3.0</v>
      </c>
      <c r="K42" s="37">
        <v>3.0</v>
      </c>
      <c r="L42" s="37">
        <v>3.0</v>
      </c>
      <c r="M42" s="37">
        <v>2.0</v>
      </c>
      <c r="N42" s="37">
        <v>5.0</v>
      </c>
      <c r="O42" s="37">
        <v>3.0</v>
      </c>
      <c r="P42" s="37">
        <v>3.0</v>
      </c>
      <c r="Q42" s="37">
        <v>4.0</v>
      </c>
      <c r="R42" s="37">
        <v>3.0</v>
      </c>
      <c r="S42" s="37">
        <v>4.0</v>
      </c>
      <c r="T42" s="37">
        <v>4.0</v>
      </c>
      <c r="U42" s="37">
        <v>4.0</v>
      </c>
      <c r="V42" s="37">
        <v>5.0</v>
      </c>
      <c r="W42" s="37">
        <v>4.0</v>
      </c>
      <c r="X42" s="37">
        <v>4.0</v>
      </c>
      <c r="Y42" s="37">
        <v>3.0</v>
      </c>
      <c r="Z42" s="37">
        <v>3.0</v>
      </c>
      <c r="AA42" s="37">
        <v>4.0</v>
      </c>
      <c r="AB42" s="37">
        <v>3.0</v>
      </c>
      <c r="AC42" s="37">
        <v>3.0</v>
      </c>
      <c r="AD42" s="37">
        <v>4.0</v>
      </c>
      <c r="AE42" s="37">
        <v>3.0</v>
      </c>
      <c r="AF42" s="37">
        <v>4.0</v>
      </c>
      <c r="AG42" s="37">
        <v>3.0</v>
      </c>
      <c r="AH42" s="37">
        <v>4.0</v>
      </c>
      <c r="AI42" s="37">
        <v>3.0</v>
      </c>
      <c r="AJ42" s="37">
        <v>4.0</v>
      </c>
      <c r="AK42" s="37">
        <v>2.0</v>
      </c>
      <c r="AL42" s="37">
        <v>4.0</v>
      </c>
      <c r="AM42" s="37">
        <v>3.0</v>
      </c>
      <c r="AN42" s="36">
        <v>1.0</v>
      </c>
      <c r="AO42" s="37">
        <v>4.0</v>
      </c>
      <c r="AP42" s="37">
        <v>4.0</v>
      </c>
      <c r="AQ42" s="37">
        <v>4.0</v>
      </c>
      <c r="AR42" s="37">
        <v>5.0</v>
      </c>
      <c r="AS42" s="37">
        <v>5.0</v>
      </c>
      <c r="AT42" s="37">
        <v>2.0</v>
      </c>
      <c r="AU42" s="37">
        <v>4.0</v>
      </c>
      <c r="AV42" s="37">
        <v>2.0</v>
      </c>
      <c r="AW42" s="37">
        <v>5.0</v>
      </c>
      <c r="AX42" s="37">
        <v>5.0</v>
      </c>
      <c r="AY42" s="37">
        <v>4.0</v>
      </c>
      <c r="AZ42" s="37">
        <v>5.0</v>
      </c>
      <c r="BA42" s="37">
        <v>4.0</v>
      </c>
      <c r="BB42" s="38">
        <f t="shared" si="1"/>
        <v>186</v>
      </c>
      <c r="BC42" s="39">
        <f t="shared" si="2"/>
        <v>-0.0005069451485</v>
      </c>
      <c r="BD42" s="39"/>
      <c r="BE42" s="39"/>
    </row>
    <row r="43">
      <c r="A43" s="35" t="s">
        <v>158</v>
      </c>
      <c r="B43" s="37">
        <v>3.0</v>
      </c>
      <c r="C43" s="37">
        <v>3.0</v>
      </c>
      <c r="D43" s="37">
        <v>4.0</v>
      </c>
      <c r="E43" s="37">
        <v>4.0</v>
      </c>
      <c r="F43" s="37">
        <v>3.0</v>
      </c>
      <c r="G43" s="37">
        <v>4.0</v>
      </c>
      <c r="H43" s="37">
        <v>5.0</v>
      </c>
      <c r="I43" s="37">
        <v>5.0</v>
      </c>
      <c r="J43" s="37">
        <v>3.0</v>
      </c>
      <c r="K43" s="37">
        <v>5.0</v>
      </c>
      <c r="L43" s="37">
        <v>4.0</v>
      </c>
      <c r="M43" s="37">
        <v>4.0</v>
      </c>
      <c r="N43" s="37">
        <v>5.0</v>
      </c>
      <c r="O43" s="37">
        <v>3.0</v>
      </c>
      <c r="P43" s="37">
        <v>3.0</v>
      </c>
      <c r="Q43" s="37">
        <v>4.0</v>
      </c>
      <c r="R43" s="37">
        <v>3.0</v>
      </c>
      <c r="S43" s="37">
        <v>4.0</v>
      </c>
      <c r="T43" s="37">
        <v>4.0</v>
      </c>
      <c r="U43" s="37">
        <v>5.0</v>
      </c>
      <c r="V43" s="37">
        <v>5.0</v>
      </c>
      <c r="W43" s="37">
        <v>3.0</v>
      </c>
      <c r="X43" s="37">
        <v>4.0</v>
      </c>
      <c r="Y43" s="37">
        <v>5.0</v>
      </c>
      <c r="Z43" s="37">
        <v>4.0</v>
      </c>
      <c r="AA43" s="37">
        <v>5.0</v>
      </c>
      <c r="AB43" s="37">
        <v>4.0</v>
      </c>
      <c r="AC43" s="37">
        <v>4.0</v>
      </c>
      <c r="AD43" s="37">
        <v>5.0</v>
      </c>
      <c r="AE43" s="37">
        <v>3.0</v>
      </c>
      <c r="AF43" s="37">
        <v>3.0</v>
      </c>
      <c r="AG43" s="37">
        <v>3.0</v>
      </c>
      <c r="AH43" s="37">
        <v>4.0</v>
      </c>
      <c r="AI43" s="37">
        <v>3.0</v>
      </c>
      <c r="AJ43" s="37">
        <v>5.0</v>
      </c>
      <c r="AK43" s="37">
        <v>4.0</v>
      </c>
      <c r="AL43" s="37">
        <v>4.0</v>
      </c>
      <c r="AM43" s="37">
        <v>3.0</v>
      </c>
      <c r="AN43" s="37">
        <v>3.0</v>
      </c>
      <c r="AO43" s="36">
        <v>1.0</v>
      </c>
      <c r="AP43" s="37">
        <v>5.0</v>
      </c>
      <c r="AQ43" s="37">
        <v>4.0</v>
      </c>
      <c r="AR43" s="37">
        <v>3.0</v>
      </c>
      <c r="AS43" s="37">
        <v>4.0</v>
      </c>
      <c r="AT43" s="37">
        <v>3.0</v>
      </c>
      <c r="AU43" s="37">
        <v>5.0</v>
      </c>
      <c r="AV43" s="37">
        <v>5.0</v>
      </c>
      <c r="AW43" s="37">
        <v>4.0</v>
      </c>
      <c r="AX43" s="37">
        <v>5.0</v>
      </c>
      <c r="AY43" s="37">
        <v>4.0</v>
      </c>
      <c r="AZ43" s="37">
        <v>5.0</v>
      </c>
      <c r="BA43" s="37">
        <v>4.0</v>
      </c>
      <c r="BB43" s="38">
        <f t="shared" si="1"/>
        <v>204</v>
      </c>
      <c r="BC43" s="39">
        <f t="shared" si="2"/>
        <v>0.09621818919</v>
      </c>
      <c r="BD43" s="39"/>
      <c r="BE43" s="39"/>
    </row>
    <row r="44">
      <c r="A44" s="35" t="s">
        <v>159</v>
      </c>
      <c r="B44" s="37">
        <v>3.0</v>
      </c>
      <c r="C44" s="37">
        <v>3.0</v>
      </c>
      <c r="D44" s="37">
        <v>3.0</v>
      </c>
      <c r="E44" s="37">
        <v>3.0</v>
      </c>
      <c r="F44" s="37">
        <v>3.0</v>
      </c>
      <c r="G44" s="37">
        <v>4.0</v>
      </c>
      <c r="H44" s="37">
        <v>4.0</v>
      </c>
      <c r="I44" s="37">
        <v>5.0</v>
      </c>
      <c r="J44" s="37">
        <v>3.0</v>
      </c>
      <c r="K44" s="37">
        <v>3.0</v>
      </c>
      <c r="L44" s="37">
        <v>3.0</v>
      </c>
      <c r="M44" s="37">
        <v>3.0</v>
      </c>
      <c r="N44" s="37">
        <v>4.0</v>
      </c>
      <c r="O44" s="37">
        <v>3.0</v>
      </c>
      <c r="P44" s="37">
        <v>3.0</v>
      </c>
      <c r="Q44" s="37">
        <v>4.0</v>
      </c>
      <c r="R44" s="37">
        <v>3.0</v>
      </c>
      <c r="S44" s="37">
        <v>4.0</v>
      </c>
      <c r="T44" s="37">
        <v>4.0</v>
      </c>
      <c r="U44" s="37">
        <v>4.0</v>
      </c>
      <c r="V44" s="37">
        <v>5.0</v>
      </c>
      <c r="W44" s="37">
        <v>3.0</v>
      </c>
      <c r="X44" s="37">
        <v>4.0</v>
      </c>
      <c r="Y44" s="37">
        <v>4.0</v>
      </c>
      <c r="Z44" s="37">
        <v>3.0</v>
      </c>
      <c r="AA44" s="37">
        <v>3.0</v>
      </c>
      <c r="AB44" s="37">
        <v>3.0</v>
      </c>
      <c r="AC44" s="37">
        <v>4.0</v>
      </c>
      <c r="AD44" s="37">
        <v>4.0</v>
      </c>
      <c r="AE44" s="37">
        <v>3.0</v>
      </c>
      <c r="AF44" s="37">
        <v>3.0</v>
      </c>
      <c r="AG44" s="37">
        <v>3.0</v>
      </c>
      <c r="AH44" s="37">
        <v>4.0</v>
      </c>
      <c r="AI44" s="37">
        <v>3.0</v>
      </c>
      <c r="AJ44" s="37">
        <v>4.0</v>
      </c>
      <c r="AK44" s="37">
        <v>3.0</v>
      </c>
      <c r="AL44" s="37">
        <v>4.0</v>
      </c>
      <c r="AM44" s="37">
        <v>3.0</v>
      </c>
      <c r="AN44" s="37">
        <v>3.0</v>
      </c>
      <c r="AO44" s="37">
        <v>3.0</v>
      </c>
      <c r="AP44" s="36">
        <v>1.0</v>
      </c>
      <c r="AQ44" s="37">
        <v>3.0</v>
      </c>
      <c r="AR44" s="37">
        <v>5.0</v>
      </c>
      <c r="AS44" s="37">
        <v>3.0</v>
      </c>
      <c r="AT44" s="37">
        <v>3.0</v>
      </c>
      <c r="AU44" s="37">
        <v>4.0</v>
      </c>
      <c r="AV44" s="37">
        <v>3.0</v>
      </c>
      <c r="AW44" s="37">
        <v>4.0</v>
      </c>
      <c r="AX44" s="37">
        <v>4.0</v>
      </c>
      <c r="AY44" s="37">
        <v>4.0</v>
      </c>
      <c r="AZ44" s="37">
        <v>5.0</v>
      </c>
      <c r="BA44" s="37">
        <v>3.0</v>
      </c>
      <c r="BB44" s="38">
        <f t="shared" si="1"/>
        <v>180</v>
      </c>
      <c r="BC44" s="39">
        <f t="shared" si="2"/>
        <v>-0.0327486566</v>
      </c>
      <c r="BD44" s="39"/>
      <c r="BE44" s="39"/>
    </row>
    <row r="45">
      <c r="A45" s="35" t="s">
        <v>160</v>
      </c>
      <c r="B45" s="37">
        <v>3.0</v>
      </c>
      <c r="C45" s="37">
        <v>3.0</v>
      </c>
      <c r="D45" s="37">
        <v>5.0</v>
      </c>
      <c r="E45" s="37">
        <v>4.0</v>
      </c>
      <c r="F45" s="37">
        <v>4.0</v>
      </c>
      <c r="G45" s="37">
        <v>5.0</v>
      </c>
      <c r="H45" s="37">
        <v>4.0</v>
      </c>
      <c r="I45" s="37">
        <v>4.0</v>
      </c>
      <c r="J45" s="37">
        <v>3.0</v>
      </c>
      <c r="K45" s="37">
        <v>3.0</v>
      </c>
      <c r="L45" s="37">
        <v>4.0</v>
      </c>
      <c r="M45" s="37">
        <v>3.0</v>
      </c>
      <c r="N45" s="37">
        <v>5.0</v>
      </c>
      <c r="O45" s="37">
        <v>3.0</v>
      </c>
      <c r="P45" s="37">
        <v>3.0</v>
      </c>
      <c r="Q45" s="37">
        <v>4.0</v>
      </c>
      <c r="R45" s="37">
        <v>3.0</v>
      </c>
      <c r="S45" s="37">
        <v>4.0</v>
      </c>
      <c r="T45" s="37">
        <v>4.0</v>
      </c>
      <c r="U45" s="37">
        <v>4.0</v>
      </c>
      <c r="V45" s="37">
        <v>5.0</v>
      </c>
      <c r="W45" s="37">
        <v>5.0</v>
      </c>
      <c r="X45" s="37">
        <v>4.0</v>
      </c>
      <c r="Y45" s="37">
        <v>5.0</v>
      </c>
      <c r="Z45" s="37">
        <v>3.0</v>
      </c>
      <c r="AA45" s="37">
        <v>4.0</v>
      </c>
      <c r="AB45" s="37">
        <v>3.0</v>
      </c>
      <c r="AC45" s="37">
        <v>3.0</v>
      </c>
      <c r="AD45" s="37">
        <v>4.0</v>
      </c>
      <c r="AE45" s="37">
        <v>4.0</v>
      </c>
      <c r="AF45" s="37">
        <v>4.0</v>
      </c>
      <c r="AG45" s="37">
        <v>4.0</v>
      </c>
      <c r="AH45" s="37">
        <v>4.0</v>
      </c>
      <c r="AI45" s="37">
        <v>3.0</v>
      </c>
      <c r="AJ45" s="37">
        <v>4.0</v>
      </c>
      <c r="AK45" s="37">
        <v>3.0</v>
      </c>
      <c r="AL45" s="37">
        <v>4.0</v>
      </c>
      <c r="AM45" s="37">
        <v>3.0</v>
      </c>
      <c r="AN45" s="37">
        <v>4.0</v>
      </c>
      <c r="AO45" s="37">
        <v>3.0</v>
      </c>
      <c r="AP45" s="37">
        <v>4.0</v>
      </c>
      <c r="AQ45" s="36">
        <v>1.0</v>
      </c>
      <c r="AR45" s="37">
        <v>4.0</v>
      </c>
      <c r="AS45" s="37">
        <v>4.0</v>
      </c>
      <c r="AT45" s="37">
        <v>3.0</v>
      </c>
      <c r="AU45" s="37">
        <v>4.0</v>
      </c>
      <c r="AV45" s="37">
        <v>4.0</v>
      </c>
      <c r="AW45" s="37">
        <v>4.0</v>
      </c>
      <c r="AX45" s="37">
        <v>4.0</v>
      </c>
      <c r="AY45" s="37">
        <v>4.0</v>
      </c>
      <c r="AZ45" s="37">
        <v>4.0</v>
      </c>
      <c r="BA45" s="37">
        <v>4.0</v>
      </c>
      <c r="BB45" s="38">
        <f t="shared" si="1"/>
        <v>195</v>
      </c>
      <c r="BC45" s="39">
        <f t="shared" si="2"/>
        <v>0.04785562202</v>
      </c>
      <c r="BD45" s="39"/>
      <c r="BE45" s="39"/>
    </row>
    <row r="46">
      <c r="A46" s="35" t="s">
        <v>161</v>
      </c>
      <c r="B46" s="37">
        <v>3.0</v>
      </c>
      <c r="C46" s="37">
        <v>3.0</v>
      </c>
      <c r="D46" s="37">
        <v>3.0</v>
      </c>
      <c r="E46" s="37">
        <v>3.0</v>
      </c>
      <c r="F46" s="37">
        <v>3.0</v>
      </c>
      <c r="G46" s="37">
        <v>3.0</v>
      </c>
      <c r="H46" s="37">
        <v>3.0</v>
      </c>
      <c r="I46" s="37">
        <v>3.0</v>
      </c>
      <c r="J46" s="37">
        <v>3.0</v>
      </c>
      <c r="K46" s="37">
        <v>3.0</v>
      </c>
      <c r="L46" s="37">
        <v>3.0</v>
      </c>
      <c r="M46" s="37">
        <v>2.0</v>
      </c>
      <c r="N46" s="37">
        <v>3.0</v>
      </c>
      <c r="O46" s="37">
        <v>4.0</v>
      </c>
      <c r="P46" s="37">
        <v>3.0</v>
      </c>
      <c r="Q46" s="37">
        <v>3.0</v>
      </c>
      <c r="R46" s="37">
        <v>3.0</v>
      </c>
      <c r="S46" s="37">
        <v>3.0</v>
      </c>
      <c r="T46" s="37">
        <v>4.0</v>
      </c>
      <c r="U46" s="37">
        <v>2.0</v>
      </c>
      <c r="V46" s="37">
        <v>4.0</v>
      </c>
      <c r="W46" s="37">
        <v>3.0</v>
      </c>
      <c r="X46" s="37">
        <v>3.0</v>
      </c>
      <c r="Y46" s="37">
        <v>3.0</v>
      </c>
      <c r="Z46" s="37">
        <v>3.0</v>
      </c>
      <c r="AA46" s="37">
        <v>3.0</v>
      </c>
      <c r="AB46" s="37">
        <v>3.0</v>
      </c>
      <c r="AC46" s="37">
        <v>3.0</v>
      </c>
      <c r="AD46" s="37">
        <v>3.0</v>
      </c>
      <c r="AE46" s="37">
        <v>3.0</v>
      </c>
      <c r="AF46" s="37">
        <v>3.0</v>
      </c>
      <c r="AG46" s="37">
        <v>3.0</v>
      </c>
      <c r="AH46" s="37">
        <v>3.0</v>
      </c>
      <c r="AI46" s="37">
        <v>3.0</v>
      </c>
      <c r="AJ46" s="37">
        <v>4.0</v>
      </c>
      <c r="AK46" s="37">
        <v>2.0</v>
      </c>
      <c r="AL46" s="37">
        <v>4.0</v>
      </c>
      <c r="AM46" s="37">
        <v>3.0</v>
      </c>
      <c r="AN46" s="37">
        <v>3.0</v>
      </c>
      <c r="AO46" s="37">
        <v>3.0</v>
      </c>
      <c r="AP46" s="37">
        <v>4.0</v>
      </c>
      <c r="AQ46" s="37">
        <v>3.0</v>
      </c>
      <c r="AR46" s="36">
        <v>1.0</v>
      </c>
      <c r="AS46" s="37">
        <v>4.0</v>
      </c>
      <c r="AT46" s="37">
        <v>3.0</v>
      </c>
      <c r="AU46" s="37">
        <v>4.0</v>
      </c>
      <c r="AV46" s="37">
        <v>3.0</v>
      </c>
      <c r="AW46" s="37">
        <v>5.0</v>
      </c>
      <c r="AX46" s="37">
        <v>3.0</v>
      </c>
      <c r="AY46" s="37">
        <v>3.0</v>
      </c>
      <c r="AZ46" s="37">
        <v>3.0</v>
      </c>
      <c r="BA46" s="37">
        <v>3.0</v>
      </c>
      <c r="BB46" s="38">
        <f t="shared" si="1"/>
        <v>161</v>
      </c>
      <c r="BC46" s="39">
        <f t="shared" si="2"/>
        <v>-0.1348474095</v>
      </c>
      <c r="BD46" s="39"/>
      <c r="BE46" s="39"/>
    </row>
    <row r="47">
      <c r="A47" s="35" t="s">
        <v>162</v>
      </c>
      <c r="B47" s="37">
        <v>4.0</v>
      </c>
      <c r="C47" s="37">
        <v>4.0</v>
      </c>
      <c r="D47" s="37">
        <v>5.0</v>
      </c>
      <c r="E47" s="37">
        <v>4.0</v>
      </c>
      <c r="F47" s="37">
        <v>5.0</v>
      </c>
      <c r="G47" s="37">
        <v>5.0</v>
      </c>
      <c r="H47" s="37">
        <v>5.0</v>
      </c>
      <c r="I47" s="37">
        <v>5.0</v>
      </c>
      <c r="J47" s="37">
        <v>5.0</v>
      </c>
      <c r="K47" s="37">
        <v>3.0</v>
      </c>
      <c r="L47" s="37">
        <v>5.0</v>
      </c>
      <c r="M47" s="37">
        <v>4.0</v>
      </c>
      <c r="N47" s="37">
        <v>5.0</v>
      </c>
      <c r="O47" s="37">
        <v>3.0</v>
      </c>
      <c r="P47" s="37">
        <v>4.0</v>
      </c>
      <c r="Q47" s="37">
        <v>5.0</v>
      </c>
      <c r="R47" s="37">
        <v>5.0</v>
      </c>
      <c r="S47" s="37">
        <v>5.0</v>
      </c>
      <c r="T47" s="37">
        <v>5.0</v>
      </c>
      <c r="U47" s="37">
        <v>5.0</v>
      </c>
      <c r="V47" s="37">
        <v>5.0</v>
      </c>
      <c r="W47" s="37">
        <v>5.0</v>
      </c>
      <c r="X47" s="37">
        <v>5.0</v>
      </c>
      <c r="Y47" s="37">
        <v>5.0</v>
      </c>
      <c r="Z47" s="37">
        <v>3.0</v>
      </c>
      <c r="AA47" s="37">
        <v>4.0</v>
      </c>
      <c r="AB47" s="37">
        <v>4.0</v>
      </c>
      <c r="AC47" s="37">
        <v>4.0</v>
      </c>
      <c r="AD47" s="37">
        <v>5.0</v>
      </c>
      <c r="AE47" s="37">
        <v>4.0</v>
      </c>
      <c r="AF47" s="37">
        <v>3.0</v>
      </c>
      <c r="AG47" s="37">
        <v>4.0</v>
      </c>
      <c r="AH47" s="37">
        <v>5.0</v>
      </c>
      <c r="AI47" s="37">
        <v>4.0</v>
      </c>
      <c r="AJ47" s="37">
        <v>5.0</v>
      </c>
      <c r="AK47" s="37">
        <v>3.0</v>
      </c>
      <c r="AL47" s="37">
        <v>5.0</v>
      </c>
      <c r="AM47" s="37">
        <v>3.0</v>
      </c>
      <c r="AN47" s="37">
        <v>4.0</v>
      </c>
      <c r="AO47" s="37">
        <v>4.0</v>
      </c>
      <c r="AP47" s="37">
        <v>5.0</v>
      </c>
      <c r="AQ47" s="37">
        <v>4.0</v>
      </c>
      <c r="AR47" s="37">
        <v>5.0</v>
      </c>
      <c r="AS47" s="36">
        <v>1.0</v>
      </c>
      <c r="AT47" s="37">
        <v>3.0</v>
      </c>
      <c r="AU47" s="37">
        <v>5.0</v>
      </c>
      <c r="AV47" s="37">
        <v>3.0</v>
      </c>
      <c r="AW47" s="37">
        <v>5.0</v>
      </c>
      <c r="AX47" s="37">
        <v>5.0</v>
      </c>
      <c r="AY47" s="37">
        <v>5.0</v>
      </c>
      <c r="AZ47" s="37">
        <v>5.0</v>
      </c>
      <c r="BA47" s="37">
        <v>5.0</v>
      </c>
      <c r="BB47" s="38">
        <f t="shared" si="1"/>
        <v>226</v>
      </c>
      <c r="BC47" s="39">
        <f t="shared" si="2"/>
        <v>0.2144377978</v>
      </c>
      <c r="BD47" s="39"/>
      <c r="BE47" s="39"/>
    </row>
    <row r="48">
      <c r="A48" s="35" t="s">
        <v>163</v>
      </c>
      <c r="B48" s="37">
        <v>3.0</v>
      </c>
      <c r="C48" s="37">
        <v>2.0</v>
      </c>
      <c r="D48" s="37">
        <v>5.0</v>
      </c>
      <c r="E48" s="37">
        <v>4.0</v>
      </c>
      <c r="F48" s="37">
        <v>4.0</v>
      </c>
      <c r="G48" s="37">
        <v>4.0</v>
      </c>
      <c r="H48" s="37">
        <v>4.0</v>
      </c>
      <c r="I48" s="37">
        <v>4.0</v>
      </c>
      <c r="J48" s="37">
        <v>4.0</v>
      </c>
      <c r="K48" s="37">
        <v>5.0</v>
      </c>
      <c r="L48" s="37">
        <v>4.0</v>
      </c>
      <c r="M48" s="37">
        <v>4.0</v>
      </c>
      <c r="N48" s="37">
        <v>3.0</v>
      </c>
      <c r="O48" s="37">
        <v>5.0</v>
      </c>
      <c r="P48" s="37">
        <v>5.0</v>
      </c>
      <c r="Q48" s="37">
        <v>4.0</v>
      </c>
      <c r="R48" s="37">
        <v>3.0</v>
      </c>
      <c r="S48" s="37">
        <v>4.0</v>
      </c>
      <c r="T48" s="37">
        <v>4.0</v>
      </c>
      <c r="U48" s="37">
        <v>4.0</v>
      </c>
      <c r="V48" s="37">
        <v>4.0</v>
      </c>
      <c r="W48" s="37">
        <v>5.0</v>
      </c>
      <c r="X48" s="37">
        <v>3.0</v>
      </c>
      <c r="Y48" s="37">
        <v>5.0</v>
      </c>
      <c r="Z48" s="37">
        <v>1.0</v>
      </c>
      <c r="AA48" s="37">
        <v>2.0</v>
      </c>
      <c r="AB48" s="37">
        <v>5.0</v>
      </c>
      <c r="AC48" s="37">
        <v>4.0</v>
      </c>
      <c r="AD48" s="37">
        <v>4.0</v>
      </c>
      <c r="AE48" s="37">
        <v>3.0</v>
      </c>
      <c r="AF48" s="37">
        <v>5.0</v>
      </c>
      <c r="AG48" s="37">
        <v>2.0</v>
      </c>
      <c r="AH48" s="37">
        <v>3.0</v>
      </c>
      <c r="AI48" s="37">
        <v>4.0</v>
      </c>
      <c r="AJ48" s="37">
        <v>4.0</v>
      </c>
      <c r="AK48" s="37">
        <v>5.0</v>
      </c>
      <c r="AL48" s="37">
        <v>5.0</v>
      </c>
      <c r="AM48" s="37">
        <v>5.0</v>
      </c>
      <c r="AN48" s="37">
        <v>4.0</v>
      </c>
      <c r="AO48" s="37">
        <v>4.0</v>
      </c>
      <c r="AP48" s="37">
        <v>5.0</v>
      </c>
      <c r="AQ48" s="37">
        <v>4.0</v>
      </c>
      <c r="AR48" s="37">
        <v>5.0</v>
      </c>
      <c r="AS48" s="37">
        <v>4.0</v>
      </c>
      <c r="AT48" s="36">
        <v>1.0</v>
      </c>
      <c r="AU48" s="37">
        <v>3.0</v>
      </c>
      <c r="AV48" s="37">
        <v>5.0</v>
      </c>
      <c r="AW48" s="37">
        <v>3.0</v>
      </c>
      <c r="AX48" s="37">
        <v>3.0</v>
      </c>
      <c r="AY48" s="37">
        <v>4.0</v>
      </c>
      <c r="AZ48" s="37">
        <v>5.0</v>
      </c>
      <c r="BA48" s="37">
        <v>5.0</v>
      </c>
      <c r="BB48" s="38">
        <f t="shared" si="1"/>
        <v>203</v>
      </c>
      <c r="BC48" s="39">
        <f t="shared" si="2"/>
        <v>0.09084457062</v>
      </c>
      <c r="BD48" s="39"/>
      <c r="BE48" s="39"/>
    </row>
    <row r="49">
      <c r="A49" s="35" t="s">
        <v>164</v>
      </c>
      <c r="B49" s="37">
        <v>2.0</v>
      </c>
      <c r="C49" s="37">
        <v>4.0</v>
      </c>
      <c r="D49" s="37">
        <v>5.0</v>
      </c>
      <c r="E49" s="37">
        <v>4.0</v>
      </c>
      <c r="F49" s="37">
        <v>3.0</v>
      </c>
      <c r="G49" s="37">
        <v>4.0</v>
      </c>
      <c r="H49" s="37">
        <v>5.0</v>
      </c>
      <c r="I49" s="37">
        <v>4.0</v>
      </c>
      <c r="J49" s="37">
        <v>4.0</v>
      </c>
      <c r="K49" s="37">
        <v>2.0</v>
      </c>
      <c r="L49" s="37">
        <v>3.0</v>
      </c>
      <c r="M49" s="37">
        <v>2.0</v>
      </c>
      <c r="N49" s="37">
        <v>5.0</v>
      </c>
      <c r="O49" s="37">
        <v>2.0</v>
      </c>
      <c r="P49" s="37">
        <v>3.0</v>
      </c>
      <c r="Q49" s="37">
        <v>4.0</v>
      </c>
      <c r="R49" s="37">
        <v>3.0</v>
      </c>
      <c r="S49" s="37">
        <v>4.0</v>
      </c>
      <c r="T49" s="37">
        <v>5.0</v>
      </c>
      <c r="U49" s="37">
        <v>3.0</v>
      </c>
      <c r="V49" s="37">
        <v>4.0</v>
      </c>
      <c r="W49" s="37">
        <v>3.0</v>
      </c>
      <c r="X49" s="37">
        <v>4.0</v>
      </c>
      <c r="Y49" s="37">
        <v>5.0</v>
      </c>
      <c r="Z49" s="37">
        <v>3.0</v>
      </c>
      <c r="AA49" s="37">
        <v>4.0</v>
      </c>
      <c r="AB49" s="37">
        <v>5.0</v>
      </c>
      <c r="AC49" s="37">
        <v>3.0</v>
      </c>
      <c r="AD49" s="37">
        <v>4.0</v>
      </c>
      <c r="AE49" s="37">
        <v>3.0</v>
      </c>
      <c r="AF49" s="37">
        <v>4.0</v>
      </c>
      <c r="AG49" s="37">
        <v>5.0</v>
      </c>
      <c r="AH49" s="37">
        <v>4.0</v>
      </c>
      <c r="AI49" s="37">
        <v>2.0</v>
      </c>
      <c r="AJ49" s="37">
        <v>5.0</v>
      </c>
      <c r="AK49" s="37">
        <v>3.0</v>
      </c>
      <c r="AL49" s="37">
        <v>5.0</v>
      </c>
      <c r="AM49" s="37">
        <v>3.0</v>
      </c>
      <c r="AN49" s="37">
        <v>3.0</v>
      </c>
      <c r="AO49" s="37">
        <v>3.0</v>
      </c>
      <c r="AP49" s="37">
        <v>5.0</v>
      </c>
      <c r="AQ49" s="37">
        <v>3.0</v>
      </c>
      <c r="AR49" s="37">
        <v>5.0</v>
      </c>
      <c r="AS49" s="37">
        <v>4.0</v>
      </c>
      <c r="AT49" s="37">
        <v>2.0</v>
      </c>
      <c r="AU49" s="36">
        <v>1.0</v>
      </c>
      <c r="AV49" s="37">
        <v>3.0</v>
      </c>
      <c r="AW49" s="37">
        <v>4.0</v>
      </c>
      <c r="AX49" s="37">
        <v>4.0</v>
      </c>
      <c r="AY49" s="37">
        <v>3.0</v>
      </c>
      <c r="AZ49" s="37">
        <v>4.0</v>
      </c>
      <c r="BA49" s="37">
        <v>3.0</v>
      </c>
      <c r="BB49" s="38">
        <f t="shared" si="1"/>
        <v>187</v>
      </c>
      <c r="BC49" s="39">
        <f t="shared" si="2"/>
        <v>0.004866673426</v>
      </c>
      <c r="BD49" s="39"/>
      <c r="BE49" s="39"/>
    </row>
    <row r="50">
      <c r="A50" s="35" t="s">
        <v>165</v>
      </c>
      <c r="B50" s="37">
        <v>4.0</v>
      </c>
      <c r="C50" s="37">
        <v>3.0</v>
      </c>
      <c r="D50" s="37">
        <v>4.0</v>
      </c>
      <c r="E50" s="37">
        <v>4.0</v>
      </c>
      <c r="F50" s="37">
        <v>3.0</v>
      </c>
      <c r="G50" s="37">
        <v>4.0</v>
      </c>
      <c r="H50" s="37">
        <v>3.0</v>
      </c>
      <c r="I50" s="37">
        <v>4.0</v>
      </c>
      <c r="J50" s="37">
        <v>3.0</v>
      </c>
      <c r="K50" s="37">
        <v>3.0</v>
      </c>
      <c r="L50" s="37">
        <v>4.0</v>
      </c>
      <c r="M50" s="37">
        <v>2.0</v>
      </c>
      <c r="N50" s="37">
        <v>3.0</v>
      </c>
      <c r="O50" s="37">
        <v>2.0</v>
      </c>
      <c r="P50" s="37">
        <v>3.0</v>
      </c>
      <c r="Q50" s="37">
        <v>5.0</v>
      </c>
      <c r="R50" s="37">
        <v>4.0</v>
      </c>
      <c r="S50" s="37">
        <v>3.0</v>
      </c>
      <c r="T50" s="37">
        <v>4.0</v>
      </c>
      <c r="U50" s="37">
        <v>4.0</v>
      </c>
      <c r="V50" s="37">
        <v>4.0</v>
      </c>
      <c r="W50" s="37">
        <v>4.0</v>
      </c>
      <c r="X50" s="37">
        <v>5.0</v>
      </c>
      <c r="Y50" s="37">
        <v>4.0</v>
      </c>
      <c r="Z50" s="37">
        <v>3.0</v>
      </c>
      <c r="AA50" s="37">
        <v>3.0</v>
      </c>
      <c r="AB50" s="37">
        <v>4.0</v>
      </c>
      <c r="AC50" s="37">
        <v>4.0</v>
      </c>
      <c r="AD50" s="37">
        <v>5.0</v>
      </c>
      <c r="AE50" s="37">
        <v>3.0</v>
      </c>
      <c r="AF50" s="37">
        <v>3.0</v>
      </c>
      <c r="AG50" s="37">
        <v>3.0</v>
      </c>
      <c r="AH50" s="37">
        <v>3.0</v>
      </c>
      <c r="AI50" s="37">
        <v>4.0</v>
      </c>
      <c r="AJ50" s="37">
        <v>3.0</v>
      </c>
      <c r="AK50" s="37">
        <v>4.0</v>
      </c>
      <c r="AL50" s="37">
        <v>5.0</v>
      </c>
      <c r="AM50" s="37">
        <v>3.0</v>
      </c>
      <c r="AN50" s="37">
        <v>4.0</v>
      </c>
      <c r="AO50" s="37">
        <v>4.0</v>
      </c>
      <c r="AP50" s="37">
        <v>4.0</v>
      </c>
      <c r="AQ50" s="37">
        <v>3.0</v>
      </c>
      <c r="AR50" s="37">
        <v>4.0</v>
      </c>
      <c r="AS50" s="37">
        <v>4.0</v>
      </c>
      <c r="AT50" s="37">
        <v>2.0</v>
      </c>
      <c r="AU50" s="37">
        <v>5.0</v>
      </c>
      <c r="AV50" s="36">
        <v>1.0</v>
      </c>
      <c r="AW50" s="37">
        <v>5.0</v>
      </c>
      <c r="AX50" s="37">
        <v>3.0</v>
      </c>
      <c r="AY50" s="37">
        <v>4.0</v>
      </c>
      <c r="AZ50" s="37">
        <v>4.0</v>
      </c>
      <c r="BA50" s="37">
        <v>3.0</v>
      </c>
      <c r="BB50" s="38">
        <f t="shared" si="1"/>
        <v>186</v>
      </c>
      <c r="BC50" s="39">
        <f t="shared" si="2"/>
        <v>-0.0005069451485</v>
      </c>
      <c r="BD50" s="39"/>
      <c r="BE50" s="39"/>
    </row>
    <row r="51">
      <c r="A51" s="35" t="s">
        <v>166</v>
      </c>
      <c r="B51" s="37">
        <v>2.0</v>
      </c>
      <c r="C51" s="37">
        <v>4.0</v>
      </c>
      <c r="D51" s="37">
        <v>3.0</v>
      </c>
      <c r="E51" s="37">
        <v>3.0</v>
      </c>
      <c r="F51" s="37">
        <v>4.0</v>
      </c>
      <c r="G51" s="37">
        <v>4.0</v>
      </c>
      <c r="H51" s="37">
        <v>5.0</v>
      </c>
      <c r="I51" s="37">
        <v>4.0</v>
      </c>
      <c r="J51" s="37">
        <v>4.0</v>
      </c>
      <c r="K51" s="37">
        <v>2.0</v>
      </c>
      <c r="L51" s="37">
        <v>2.0</v>
      </c>
      <c r="M51" s="37">
        <v>2.0</v>
      </c>
      <c r="N51" s="37">
        <v>4.0</v>
      </c>
      <c r="O51" s="37">
        <v>4.0</v>
      </c>
      <c r="P51" s="37">
        <v>3.0</v>
      </c>
      <c r="Q51" s="37">
        <v>5.0</v>
      </c>
      <c r="R51" s="37">
        <v>3.0</v>
      </c>
      <c r="S51" s="37">
        <v>5.0</v>
      </c>
      <c r="T51" s="37">
        <v>1.0</v>
      </c>
      <c r="U51" s="37">
        <v>4.0</v>
      </c>
      <c r="V51" s="37">
        <v>5.0</v>
      </c>
      <c r="W51" s="37">
        <v>5.0</v>
      </c>
      <c r="X51" s="37">
        <v>5.0</v>
      </c>
      <c r="Y51" s="37">
        <v>5.0</v>
      </c>
      <c r="Z51" s="37">
        <v>2.0</v>
      </c>
      <c r="AA51" s="37">
        <v>4.0</v>
      </c>
      <c r="AB51" s="37">
        <v>5.0</v>
      </c>
      <c r="AC51" s="37">
        <v>3.0</v>
      </c>
      <c r="AD51" s="37">
        <v>4.0</v>
      </c>
      <c r="AE51" s="37">
        <v>5.0</v>
      </c>
      <c r="AF51" s="37">
        <v>2.0</v>
      </c>
      <c r="AG51" s="37">
        <v>3.0</v>
      </c>
      <c r="AH51" s="37">
        <v>3.0</v>
      </c>
      <c r="AI51" s="37">
        <v>2.0</v>
      </c>
      <c r="AJ51" s="37">
        <v>4.0</v>
      </c>
      <c r="AK51" s="37">
        <v>2.0</v>
      </c>
      <c r="AL51" s="37">
        <v>5.0</v>
      </c>
      <c r="AM51" s="37">
        <v>3.0</v>
      </c>
      <c r="AN51" s="37">
        <v>3.0</v>
      </c>
      <c r="AO51" s="37">
        <v>2.0</v>
      </c>
      <c r="AP51" s="37">
        <v>5.0</v>
      </c>
      <c r="AQ51" s="37">
        <v>3.0</v>
      </c>
      <c r="AR51" s="37">
        <v>5.0</v>
      </c>
      <c r="AS51" s="37">
        <v>5.0</v>
      </c>
      <c r="AT51" s="37">
        <v>2.0</v>
      </c>
      <c r="AU51" s="37">
        <v>5.0</v>
      </c>
      <c r="AV51" s="37">
        <v>3.0</v>
      </c>
      <c r="AW51" s="36">
        <v>1.0</v>
      </c>
      <c r="AX51" s="37">
        <v>4.0</v>
      </c>
      <c r="AY51" s="37">
        <v>5.0</v>
      </c>
      <c r="AZ51" s="37">
        <v>5.0</v>
      </c>
      <c r="BA51" s="37">
        <v>4.0</v>
      </c>
      <c r="BB51" s="38">
        <f t="shared" si="1"/>
        <v>187</v>
      </c>
      <c r="BC51" s="39">
        <f t="shared" si="2"/>
        <v>0.004866673426</v>
      </c>
      <c r="BD51" s="39"/>
      <c r="BE51" s="39"/>
    </row>
    <row r="52">
      <c r="A52" s="35" t="s">
        <v>167</v>
      </c>
      <c r="B52" s="37">
        <v>3.0</v>
      </c>
      <c r="C52" s="37">
        <v>3.0</v>
      </c>
      <c r="D52" s="37">
        <v>4.0</v>
      </c>
      <c r="E52" s="37">
        <v>3.0</v>
      </c>
      <c r="F52" s="37">
        <v>2.0</v>
      </c>
      <c r="G52" s="37">
        <v>3.0</v>
      </c>
      <c r="H52" s="37">
        <v>3.0</v>
      </c>
      <c r="I52" s="37">
        <v>3.0</v>
      </c>
      <c r="J52" s="37">
        <v>3.0</v>
      </c>
      <c r="K52" s="37">
        <v>3.0</v>
      </c>
      <c r="L52" s="37">
        <v>5.0</v>
      </c>
      <c r="M52" s="37">
        <v>4.0</v>
      </c>
      <c r="N52" s="37">
        <v>5.0</v>
      </c>
      <c r="O52" s="37">
        <v>3.0</v>
      </c>
      <c r="P52" s="37">
        <v>3.0</v>
      </c>
      <c r="Q52" s="37">
        <v>3.0</v>
      </c>
      <c r="R52" s="37">
        <v>3.0</v>
      </c>
      <c r="S52" s="37">
        <v>3.0</v>
      </c>
      <c r="T52" s="37">
        <v>4.0</v>
      </c>
      <c r="U52" s="37">
        <v>3.0</v>
      </c>
      <c r="V52" s="37">
        <v>4.0</v>
      </c>
      <c r="W52" s="37">
        <v>3.0</v>
      </c>
      <c r="X52" s="37">
        <v>3.0</v>
      </c>
      <c r="Y52" s="37">
        <v>5.0</v>
      </c>
      <c r="Z52" s="37">
        <v>2.0</v>
      </c>
      <c r="AA52" s="37">
        <v>5.0</v>
      </c>
      <c r="AB52" s="37">
        <v>3.0</v>
      </c>
      <c r="AC52" s="37">
        <v>3.0</v>
      </c>
      <c r="AD52" s="37">
        <v>4.0</v>
      </c>
      <c r="AE52" s="37">
        <v>3.0</v>
      </c>
      <c r="AF52" s="37">
        <v>4.0</v>
      </c>
      <c r="AG52" s="37">
        <v>4.0</v>
      </c>
      <c r="AH52" s="37">
        <v>3.0</v>
      </c>
      <c r="AI52" s="37">
        <v>3.0</v>
      </c>
      <c r="AJ52" s="37">
        <v>4.0</v>
      </c>
      <c r="AK52" s="37">
        <v>3.0</v>
      </c>
      <c r="AL52" s="37">
        <v>4.0</v>
      </c>
      <c r="AM52" s="37">
        <v>3.0</v>
      </c>
      <c r="AN52" s="37">
        <v>4.0</v>
      </c>
      <c r="AO52" s="37">
        <v>3.0</v>
      </c>
      <c r="AP52" s="37">
        <v>4.0</v>
      </c>
      <c r="AQ52" s="37">
        <v>3.0</v>
      </c>
      <c r="AR52" s="37">
        <v>5.0</v>
      </c>
      <c r="AS52" s="37">
        <v>4.0</v>
      </c>
      <c r="AT52" s="37">
        <v>3.0</v>
      </c>
      <c r="AU52" s="37">
        <v>5.0</v>
      </c>
      <c r="AV52" s="37">
        <v>3.0</v>
      </c>
      <c r="AW52" s="37">
        <v>4.0</v>
      </c>
      <c r="AX52" s="36">
        <v>1.0</v>
      </c>
      <c r="AY52" s="37">
        <v>4.0</v>
      </c>
      <c r="AZ52" s="37">
        <v>5.0</v>
      </c>
      <c r="BA52" s="37">
        <v>4.0</v>
      </c>
      <c r="BB52" s="38">
        <f t="shared" si="1"/>
        <v>181</v>
      </c>
      <c r="BC52" s="39">
        <f t="shared" si="2"/>
        <v>-0.02737503802</v>
      </c>
      <c r="BD52" s="39"/>
      <c r="BE52" s="39"/>
    </row>
    <row r="53">
      <c r="A53" s="35" t="s">
        <v>168</v>
      </c>
      <c r="B53" s="37">
        <v>2.0</v>
      </c>
      <c r="C53" s="37">
        <v>2.0</v>
      </c>
      <c r="D53" s="37">
        <v>5.0</v>
      </c>
      <c r="E53" s="37">
        <v>3.0</v>
      </c>
      <c r="F53" s="37">
        <v>3.0</v>
      </c>
      <c r="G53" s="37">
        <v>3.0</v>
      </c>
      <c r="H53" s="37">
        <v>4.0</v>
      </c>
      <c r="I53" s="37">
        <v>3.0</v>
      </c>
      <c r="J53" s="37">
        <v>3.0</v>
      </c>
      <c r="K53" s="37">
        <v>3.0</v>
      </c>
      <c r="L53" s="37">
        <v>4.0</v>
      </c>
      <c r="M53" s="37">
        <v>2.0</v>
      </c>
      <c r="N53" s="37">
        <v>4.0</v>
      </c>
      <c r="O53" s="37">
        <v>2.0</v>
      </c>
      <c r="P53" s="37">
        <v>3.0</v>
      </c>
      <c r="Q53" s="37">
        <v>4.0</v>
      </c>
      <c r="R53" s="37">
        <v>3.0</v>
      </c>
      <c r="S53" s="37">
        <v>4.0</v>
      </c>
      <c r="T53" s="37">
        <v>5.0</v>
      </c>
      <c r="U53" s="37">
        <v>3.0</v>
      </c>
      <c r="V53" s="37">
        <v>5.0</v>
      </c>
      <c r="W53" s="37">
        <v>5.0</v>
      </c>
      <c r="X53" s="37">
        <v>5.0</v>
      </c>
      <c r="Y53" s="37">
        <v>4.0</v>
      </c>
      <c r="Z53" s="37">
        <v>2.0</v>
      </c>
      <c r="AA53" s="37">
        <v>2.0</v>
      </c>
      <c r="AB53" s="37">
        <v>4.0</v>
      </c>
      <c r="AC53" s="37">
        <v>3.0</v>
      </c>
      <c r="AD53" s="37">
        <v>4.0</v>
      </c>
      <c r="AE53" s="37">
        <v>3.0</v>
      </c>
      <c r="AF53" s="37">
        <v>3.0</v>
      </c>
      <c r="AG53" s="37">
        <v>3.0</v>
      </c>
      <c r="AH53" s="37">
        <v>4.0</v>
      </c>
      <c r="AI53" s="37">
        <v>2.0</v>
      </c>
      <c r="AJ53" s="37">
        <v>3.0</v>
      </c>
      <c r="AK53" s="37">
        <v>3.0</v>
      </c>
      <c r="AL53" s="37">
        <v>4.0</v>
      </c>
      <c r="AM53" s="37">
        <v>2.0</v>
      </c>
      <c r="AN53" s="37">
        <v>4.0</v>
      </c>
      <c r="AO53" s="37">
        <v>3.0</v>
      </c>
      <c r="AP53" s="37">
        <v>5.0</v>
      </c>
      <c r="AQ53" s="37">
        <v>3.0</v>
      </c>
      <c r="AR53" s="37">
        <v>5.0</v>
      </c>
      <c r="AS53" s="37">
        <v>4.0</v>
      </c>
      <c r="AT53" s="37">
        <v>2.0</v>
      </c>
      <c r="AU53" s="37">
        <v>4.0</v>
      </c>
      <c r="AV53" s="37">
        <v>2.0</v>
      </c>
      <c r="AW53" s="37">
        <v>3.0</v>
      </c>
      <c r="AX53" s="37">
        <v>3.0</v>
      </c>
      <c r="AY53" s="36">
        <v>1.0</v>
      </c>
      <c r="AZ53" s="37">
        <v>3.0</v>
      </c>
      <c r="BA53" s="37">
        <v>4.0</v>
      </c>
      <c r="BB53" s="38">
        <f t="shared" si="1"/>
        <v>172</v>
      </c>
      <c r="BC53" s="39">
        <f t="shared" si="2"/>
        <v>-0.07573760519</v>
      </c>
      <c r="BD53" s="39"/>
      <c r="BE53" s="39"/>
    </row>
    <row r="54">
      <c r="A54" s="35" t="s">
        <v>169</v>
      </c>
      <c r="B54" s="37">
        <v>4.0</v>
      </c>
      <c r="C54" s="37">
        <v>3.0</v>
      </c>
      <c r="D54" s="37">
        <v>5.0</v>
      </c>
      <c r="E54" s="37">
        <v>4.0</v>
      </c>
      <c r="F54" s="37">
        <v>3.0</v>
      </c>
      <c r="G54" s="37">
        <v>5.0</v>
      </c>
      <c r="H54" s="37">
        <v>5.0</v>
      </c>
      <c r="I54" s="37">
        <v>4.0</v>
      </c>
      <c r="J54" s="37">
        <v>4.0</v>
      </c>
      <c r="K54" s="37">
        <v>4.0</v>
      </c>
      <c r="L54" s="37">
        <v>5.0</v>
      </c>
      <c r="M54" s="37">
        <v>4.0</v>
      </c>
      <c r="N54" s="37">
        <v>4.0</v>
      </c>
      <c r="O54" s="37">
        <v>4.0</v>
      </c>
      <c r="P54" s="37">
        <v>3.0</v>
      </c>
      <c r="Q54" s="37">
        <v>5.0</v>
      </c>
      <c r="R54" s="37">
        <v>3.0</v>
      </c>
      <c r="S54" s="37">
        <v>4.0</v>
      </c>
      <c r="T54" s="37">
        <v>4.0</v>
      </c>
      <c r="U54" s="37">
        <v>3.0</v>
      </c>
      <c r="V54" s="37">
        <v>5.0</v>
      </c>
      <c r="W54" s="37">
        <v>4.0</v>
      </c>
      <c r="X54" s="37">
        <v>5.0</v>
      </c>
      <c r="Y54" s="37">
        <v>5.0</v>
      </c>
      <c r="Z54" s="37">
        <v>3.0</v>
      </c>
      <c r="AA54" s="37">
        <v>4.0</v>
      </c>
      <c r="AB54" s="37">
        <v>5.0</v>
      </c>
      <c r="AC54" s="37">
        <v>4.0</v>
      </c>
      <c r="AD54" s="37">
        <v>4.0</v>
      </c>
      <c r="AE54" s="37">
        <v>4.0</v>
      </c>
      <c r="AF54" s="37">
        <v>4.0</v>
      </c>
      <c r="AG54" s="37">
        <v>3.0</v>
      </c>
      <c r="AH54" s="37">
        <v>3.0</v>
      </c>
      <c r="AI54" s="37">
        <v>3.0</v>
      </c>
      <c r="AJ54" s="37">
        <v>5.0</v>
      </c>
      <c r="AK54" s="37">
        <v>5.0</v>
      </c>
      <c r="AL54" s="37">
        <v>5.0</v>
      </c>
      <c r="AM54" s="37">
        <v>3.0</v>
      </c>
      <c r="AN54" s="37">
        <v>4.0</v>
      </c>
      <c r="AO54" s="37">
        <v>4.0</v>
      </c>
      <c r="AP54" s="37">
        <v>5.0</v>
      </c>
      <c r="AQ54" s="37">
        <v>3.0</v>
      </c>
      <c r="AR54" s="37">
        <v>5.0</v>
      </c>
      <c r="AS54" s="37">
        <v>5.0</v>
      </c>
      <c r="AT54" s="37">
        <v>3.0</v>
      </c>
      <c r="AU54" s="37">
        <v>5.0</v>
      </c>
      <c r="AV54" s="37">
        <v>4.0</v>
      </c>
      <c r="AW54" s="37">
        <v>5.0</v>
      </c>
      <c r="AX54" s="37">
        <v>5.0</v>
      </c>
      <c r="AY54" s="37">
        <v>5.0</v>
      </c>
      <c r="AZ54" s="36">
        <v>1.0</v>
      </c>
      <c r="BA54" s="37">
        <v>4.0</v>
      </c>
      <c r="BB54" s="38">
        <f t="shared" si="1"/>
        <v>212</v>
      </c>
      <c r="BC54" s="39">
        <f t="shared" si="2"/>
        <v>0.1392071378</v>
      </c>
      <c r="BD54" s="39"/>
      <c r="BE54" s="39"/>
    </row>
    <row r="55">
      <c r="A55" s="35" t="s">
        <v>170</v>
      </c>
      <c r="B55" s="37">
        <v>2.0</v>
      </c>
      <c r="C55" s="37">
        <v>3.0</v>
      </c>
      <c r="D55" s="37">
        <v>2.0</v>
      </c>
      <c r="E55" s="37">
        <v>2.0</v>
      </c>
      <c r="F55" s="37">
        <v>3.0</v>
      </c>
      <c r="G55" s="37">
        <v>2.0</v>
      </c>
      <c r="H55" s="37">
        <v>2.0</v>
      </c>
      <c r="I55" s="37">
        <v>1.0</v>
      </c>
      <c r="J55" s="37">
        <v>1.0</v>
      </c>
      <c r="K55" s="37">
        <v>1.0</v>
      </c>
      <c r="L55" s="37">
        <v>3.0</v>
      </c>
      <c r="M55" s="37">
        <v>1.0</v>
      </c>
      <c r="N55" s="37">
        <v>1.0</v>
      </c>
      <c r="O55" s="37">
        <v>1.0</v>
      </c>
      <c r="P55" s="37">
        <v>2.0</v>
      </c>
      <c r="Q55" s="37">
        <v>2.0</v>
      </c>
      <c r="R55" s="37">
        <v>1.0</v>
      </c>
      <c r="S55" s="37">
        <v>2.0</v>
      </c>
      <c r="T55" s="37">
        <v>4.0</v>
      </c>
      <c r="U55" s="37">
        <v>2.0</v>
      </c>
      <c r="V55" s="37">
        <v>2.0</v>
      </c>
      <c r="W55" s="37">
        <v>3.0</v>
      </c>
      <c r="X55" s="37">
        <v>4.0</v>
      </c>
      <c r="Y55" s="37">
        <v>2.0</v>
      </c>
      <c r="Z55" s="37">
        <v>1.0</v>
      </c>
      <c r="AA55" s="37">
        <v>1.0</v>
      </c>
      <c r="AB55" s="37">
        <v>3.0</v>
      </c>
      <c r="AC55" s="37">
        <v>1.0</v>
      </c>
      <c r="AD55" s="37">
        <v>2.0</v>
      </c>
      <c r="AE55" s="37">
        <v>1.0</v>
      </c>
      <c r="AF55" s="37">
        <v>2.0</v>
      </c>
      <c r="AG55" s="37">
        <v>1.0</v>
      </c>
      <c r="AH55" s="37">
        <v>2.0</v>
      </c>
      <c r="AI55" s="37">
        <v>1.0</v>
      </c>
      <c r="AJ55" s="37">
        <v>2.0</v>
      </c>
      <c r="AK55" s="37">
        <v>1.0</v>
      </c>
      <c r="AL55" s="37">
        <v>2.0</v>
      </c>
      <c r="AM55" s="37">
        <v>1.0</v>
      </c>
      <c r="AN55" s="37">
        <v>2.0</v>
      </c>
      <c r="AO55" s="37">
        <v>1.0</v>
      </c>
      <c r="AP55" s="37">
        <v>3.0</v>
      </c>
      <c r="AQ55" s="37">
        <v>2.0</v>
      </c>
      <c r="AR55" s="37">
        <v>2.0</v>
      </c>
      <c r="AS55" s="37">
        <v>2.0</v>
      </c>
      <c r="AT55" s="37">
        <v>1.0</v>
      </c>
      <c r="AU55" s="37">
        <v>2.0</v>
      </c>
      <c r="AV55" s="37">
        <v>1.0</v>
      </c>
      <c r="AW55" s="37">
        <v>5.0</v>
      </c>
      <c r="AX55" s="37">
        <v>1.0</v>
      </c>
      <c r="AY55" s="37">
        <v>3.0</v>
      </c>
      <c r="AZ55" s="37">
        <v>1.0</v>
      </c>
      <c r="BA55" s="36">
        <v>1.0</v>
      </c>
      <c r="BB55" s="38">
        <f t="shared" si="1"/>
        <v>97</v>
      </c>
      <c r="BC55" s="39">
        <f t="shared" si="2"/>
        <v>-0.4787589983</v>
      </c>
      <c r="BD55" s="39"/>
      <c r="BE55" s="39"/>
    </row>
    <row r="56">
      <c r="A56" s="41" t="s">
        <v>1</v>
      </c>
      <c r="B56" s="42">
        <f t="shared" ref="B56:BA56" si="3">SUM(B2:B55)</f>
        <v>168</v>
      </c>
      <c r="C56" s="42">
        <f t="shared" si="3"/>
        <v>164</v>
      </c>
      <c r="D56" s="42">
        <f t="shared" si="3"/>
        <v>217</v>
      </c>
      <c r="E56" s="42">
        <f t="shared" si="3"/>
        <v>205</v>
      </c>
      <c r="F56" s="42">
        <f t="shared" si="3"/>
        <v>179</v>
      </c>
      <c r="G56" s="42">
        <f t="shared" si="3"/>
        <v>222</v>
      </c>
      <c r="H56" s="42">
        <f t="shared" si="3"/>
        <v>222</v>
      </c>
      <c r="I56" s="42">
        <f t="shared" si="3"/>
        <v>196</v>
      </c>
      <c r="J56" s="42">
        <f t="shared" si="3"/>
        <v>179</v>
      </c>
      <c r="K56" s="42">
        <f t="shared" si="3"/>
        <v>181</v>
      </c>
      <c r="L56" s="42">
        <f t="shared" si="3"/>
        <v>198</v>
      </c>
      <c r="M56" s="42">
        <f t="shared" si="3"/>
        <v>150</v>
      </c>
      <c r="N56" s="42">
        <f t="shared" si="3"/>
        <v>220</v>
      </c>
      <c r="O56" s="42">
        <f t="shared" si="3"/>
        <v>161</v>
      </c>
      <c r="P56" s="42">
        <f t="shared" si="3"/>
        <v>164</v>
      </c>
      <c r="Q56" s="42">
        <f t="shared" si="3"/>
        <v>207</v>
      </c>
      <c r="R56" s="42">
        <f t="shared" si="3"/>
        <v>171</v>
      </c>
      <c r="S56" s="42">
        <f t="shared" si="3"/>
        <v>193</v>
      </c>
      <c r="T56" s="42">
        <f t="shared" si="3"/>
        <v>217</v>
      </c>
      <c r="U56" s="42">
        <f t="shared" si="3"/>
        <v>186</v>
      </c>
      <c r="V56" s="42">
        <f t="shared" si="3"/>
        <v>235</v>
      </c>
      <c r="W56" s="42">
        <f t="shared" si="3"/>
        <v>215</v>
      </c>
      <c r="X56" s="42">
        <f t="shared" si="3"/>
        <v>210</v>
      </c>
      <c r="Y56" s="42">
        <f t="shared" si="3"/>
        <v>215</v>
      </c>
      <c r="Z56" s="42">
        <f t="shared" si="3"/>
        <v>144</v>
      </c>
      <c r="AA56" s="42">
        <f t="shared" si="3"/>
        <v>179</v>
      </c>
      <c r="AB56" s="42">
        <f t="shared" si="3"/>
        <v>208</v>
      </c>
      <c r="AC56" s="42">
        <f t="shared" si="3"/>
        <v>181</v>
      </c>
      <c r="AD56" s="42">
        <f t="shared" si="3"/>
        <v>195</v>
      </c>
      <c r="AE56" s="42">
        <f t="shared" si="3"/>
        <v>176</v>
      </c>
      <c r="AF56" s="42">
        <f t="shared" si="3"/>
        <v>182</v>
      </c>
      <c r="AG56" s="42">
        <f t="shared" si="3"/>
        <v>180</v>
      </c>
      <c r="AH56" s="42">
        <f t="shared" si="3"/>
        <v>187</v>
      </c>
      <c r="AI56" s="42">
        <f t="shared" si="3"/>
        <v>147</v>
      </c>
      <c r="AJ56" s="42">
        <f t="shared" si="3"/>
        <v>209</v>
      </c>
      <c r="AK56" s="42">
        <f t="shared" si="3"/>
        <v>168</v>
      </c>
      <c r="AL56" s="42">
        <f t="shared" si="3"/>
        <v>231</v>
      </c>
      <c r="AM56" s="42">
        <f t="shared" si="3"/>
        <v>159</v>
      </c>
      <c r="AN56" s="42">
        <f t="shared" si="3"/>
        <v>179</v>
      </c>
      <c r="AO56" s="42">
        <f t="shared" si="3"/>
        <v>176</v>
      </c>
      <c r="AP56" s="42">
        <f t="shared" si="3"/>
        <v>230</v>
      </c>
      <c r="AQ56" s="42">
        <f t="shared" si="3"/>
        <v>191</v>
      </c>
      <c r="AR56" s="42">
        <f t="shared" si="3"/>
        <v>229</v>
      </c>
      <c r="AS56" s="42">
        <f t="shared" si="3"/>
        <v>207</v>
      </c>
      <c r="AT56" s="42">
        <f t="shared" si="3"/>
        <v>135</v>
      </c>
      <c r="AU56" s="42">
        <f t="shared" si="3"/>
        <v>237</v>
      </c>
      <c r="AV56" s="42">
        <f t="shared" si="3"/>
        <v>175</v>
      </c>
      <c r="AW56" s="42">
        <f t="shared" si="3"/>
        <v>220</v>
      </c>
      <c r="AX56" s="42">
        <f t="shared" si="3"/>
        <v>189</v>
      </c>
      <c r="AY56" s="42">
        <f t="shared" si="3"/>
        <v>223</v>
      </c>
      <c r="AZ56" s="42">
        <f t="shared" si="3"/>
        <v>214</v>
      </c>
      <c r="BA56" s="42">
        <f t="shared" si="3"/>
        <v>206</v>
      </c>
      <c r="BB56" s="43" t="s">
        <v>171</v>
      </c>
      <c r="BC56" s="34"/>
      <c r="BD56" s="34"/>
      <c r="BE56" s="34"/>
    </row>
    <row r="57">
      <c r="A57" s="44" t="s">
        <v>172</v>
      </c>
      <c r="B57" s="45">
        <f t="shared" ref="B57:BA57" si="4">COUNTIF(B2:B55,5)</f>
        <v>5</v>
      </c>
      <c r="C57" s="45">
        <f t="shared" si="4"/>
        <v>2</v>
      </c>
      <c r="D57" s="45">
        <f t="shared" si="4"/>
        <v>24</v>
      </c>
      <c r="E57" s="45">
        <f t="shared" si="4"/>
        <v>13</v>
      </c>
      <c r="F57" s="45">
        <f t="shared" si="4"/>
        <v>3</v>
      </c>
      <c r="G57" s="45">
        <f t="shared" si="4"/>
        <v>21</v>
      </c>
      <c r="H57" s="45">
        <f t="shared" si="4"/>
        <v>25</v>
      </c>
      <c r="I57" s="45">
        <f t="shared" si="4"/>
        <v>7</v>
      </c>
      <c r="J57" s="45">
        <f t="shared" si="4"/>
        <v>5</v>
      </c>
      <c r="K57" s="45">
        <f t="shared" si="4"/>
        <v>10</v>
      </c>
      <c r="L57" s="45">
        <f t="shared" si="4"/>
        <v>10</v>
      </c>
      <c r="M57" s="45">
        <f t="shared" si="4"/>
        <v>1</v>
      </c>
      <c r="N57" s="45">
        <f t="shared" si="4"/>
        <v>22</v>
      </c>
      <c r="O57" s="45">
        <f t="shared" si="4"/>
        <v>1</v>
      </c>
      <c r="P57" s="45">
        <f t="shared" si="4"/>
        <v>2</v>
      </c>
      <c r="Q57" s="45">
        <f t="shared" si="4"/>
        <v>11</v>
      </c>
      <c r="R57" s="45">
        <f t="shared" si="4"/>
        <v>1</v>
      </c>
      <c r="S57" s="45">
        <f t="shared" si="4"/>
        <v>6</v>
      </c>
      <c r="T57" s="45">
        <f t="shared" si="4"/>
        <v>18</v>
      </c>
      <c r="U57" s="45">
        <f t="shared" si="4"/>
        <v>7</v>
      </c>
      <c r="V57" s="45">
        <f t="shared" si="4"/>
        <v>27</v>
      </c>
      <c r="W57" s="45">
        <f t="shared" si="4"/>
        <v>16</v>
      </c>
      <c r="X57" s="45">
        <f t="shared" si="4"/>
        <v>13</v>
      </c>
      <c r="Y57" s="45">
        <f t="shared" si="4"/>
        <v>25</v>
      </c>
      <c r="Z57" s="45">
        <f t="shared" si="4"/>
        <v>0</v>
      </c>
      <c r="AA57" s="45">
        <f t="shared" si="4"/>
        <v>8</v>
      </c>
      <c r="AB57" s="45">
        <f t="shared" si="4"/>
        <v>15</v>
      </c>
      <c r="AC57" s="45">
        <f t="shared" si="4"/>
        <v>2</v>
      </c>
      <c r="AD57" s="45">
        <f t="shared" si="4"/>
        <v>6</v>
      </c>
      <c r="AE57" s="45">
        <f t="shared" si="4"/>
        <v>3</v>
      </c>
      <c r="AF57" s="45">
        <f t="shared" si="4"/>
        <v>5</v>
      </c>
      <c r="AG57" s="45">
        <f t="shared" si="4"/>
        <v>5</v>
      </c>
      <c r="AH57" s="45">
        <f t="shared" si="4"/>
        <v>5</v>
      </c>
      <c r="AI57" s="45">
        <f t="shared" si="4"/>
        <v>0</v>
      </c>
      <c r="AJ57" s="45">
        <f t="shared" si="4"/>
        <v>12</v>
      </c>
      <c r="AK57" s="45">
        <f t="shared" si="4"/>
        <v>3</v>
      </c>
      <c r="AL57" s="45">
        <f t="shared" si="4"/>
        <v>25</v>
      </c>
      <c r="AM57" s="45">
        <f t="shared" si="4"/>
        <v>1</v>
      </c>
      <c r="AN57" s="45">
        <f t="shared" si="4"/>
        <v>2</v>
      </c>
      <c r="AO57" s="45">
        <f t="shared" si="4"/>
        <v>10</v>
      </c>
      <c r="AP57" s="45">
        <f t="shared" si="4"/>
        <v>25</v>
      </c>
      <c r="AQ57" s="45">
        <f t="shared" si="4"/>
        <v>4</v>
      </c>
      <c r="AR57" s="45">
        <f t="shared" si="4"/>
        <v>28</v>
      </c>
      <c r="AS57" s="45">
        <f t="shared" si="4"/>
        <v>12</v>
      </c>
      <c r="AT57" s="45">
        <f t="shared" si="4"/>
        <v>0</v>
      </c>
      <c r="AU57" s="45">
        <f t="shared" si="4"/>
        <v>31</v>
      </c>
      <c r="AV57" s="45">
        <f t="shared" si="4"/>
        <v>4</v>
      </c>
      <c r="AW57" s="45">
        <f t="shared" si="4"/>
        <v>20</v>
      </c>
      <c r="AX57" s="45">
        <f t="shared" si="4"/>
        <v>9</v>
      </c>
      <c r="AY57" s="45">
        <f t="shared" si="4"/>
        <v>20</v>
      </c>
      <c r="AZ57" s="45">
        <f t="shared" si="4"/>
        <v>23</v>
      </c>
      <c r="BA57" s="45">
        <f t="shared" si="4"/>
        <v>8</v>
      </c>
      <c r="BB57" s="46">
        <f t="shared" ref="BB57:BB61" si="6">SUM(AA57:BA57)</f>
        <v>286</v>
      </c>
      <c r="BC57" s="47">
        <f t="shared" ref="BC57:BC62" si="7">BB57/$BB$62</f>
        <v>0.1961591221</v>
      </c>
      <c r="BD57" s="47"/>
      <c r="BE57" s="47"/>
    </row>
    <row r="58">
      <c r="A58" s="44" t="s">
        <v>173</v>
      </c>
      <c r="B58" s="45">
        <f t="shared" ref="B58:BA58" si="5">COUNTIF(B2:B55,4)</f>
        <v>8</v>
      </c>
      <c r="C58" s="45">
        <f t="shared" si="5"/>
        <v>8</v>
      </c>
      <c r="D58" s="45">
        <f t="shared" si="5"/>
        <v>12</v>
      </c>
      <c r="E58" s="45">
        <f t="shared" si="5"/>
        <v>21</v>
      </c>
      <c r="F58" s="45">
        <f t="shared" si="5"/>
        <v>17</v>
      </c>
      <c r="G58" s="45">
        <f t="shared" si="5"/>
        <v>21</v>
      </c>
      <c r="H58" s="45">
        <f t="shared" si="5"/>
        <v>16</v>
      </c>
      <c r="I58" s="45">
        <f t="shared" si="5"/>
        <v>25</v>
      </c>
      <c r="J58" s="45">
        <f t="shared" si="5"/>
        <v>17</v>
      </c>
      <c r="K58" s="45">
        <f t="shared" si="5"/>
        <v>8</v>
      </c>
      <c r="L58" s="45">
        <f t="shared" si="5"/>
        <v>22</v>
      </c>
      <c r="M58" s="45">
        <f t="shared" si="5"/>
        <v>13</v>
      </c>
      <c r="N58" s="45">
        <f t="shared" si="5"/>
        <v>18</v>
      </c>
      <c r="O58" s="45">
        <f t="shared" si="5"/>
        <v>9</v>
      </c>
      <c r="P58" s="45">
        <f t="shared" si="5"/>
        <v>7</v>
      </c>
      <c r="Q58" s="45">
        <f t="shared" si="5"/>
        <v>28</v>
      </c>
      <c r="R58" s="45">
        <f t="shared" si="5"/>
        <v>14</v>
      </c>
      <c r="S58" s="45">
        <f t="shared" si="5"/>
        <v>25</v>
      </c>
      <c r="T58" s="45">
        <f t="shared" si="5"/>
        <v>25</v>
      </c>
      <c r="U58" s="45">
        <f t="shared" si="5"/>
        <v>22</v>
      </c>
      <c r="V58" s="45">
        <f t="shared" si="5"/>
        <v>22</v>
      </c>
      <c r="W58" s="45">
        <f t="shared" si="5"/>
        <v>24</v>
      </c>
      <c r="X58" s="45">
        <f t="shared" si="5"/>
        <v>25</v>
      </c>
      <c r="Y58" s="45">
        <f t="shared" si="5"/>
        <v>10</v>
      </c>
      <c r="Z58" s="45">
        <f t="shared" si="5"/>
        <v>5</v>
      </c>
      <c r="AA58" s="45">
        <f t="shared" si="5"/>
        <v>16</v>
      </c>
      <c r="AB58" s="45">
        <f t="shared" si="5"/>
        <v>18</v>
      </c>
      <c r="AC58" s="45">
        <f t="shared" si="5"/>
        <v>22</v>
      </c>
      <c r="AD58" s="45">
        <f t="shared" si="5"/>
        <v>27</v>
      </c>
      <c r="AE58" s="45">
        <f t="shared" si="5"/>
        <v>15</v>
      </c>
      <c r="AF58" s="45">
        <f t="shared" si="5"/>
        <v>17</v>
      </c>
      <c r="AG58" s="45">
        <f t="shared" si="5"/>
        <v>16</v>
      </c>
      <c r="AH58" s="45">
        <f t="shared" si="5"/>
        <v>22</v>
      </c>
      <c r="AI58" s="45">
        <f t="shared" si="5"/>
        <v>7</v>
      </c>
      <c r="AJ58" s="45">
        <f t="shared" si="5"/>
        <v>27</v>
      </c>
      <c r="AK58" s="45">
        <f t="shared" si="5"/>
        <v>12</v>
      </c>
      <c r="AL58" s="45">
        <f t="shared" si="5"/>
        <v>23</v>
      </c>
      <c r="AM58" s="45">
        <f t="shared" si="5"/>
        <v>9</v>
      </c>
      <c r="AN58" s="45">
        <f t="shared" si="5"/>
        <v>18</v>
      </c>
      <c r="AO58" s="45">
        <f t="shared" si="5"/>
        <v>10</v>
      </c>
      <c r="AP58" s="45">
        <f t="shared" si="5"/>
        <v>21</v>
      </c>
      <c r="AQ58" s="45">
        <f t="shared" si="5"/>
        <v>24</v>
      </c>
      <c r="AR58" s="45">
        <f t="shared" si="5"/>
        <v>14</v>
      </c>
      <c r="AS58" s="45">
        <f t="shared" si="5"/>
        <v>26</v>
      </c>
      <c r="AT58" s="45">
        <f t="shared" si="5"/>
        <v>3</v>
      </c>
      <c r="AU58" s="45">
        <f t="shared" si="5"/>
        <v>17</v>
      </c>
      <c r="AV58" s="45">
        <f t="shared" si="5"/>
        <v>14</v>
      </c>
      <c r="AW58" s="45">
        <f t="shared" si="5"/>
        <v>22</v>
      </c>
      <c r="AX58" s="45">
        <f t="shared" si="5"/>
        <v>19</v>
      </c>
      <c r="AY58" s="45">
        <f t="shared" si="5"/>
        <v>23</v>
      </c>
      <c r="AZ58" s="45">
        <f t="shared" si="5"/>
        <v>12</v>
      </c>
      <c r="BA58" s="45">
        <f t="shared" si="5"/>
        <v>31</v>
      </c>
      <c r="BB58" s="46">
        <f t="shared" si="6"/>
        <v>485</v>
      </c>
      <c r="BC58" s="47">
        <f t="shared" si="7"/>
        <v>0.3326474623</v>
      </c>
      <c r="BD58" s="47"/>
      <c r="BE58" s="47"/>
    </row>
    <row r="59">
      <c r="A59" s="44" t="s">
        <v>174</v>
      </c>
      <c r="B59" s="45">
        <f t="shared" ref="B59:BA59" si="8">COUNTIF(B2:B55,3)</f>
        <v>30</v>
      </c>
      <c r="C59" s="45">
        <f t="shared" si="8"/>
        <v>35</v>
      </c>
      <c r="D59" s="45">
        <f t="shared" si="8"/>
        <v>14</v>
      </c>
      <c r="E59" s="45">
        <f t="shared" si="8"/>
        <v>17</v>
      </c>
      <c r="F59" s="45">
        <f t="shared" si="8"/>
        <v>29</v>
      </c>
      <c r="G59" s="45">
        <f t="shared" si="8"/>
        <v>10</v>
      </c>
      <c r="H59" s="45">
        <f t="shared" si="8"/>
        <v>9</v>
      </c>
      <c r="I59" s="45">
        <f t="shared" si="8"/>
        <v>19</v>
      </c>
      <c r="J59" s="45">
        <f t="shared" si="8"/>
        <v>24</v>
      </c>
      <c r="K59" s="45">
        <f t="shared" si="8"/>
        <v>29</v>
      </c>
      <c r="L59" s="45">
        <f t="shared" si="8"/>
        <v>17</v>
      </c>
      <c r="M59" s="45">
        <f t="shared" si="8"/>
        <v>19</v>
      </c>
      <c r="N59" s="45">
        <f t="shared" si="8"/>
        <v>12</v>
      </c>
      <c r="O59" s="45">
        <f t="shared" si="8"/>
        <v>34</v>
      </c>
      <c r="P59" s="45">
        <f t="shared" si="8"/>
        <v>37</v>
      </c>
      <c r="Q59" s="45">
        <f t="shared" si="8"/>
        <v>11</v>
      </c>
      <c r="R59" s="45">
        <f t="shared" si="8"/>
        <v>34</v>
      </c>
      <c r="S59" s="45">
        <f t="shared" si="8"/>
        <v>18</v>
      </c>
      <c r="T59" s="45">
        <f t="shared" si="8"/>
        <v>7</v>
      </c>
      <c r="U59" s="45">
        <f t="shared" si="8"/>
        <v>15</v>
      </c>
      <c r="V59" s="45">
        <f t="shared" si="8"/>
        <v>3</v>
      </c>
      <c r="W59" s="45">
        <f t="shared" si="8"/>
        <v>12</v>
      </c>
      <c r="X59" s="45">
        <f t="shared" si="8"/>
        <v>14</v>
      </c>
      <c r="Y59" s="45">
        <f t="shared" si="8"/>
        <v>13</v>
      </c>
      <c r="Z59" s="45">
        <f t="shared" si="8"/>
        <v>30</v>
      </c>
      <c r="AA59" s="45">
        <f t="shared" si="8"/>
        <v>18</v>
      </c>
      <c r="AB59" s="45">
        <f t="shared" si="8"/>
        <v>20</v>
      </c>
      <c r="AC59" s="45">
        <f t="shared" si="8"/>
        <v>26</v>
      </c>
      <c r="AD59" s="45">
        <f t="shared" si="8"/>
        <v>17</v>
      </c>
      <c r="AE59" s="45">
        <f t="shared" si="8"/>
        <v>31</v>
      </c>
      <c r="AF59" s="45">
        <f t="shared" si="8"/>
        <v>26</v>
      </c>
      <c r="AG59" s="45">
        <f t="shared" si="8"/>
        <v>27</v>
      </c>
      <c r="AH59" s="45">
        <f t="shared" si="8"/>
        <v>22</v>
      </c>
      <c r="AI59" s="45">
        <f t="shared" si="8"/>
        <v>28</v>
      </c>
      <c r="AJ59" s="45">
        <f t="shared" si="8"/>
        <v>12</v>
      </c>
      <c r="AK59" s="45">
        <f t="shared" si="8"/>
        <v>30</v>
      </c>
      <c r="AL59" s="45">
        <f t="shared" si="8"/>
        <v>3</v>
      </c>
      <c r="AM59" s="45">
        <f t="shared" si="8"/>
        <v>32</v>
      </c>
      <c r="AN59" s="45">
        <f t="shared" si="8"/>
        <v>30</v>
      </c>
      <c r="AO59" s="45">
        <f t="shared" si="8"/>
        <v>21</v>
      </c>
      <c r="AP59" s="45">
        <f t="shared" si="8"/>
        <v>6</v>
      </c>
      <c r="AQ59" s="45">
        <f t="shared" si="8"/>
        <v>24</v>
      </c>
      <c r="AR59" s="45">
        <f t="shared" si="8"/>
        <v>10</v>
      </c>
      <c r="AS59" s="45">
        <f t="shared" si="8"/>
        <v>13</v>
      </c>
      <c r="AT59" s="45">
        <f t="shared" si="8"/>
        <v>24</v>
      </c>
      <c r="AU59" s="45">
        <f t="shared" si="8"/>
        <v>3</v>
      </c>
      <c r="AV59" s="45">
        <f t="shared" si="8"/>
        <v>29</v>
      </c>
      <c r="AW59" s="45">
        <f t="shared" si="8"/>
        <v>9</v>
      </c>
      <c r="AX59" s="45">
        <f t="shared" si="8"/>
        <v>18</v>
      </c>
      <c r="AY59" s="45">
        <f t="shared" si="8"/>
        <v>10</v>
      </c>
      <c r="AZ59" s="45">
        <f t="shared" si="8"/>
        <v>16</v>
      </c>
      <c r="BA59" s="45">
        <f t="shared" si="8"/>
        <v>13</v>
      </c>
      <c r="BB59" s="46">
        <f t="shared" si="6"/>
        <v>518</v>
      </c>
      <c r="BC59" s="47">
        <f t="shared" si="7"/>
        <v>0.3552812071</v>
      </c>
      <c r="BD59" s="47"/>
      <c r="BE59" s="47"/>
    </row>
    <row r="60">
      <c r="A60" s="44" t="s">
        <v>175</v>
      </c>
      <c r="B60" s="45">
        <f t="shared" ref="B60:BA60" si="9">COUNTIF(B2:B55,2)</f>
        <v>10</v>
      </c>
      <c r="C60" s="45">
        <f t="shared" si="9"/>
        <v>8</v>
      </c>
      <c r="D60" s="45">
        <f t="shared" si="9"/>
        <v>3</v>
      </c>
      <c r="E60" s="45">
        <f t="shared" si="9"/>
        <v>2</v>
      </c>
      <c r="F60" s="45">
        <f t="shared" si="9"/>
        <v>4</v>
      </c>
      <c r="G60" s="45">
        <f t="shared" si="9"/>
        <v>1</v>
      </c>
      <c r="H60" s="45">
        <f t="shared" si="9"/>
        <v>2</v>
      </c>
      <c r="I60" s="45">
        <f t="shared" si="9"/>
        <v>1</v>
      </c>
      <c r="J60" s="45">
        <f t="shared" si="9"/>
        <v>6</v>
      </c>
      <c r="K60" s="45">
        <f t="shared" si="9"/>
        <v>5</v>
      </c>
      <c r="L60" s="45">
        <f t="shared" si="9"/>
        <v>4</v>
      </c>
      <c r="M60" s="45">
        <f t="shared" si="9"/>
        <v>15</v>
      </c>
      <c r="N60" s="45">
        <f t="shared" si="9"/>
        <v>0</v>
      </c>
      <c r="O60" s="45">
        <f t="shared" si="9"/>
        <v>8</v>
      </c>
      <c r="P60" s="45">
        <f t="shared" si="9"/>
        <v>7</v>
      </c>
      <c r="Q60" s="45">
        <f t="shared" si="9"/>
        <v>3</v>
      </c>
      <c r="R60" s="45">
        <f t="shared" si="9"/>
        <v>3</v>
      </c>
      <c r="S60" s="45">
        <f t="shared" si="9"/>
        <v>4</v>
      </c>
      <c r="T60" s="45">
        <f t="shared" si="9"/>
        <v>2</v>
      </c>
      <c r="U60" s="45">
        <f t="shared" si="9"/>
        <v>8</v>
      </c>
      <c r="V60" s="45">
        <f t="shared" si="9"/>
        <v>1</v>
      </c>
      <c r="W60" s="45">
        <f t="shared" si="9"/>
        <v>1</v>
      </c>
      <c r="X60" s="45">
        <f t="shared" si="9"/>
        <v>1</v>
      </c>
      <c r="Y60" s="45">
        <f t="shared" si="9"/>
        <v>5</v>
      </c>
      <c r="Z60" s="45">
        <f t="shared" si="9"/>
        <v>15</v>
      </c>
      <c r="AA60" s="45">
        <f t="shared" si="9"/>
        <v>9</v>
      </c>
      <c r="AB60" s="45">
        <f t="shared" si="9"/>
        <v>0</v>
      </c>
      <c r="AC60" s="45">
        <f t="shared" si="9"/>
        <v>1</v>
      </c>
      <c r="AD60" s="45">
        <f t="shared" si="9"/>
        <v>2</v>
      </c>
      <c r="AE60" s="45">
        <f t="shared" si="9"/>
        <v>3</v>
      </c>
      <c r="AF60" s="45">
        <f t="shared" si="9"/>
        <v>5</v>
      </c>
      <c r="AG60" s="45">
        <f t="shared" si="9"/>
        <v>4</v>
      </c>
      <c r="AH60" s="45">
        <f t="shared" si="9"/>
        <v>3</v>
      </c>
      <c r="AI60" s="45">
        <f t="shared" si="9"/>
        <v>16</v>
      </c>
      <c r="AJ60" s="45">
        <f t="shared" si="9"/>
        <v>2</v>
      </c>
      <c r="AK60" s="45">
        <f t="shared" si="9"/>
        <v>6</v>
      </c>
      <c r="AL60" s="45">
        <f t="shared" si="9"/>
        <v>2</v>
      </c>
      <c r="AM60" s="45">
        <f t="shared" si="9"/>
        <v>10</v>
      </c>
      <c r="AN60" s="45">
        <f t="shared" si="9"/>
        <v>3</v>
      </c>
      <c r="AO60" s="45">
        <f t="shared" si="9"/>
        <v>10</v>
      </c>
      <c r="AP60" s="45">
        <f t="shared" si="9"/>
        <v>1</v>
      </c>
      <c r="AQ60" s="45">
        <f t="shared" si="9"/>
        <v>1</v>
      </c>
      <c r="AR60" s="45">
        <f t="shared" si="9"/>
        <v>1</v>
      </c>
      <c r="AS60" s="45">
        <f t="shared" si="9"/>
        <v>1</v>
      </c>
      <c r="AT60" s="45">
        <f t="shared" si="9"/>
        <v>24</v>
      </c>
      <c r="AU60" s="45">
        <f t="shared" si="9"/>
        <v>2</v>
      </c>
      <c r="AV60" s="45">
        <f t="shared" si="9"/>
        <v>5</v>
      </c>
      <c r="AW60" s="45">
        <f t="shared" si="9"/>
        <v>2</v>
      </c>
      <c r="AX60" s="45">
        <f t="shared" si="9"/>
        <v>6</v>
      </c>
      <c r="AY60" s="45">
        <f t="shared" si="9"/>
        <v>0</v>
      </c>
      <c r="AZ60" s="45">
        <f t="shared" si="9"/>
        <v>0</v>
      </c>
      <c r="BA60" s="45">
        <f t="shared" si="9"/>
        <v>1</v>
      </c>
      <c r="BB60" s="46">
        <f t="shared" si="6"/>
        <v>120</v>
      </c>
      <c r="BC60" s="47">
        <f t="shared" si="7"/>
        <v>0.08230452675</v>
      </c>
      <c r="BD60" s="47"/>
      <c r="BE60" s="47"/>
    </row>
    <row r="61">
      <c r="A61" s="44" t="s">
        <v>176</v>
      </c>
      <c r="B61" s="45">
        <f t="shared" ref="B61:BA61" si="10">COUNTIF(B2:B55,1)</f>
        <v>1</v>
      </c>
      <c r="C61" s="45">
        <f t="shared" si="10"/>
        <v>1</v>
      </c>
      <c r="D61" s="45">
        <f t="shared" si="10"/>
        <v>1</v>
      </c>
      <c r="E61" s="45">
        <f t="shared" si="10"/>
        <v>1</v>
      </c>
      <c r="F61" s="45">
        <f t="shared" si="10"/>
        <v>1</v>
      </c>
      <c r="G61" s="45">
        <f t="shared" si="10"/>
        <v>1</v>
      </c>
      <c r="H61" s="45">
        <f t="shared" si="10"/>
        <v>2</v>
      </c>
      <c r="I61" s="45">
        <f t="shared" si="10"/>
        <v>2</v>
      </c>
      <c r="J61" s="45">
        <f t="shared" si="10"/>
        <v>2</v>
      </c>
      <c r="K61" s="45">
        <f t="shared" si="10"/>
        <v>2</v>
      </c>
      <c r="L61" s="45">
        <f t="shared" si="10"/>
        <v>1</v>
      </c>
      <c r="M61" s="45">
        <f t="shared" si="10"/>
        <v>6</v>
      </c>
      <c r="N61" s="45">
        <f t="shared" si="10"/>
        <v>2</v>
      </c>
      <c r="O61" s="45">
        <f t="shared" si="10"/>
        <v>2</v>
      </c>
      <c r="P61" s="45">
        <f t="shared" si="10"/>
        <v>1</v>
      </c>
      <c r="Q61" s="45">
        <f t="shared" si="10"/>
        <v>1</v>
      </c>
      <c r="R61" s="45">
        <f t="shared" si="10"/>
        <v>2</v>
      </c>
      <c r="S61" s="45">
        <f t="shared" si="10"/>
        <v>1</v>
      </c>
      <c r="T61" s="45">
        <f t="shared" si="10"/>
        <v>2</v>
      </c>
      <c r="U61" s="45">
        <f t="shared" si="10"/>
        <v>2</v>
      </c>
      <c r="V61" s="45">
        <f t="shared" si="10"/>
        <v>1</v>
      </c>
      <c r="W61" s="45">
        <f t="shared" si="10"/>
        <v>1</v>
      </c>
      <c r="X61" s="45">
        <f t="shared" si="10"/>
        <v>1</v>
      </c>
      <c r="Y61" s="45">
        <f t="shared" si="10"/>
        <v>1</v>
      </c>
      <c r="Z61" s="45">
        <f t="shared" si="10"/>
        <v>4</v>
      </c>
      <c r="AA61" s="45">
        <f t="shared" si="10"/>
        <v>3</v>
      </c>
      <c r="AB61" s="45">
        <f t="shared" si="10"/>
        <v>1</v>
      </c>
      <c r="AC61" s="45">
        <f t="shared" si="10"/>
        <v>3</v>
      </c>
      <c r="AD61" s="45">
        <f t="shared" si="10"/>
        <v>2</v>
      </c>
      <c r="AE61" s="45">
        <f t="shared" si="10"/>
        <v>2</v>
      </c>
      <c r="AF61" s="45">
        <f t="shared" si="10"/>
        <v>1</v>
      </c>
      <c r="AG61" s="45">
        <f t="shared" si="10"/>
        <v>2</v>
      </c>
      <c r="AH61" s="45">
        <f t="shared" si="10"/>
        <v>2</v>
      </c>
      <c r="AI61" s="45">
        <f t="shared" si="10"/>
        <v>3</v>
      </c>
      <c r="AJ61" s="45">
        <f t="shared" si="10"/>
        <v>1</v>
      </c>
      <c r="AK61" s="45">
        <f t="shared" si="10"/>
        <v>3</v>
      </c>
      <c r="AL61" s="45">
        <f t="shared" si="10"/>
        <v>1</v>
      </c>
      <c r="AM61" s="45">
        <f t="shared" si="10"/>
        <v>2</v>
      </c>
      <c r="AN61" s="45">
        <f t="shared" si="10"/>
        <v>1</v>
      </c>
      <c r="AO61" s="45">
        <f t="shared" si="10"/>
        <v>3</v>
      </c>
      <c r="AP61" s="45">
        <f t="shared" si="10"/>
        <v>1</v>
      </c>
      <c r="AQ61" s="45">
        <f t="shared" si="10"/>
        <v>1</v>
      </c>
      <c r="AR61" s="45">
        <f t="shared" si="10"/>
        <v>1</v>
      </c>
      <c r="AS61" s="45">
        <f t="shared" si="10"/>
        <v>2</v>
      </c>
      <c r="AT61" s="45">
        <f t="shared" si="10"/>
        <v>3</v>
      </c>
      <c r="AU61" s="45">
        <f t="shared" si="10"/>
        <v>1</v>
      </c>
      <c r="AV61" s="45">
        <f t="shared" si="10"/>
        <v>2</v>
      </c>
      <c r="AW61" s="45">
        <f t="shared" si="10"/>
        <v>1</v>
      </c>
      <c r="AX61" s="45">
        <f t="shared" si="10"/>
        <v>2</v>
      </c>
      <c r="AY61" s="45">
        <f t="shared" si="10"/>
        <v>1</v>
      </c>
      <c r="AZ61" s="45">
        <f t="shared" si="10"/>
        <v>3</v>
      </c>
      <c r="BA61" s="45">
        <f t="shared" si="10"/>
        <v>1</v>
      </c>
      <c r="BB61" s="46">
        <f t="shared" si="6"/>
        <v>49</v>
      </c>
      <c r="BC61" s="47">
        <f t="shared" si="7"/>
        <v>0.03360768176</v>
      </c>
      <c r="BD61" s="47"/>
      <c r="BE61" s="47"/>
    </row>
    <row r="62">
      <c r="A62" s="48"/>
      <c r="B62" s="1"/>
      <c r="C62" s="1"/>
      <c r="D62" s="1"/>
      <c r="E62" s="1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6">
        <f>SUM(BB57:BB61)</f>
        <v>1458</v>
      </c>
      <c r="BC62" s="47">
        <f t="shared" si="7"/>
        <v>1</v>
      </c>
      <c r="BD62" s="47"/>
      <c r="BE62" s="47"/>
    </row>
    <row r="63">
      <c r="A63" s="48"/>
      <c r="B63" s="1"/>
      <c r="C63" s="1"/>
      <c r="D63" s="1"/>
      <c r="E63" s="1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</row>
    <row r="64">
      <c r="A64" s="50" t="s">
        <v>177</v>
      </c>
      <c r="B64" s="1"/>
      <c r="C64" s="1"/>
      <c r="D64" s="1"/>
      <c r="E64" s="1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</row>
    <row r="65">
      <c r="A65" s="51" t="s">
        <v>178</v>
      </c>
      <c r="B65" s="52">
        <f>AVERAGE(BB3:BB55)</f>
        <v>186.0943396</v>
      </c>
      <c r="C65" s="1"/>
      <c r="D65" s="1"/>
      <c r="E65" s="1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</row>
    <row r="66">
      <c r="A66" s="48"/>
      <c r="B66" s="1"/>
      <c r="C66" s="1"/>
      <c r="D66" s="1"/>
      <c r="E66" s="1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  <c r="AT438" s="49"/>
      <c r="AU438" s="49"/>
      <c r="AV438" s="49"/>
      <c r="AW438" s="49"/>
      <c r="AX438" s="49"/>
      <c r="AY438" s="49"/>
      <c r="AZ438" s="49"/>
      <c r="BA438" s="49"/>
      <c r="BB438" s="49"/>
      <c r="BC438" s="49"/>
      <c r="BD438" s="49"/>
      <c r="BE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  <c r="AT439" s="49"/>
      <c r="AU439" s="49"/>
      <c r="AV439" s="49"/>
      <c r="AW439" s="49"/>
      <c r="AX439" s="49"/>
      <c r="AY439" s="49"/>
      <c r="AZ439" s="49"/>
      <c r="BA439" s="49"/>
      <c r="BB439" s="49"/>
      <c r="BC439" s="49"/>
      <c r="BD439" s="49"/>
      <c r="BE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  <c r="AT440" s="49"/>
      <c r="AU440" s="49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  <c r="AT441" s="49"/>
      <c r="AU441" s="49"/>
      <c r="AV441" s="49"/>
      <c r="AW441" s="49"/>
      <c r="AX441" s="49"/>
      <c r="AY441" s="49"/>
      <c r="AZ441" s="49"/>
      <c r="BA441" s="49"/>
      <c r="BB441" s="49"/>
      <c r="BC441" s="49"/>
      <c r="BD441" s="49"/>
      <c r="BE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  <c r="AT442" s="49"/>
      <c r="AU442" s="49"/>
      <c r="AV442" s="49"/>
      <c r="AW442" s="49"/>
      <c r="AX442" s="49"/>
      <c r="AY442" s="49"/>
      <c r="AZ442" s="49"/>
      <c r="BA442" s="49"/>
      <c r="BB442" s="49"/>
      <c r="BC442" s="49"/>
      <c r="BD442" s="49"/>
      <c r="BE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/>
      <c r="AU443" s="49"/>
      <c r="AV443" s="49"/>
      <c r="AW443" s="49"/>
      <c r="AX443" s="49"/>
      <c r="AY443" s="49"/>
      <c r="AZ443" s="49"/>
      <c r="BA443" s="49"/>
      <c r="BB443" s="49"/>
      <c r="BC443" s="49"/>
      <c r="BD443" s="49"/>
      <c r="BE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  <c r="AT444" s="49"/>
      <c r="AU444" s="49"/>
      <c r="AV444" s="49"/>
      <c r="AW444" s="49"/>
      <c r="AX444" s="49"/>
      <c r="AY444" s="49"/>
      <c r="AZ444" s="49"/>
      <c r="BA444" s="49"/>
      <c r="BB444" s="49"/>
      <c r="BC444" s="49"/>
      <c r="BD444" s="49"/>
      <c r="BE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  <c r="AT445" s="49"/>
      <c r="AU445" s="49"/>
      <c r="AV445" s="49"/>
      <c r="AW445" s="49"/>
      <c r="AX445" s="49"/>
      <c r="AY445" s="49"/>
      <c r="AZ445" s="49"/>
      <c r="BA445" s="49"/>
      <c r="BB445" s="49"/>
      <c r="BC445" s="49"/>
      <c r="BD445" s="49"/>
      <c r="BE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  <c r="AT446" s="49"/>
      <c r="AU446" s="49"/>
      <c r="AV446" s="49"/>
      <c r="AW446" s="49"/>
      <c r="AX446" s="49"/>
      <c r="AY446" s="49"/>
      <c r="AZ446" s="49"/>
      <c r="BA446" s="49"/>
      <c r="BB446" s="49"/>
      <c r="BC446" s="49"/>
      <c r="BD446" s="49"/>
      <c r="BE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  <c r="AT447" s="49"/>
      <c r="AU447" s="49"/>
      <c r="AV447" s="49"/>
      <c r="AW447" s="49"/>
      <c r="AX447" s="49"/>
      <c r="AY447" s="49"/>
      <c r="AZ447" s="49"/>
      <c r="BA447" s="49"/>
      <c r="BB447" s="49"/>
      <c r="BC447" s="49"/>
      <c r="BD447" s="49"/>
      <c r="BE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  <c r="AT448" s="49"/>
      <c r="AU448" s="49"/>
      <c r="AV448" s="49"/>
      <c r="AW448" s="49"/>
      <c r="AX448" s="49"/>
      <c r="AY448" s="49"/>
      <c r="AZ448" s="49"/>
      <c r="BA448" s="49"/>
      <c r="BB448" s="49"/>
      <c r="BC448" s="49"/>
      <c r="BD448" s="49"/>
      <c r="BE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  <c r="AT449" s="49"/>
      <c r="AU449" s="49"/>
      <c r="AV449" s="49"/>
      <c r="AW449" s="49"/>
      <c r="AX449" s="49"/>
      <c r="AY449" s="49"/>
      <c r="AZ449" s="49"/>
      <c r="BA449" s="49"/>
      <c r="BB449" s="49"/>
      <c r="BC449" s="49"/>
      <c r="BD449" s="49"/>
      <c r="BE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  <c r="AT450" s="49"/>
      <c r="AU450" s="49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  <c r="AT451" s="49"/>
      <c r="AU451" s="49"/>
      <c r="AV451" s="49"/>
      <c r="AW451" s="49"/>
      <c r="AX451" s="49"/>
      <c r="AY451" s="49"/>
      <c r="AZ451" s="49"/>
      <c r="BA451" s="49"/>
      <c r="BB451" s="49"/>
      <c r="BC451" s="49"/>
      <c r="BD451" s="49"/>
      <c r="BE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  <c r="AT452" s="49"/>
      <c r="AU452" s="49"/>
      <c r="AV452" s="49"/>
      <c r="AW452" s="49"/>
      <c r="AX452" s="49"/>
      <c r="AY452" s="49"/>
      <c r="AZ452" s="49"/>
      <c r="BA452" s="49"/>
      <c r="BB452" s="49"/>
      <c r="BC452" s="49"/>
      <c r="BD452" s="49"/>
      <c r="BE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  <c r="AT453" s="49"/>
      <c r="AU453" s="49"/>
      <c r="AV453" s="49"/>
      <c r="AW453" s="49"/>
      <c r="AX453" s="49"/>
      <c r="AY453" s="49"/>
      <c r="AZ453" s="49"/>
      <c r="BA453" s="49"/>
      <c r="BB453" s="49"/>
      <c r="BC453" s="49"/>
      <c r="BD453" s="49"/>
      <c r="BE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  <c r="AT454" s="49"/>
      <c r="AU454" s="49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  <c r="AT455" s="49"/>
      <c r="AU455" s="49"/>
      <c r="AV455" s="49"/>
      <c r="AW455" s="49"/>
      <c r="AX455" s="49"/>
      <c r="AY455" s="49"/>
      <c r="AZ455" s="49"/>
      <c r="BA455" s="49"/>
      <c r="BB455" s="49"/>
      <c r="BC455" s="49"/>
      <c r="BD455" s="49"/>
      <c r="BE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  <c r="AT456" s="49"/>
      <c r="AU456" s="49"/>
      <c r="AV456" s="49"/>
      <c r="AW456" s="49"/>
      <c r="AX456" s="49"/>
      <c r="AY456" s="49"/>
      <c r="AZ456" s="49"/>
      <c r="BA456" s="49"/>
      <c r="BB456" s="49"/>
      <c r="BC456" s="49"/>
      <c r="BD456" s="49"/>
      <c r="BE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  <c r="AT457" s="49"/>
      <c r="AU457" s="49"/>
      <c r="AV457" s="49"/>
      <c r="AW457" s="49"/>
      <c r="AX457" s="49"/>
      <c r="AY457" s="49"/>
      <c r="AZ457" s="49"/>
      <c r="BA457" s="49"/>
      <c r="BB457" s="49"/>
      <c r="BC457" s="49"/>
      <c r="BD457" s="49"/>
      <c r="BE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  <c r="AT458" s="49"/>
      <c r="AU458" s="49"/>
      <c r="AV458" s="49"/>
      <c r="AW458" s="49"/>
      <c r="AX458" s="49"/>
      <c r="AY458" s="49"/>
      <c r="AZ458" s="49"/>
      <c r="BA458" s="49"/>
      <c r="BB458" s="49"/>
      <c r="BC458" s="49"/>
      <c r="BD458" s="49"/>
      <c r="BE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  <c r="AT459" s="49"/>
      <c r="AU459" s="49"/>
      <c r="AV459" s="49"/>
      <c r="AW459" s="49"/>
      <c r="AX459" s="49"/>
      <c r="AY459" s="49"/>
      <c r="AZ459" s="49"/>
      <c r="BA459" s="49"/>
      <c r="BB459" s="49"/>
      <c r="BC459" s="49"/>
      <c r="BD459" s="49"/>
      <c r="BE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  <c r="AT460" s="49"/>
      <c r="AU460" s="49"/>
      <c r="AV460" s="49"/>
      <c r="AW460" s="49"/>
      <c r="AX460" s="49"/>
      <c r="AY460" s="49"/>
      <c r="AZ460" s="49"/>
      <c r="BA460" s="49"/>
      <c r="BB460" s="49"/>
      <c r="BC460" s="49"/>
      <c r="BD460" s="49"/>
      <c r="BE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  <c r="AT461" s="49"/>
      <c r="AU461" s="49"/>
      <c r="AV461" s="49"/>
      <c r="AW461" s="49"/>
      <c r="AX461" s="49"/>
      <c r="AY461" s="49"/>
      <c r="AZ461" s="49"/>
      <c r="BA461" s="49"/>
      <c r="BB461" s="49"/>
      <c r="BC461" s="49"/>
      <c r="BD461" s="49"/>
      <c r="BE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/>
      <c r="BB462" s="49"/>
      <c r="BC462" s="49"/>
      <c r="BD462" s="49"/>
      <c r="BE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  <c r="AT464" s="49"/>
      <c r="AU464" s="49"/>
      <c r="AV464" s="49"/>
      <c r="AW464" s="49"/>
      <c r="AX464" s="49"/>
      <c r="AY464" s="49"/>
      <c r="AZ464" s="49"/>
      <c r="BA464" s="49"/>
      <c r="BB464" s="49"/>
      <c r="BC464" s="49"/>
      <c r="BD464" s="49"/>
      <c r="BE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  <c r="AT465" s="49"/>
      <c r="AU465" s="49"/>
      <c r="AV465" s="49"/>
      <c r="AW465" s="49"/>
      <c r="AX465" s="49"/>
      <c r="AY465" s="49"/>
      <c r="AZ465" s="49"/>
      <c r="BA465" s="49"/>
      <c r="BB465" s="49"/>
      <c r="BC465" s="49"/>
      <c r="BD465" s="49"/>
      <c r="BE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  <c r="AT476" s="49"/>
      <c r="AU476" s="49"/>
      <c r="AV476" s="49"/>
      <c r="AW476" s="49"/>
      <c r="AX476" s="49"/>
      <c r="AY476" s="49"/>
      <c r="AZ476" s="49"/>
      <c r="BA476" s="49"/>
      <c r="BB476" s="49"/>
      <c r="BC476" s="49"/>
      <c r="BD476" s="49"/>
      <c r="BE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  <c r="AT477" s="49"/>
      <c r="AU477" s="49"/>
      <c r="AV477" s="49"/>
      <c r="AW477" s="49"/>
      <c r="AX477" s="49"/>
      <c r="AY477" s="49"/>
      <c r="AZ477" s="49"/>
      <c r="BA477" s="49"/>
      <c r="BB477" s="49"/>
      <c r="BC477" s="49"/>
      <c r="BD477" s="49"/>
      <c r="BE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  <c r="AT478" s="49"/>
      <c r="AU478" s="49"/>
      <c r="AV478" s="49"/>
      <c r="AW478" s="49"/>
      <c r="AX478" s="49"/>
      <c r="AY478" s="49"/>
      <c r="AZ478" s="49"/>
      <c r="BA478" s="49"/>
      <c r="BB478" s="49"/>
      <c r="BC478" s="49"/>
      <c r="BD478" s="49"/>
      <c r="BE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  <c r="AT479" s="49"/>
      <c r="AU479" s="49"/>
      <c r="AV479" s="49"/>
      <c r="AW479" s="49"/>
      <c r="AX479" s="49"/>
      <c r="AY479" s="49"/>
      <c r="AZ479" s="49"/>
      <c r="BA479" s="49"/>
      <c r="BB479" s="49"/>
      <c r="BC479" s="49"/>
      <c r="BD479" s="49"/>
      <c r="BE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  <c r="AT480" s="49"/>
      <c r="AU480" s="49"/>
      <c r="AV480" s="49"/>
      <c r="AW480" s="49"/>
      <c r="AX480" s="49"/>
      <c r="AY480" s="49"/>
      <c r="AZ480" s="49"/>
      <c r="BA480" s="49"/>
      <c r="BB480" s="49"/>
      <c r="BC480" s="49"/>
      <c r="BD480" s="49"/>
      <c r="BE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  <c r="AT481" s="49"/>
      <c r="AU481" s="49"/>
      <c r="AV481" s="49"/>
      <c r="AW481" s="49"/>
      <c r="AX481" s="49"/>
      <c r="AY481" s="49"/>
      <c r="AZ481" s="49"/>
      <c r="BA481" s="49"/>
      <c r="BB481" s="49"/>
      <c r="BC481" s="49"/>
      <c r="BD481" s="49"/>
      <c r="BE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  <c r="AT482" s="49"/>
      <c r="AU482" s="49"/>
      <c r="AV482" s="49"/>
      <c r="AW482" s="49"/>
      <c r="AX482" s="49"/>
      <c r="AY482" s="49"/>
      <c r="AZ482" s="49"/>
      <c r="BA482" s="49"/>
      <c r="BB482" s="49"/>
      <c r="BC482" s="49"/>
      <c r="BD482" s="49"/>
      <c r="BE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  <c r="AT483" s="49"/>
      <c r="AU483" s="49"/>
      <c r="AV483" s="49"/>
      <c r="AW483" s="49"/>
      <c r="AX483" s="49"/>
      <c r="AY483" s="49"/>
      <c r="AZ483" s="49"/>
      <c r="BA483" s="49"/>
      <c r="BB483" s="49"/>
      <c r="BC483" s="49"/>
      <c r="BD483" s="49"/>
      <c r="BE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  <c r="AT484" s="49"/>
      <c r="AU484" s="49"/>
      <c r="AV484" s="49"/>
      <c r="AW484" s="49"/>
      <c r="AX484" s="49"/>
      <c r="AY484" s="49"/>
      <c r="AZ484" s="49"/>
      <c r="BA484" s="49"/>
      <c r="BB484" s="49"/>
      <c r="BC484" s="49"/>
      <c r="BD484" s="49"/>
      <c r="BE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  <c r="AT485" s="49"/>
      <c r="AU485" s="49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  <c r="AT486" s="49"/>
      <c r="AU486" s="49"/>
      <c r="AV486" s="49"/>
      <c r="AW486" s="49"/>
      <c r="AX486" s="49"/>
      <c r="AY486" s="49"/>
      <c r="AZ486" s="49"/>
      <c r="BA486" s="49"/>
      <c r="BB486" s="49"/>
      <c r="BC486" s="49"/>
      <c r="BD486" s="49"/>
      <c r="BE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  <c r="AT487" s="49"/>
      <c r="AU487" s="49"/>
      <c r="AV487" s="49"/>
      <c r="AW487" s="49"/>
      <c r="AX487" s="49"/>
      <c r="AY487" s="49"/>
      <c r="AZ487" s="49"/>
      <c r="BA487" s="49"/>
      <c r="BB487" s="49"/>
      <c r="BC487" s="49"/>
      <c r="BD487" s="49"/>
      <c r="BE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  <c r="AT488" s="49"/>
      <c r="AU488" s="49"/>
      <c r="AV488" s="49"/>
      <c r="AW488" s="49"/>
      <c r="AX488" s="49"/>
      <c r="AY488" s="49"/>
      <c r="AZ488" s="49"/>
      <c r="BA488" s="49"/>
      <c r="BB488" s="49"/>
      <c r="BC488" s="49"/>
      <c r="BD488" s="49"/>
      <c r="BE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  <c r="AT489" s="49"/>
      <c r="AU489" s="49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  <c r="AT490" s="49"/>
      <c r="AU490" s="49"/>
      <c r="AV490" s="49"/>
      <c r="AW490" s="49"/>
      <c r="AX490" s="49"/>
      <c r="AY490" s="49"/>
      <c r="AZ490" s="49"/>
      <c r="BA490" s="49"/>
      <c r="BB490" s="49"/>
      <c r="BC490" s="49"/>
      <c r="BD490" s="49"/>
      <c r="BE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  <c r="AT491" s="49"/>
      <c r="AU491" s="49"/>
      <c r="AV491" s="49"/>
      <c r="AW491" s="49"/>
      <c r="AX491" s="49"/>
      <c r="AY491" s="49"/>
      <c r="AZ491" s="49"/>
      <c r="BA491" s="49"/>
      <c r="BB491" s="49"/>
      <c r="BC491" s="49"/>
      <c r="BD491" s="49"/>
      <c r="BE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  <c r="AT492" s="49"/>
      <c r="AU492" s="49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  <c r="AT493" s="49"/>
      <c r="AU493" s="49"/>
      <c r="AV493" s="49"/>
      <c r="AW493" s="49"/>
      <c r="AX493" s="49"/>
      <c r="AY493" s="49"/>
      <c r="AZ493" s="49"/>
      <c r="BA493" s="49"/>
      <c r="BB493" s="49"/>
      <c r="BC493" s="49"/>
      <c r="BD493" s="49"/>
      <c r="BE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  <c r="AT494" s="49"/>
      <c r="AU494" s="49"/>
      <c r="AV494" s="49"/>
      <c r="AW494" s="49"/>
      <c r="AX494" s="49"/>
      <c r="AY494" s="49"/>
      <c r="AZ494" s="49"/>
      <c r="BA494" s="49"/>
      <c r="BB494" s="49"/>
      <c r="BC494" s="49"/>
      <c r="BD494" s="49"/>
      <c r="BE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  <c r="AX495" s="49"/>
      <c r="AY495" s="49"/>
      <c r="AZ495" s="49"/>
      <c r="BA495" s="49"/>
      <c r="BB495" s="49"/>
      <c r="BC495" s="49"/>
      <c r="BD495" s="49"/>
      <c r="BE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  <c r="AT496" s="49"/>
      <c r="AU496" s="49"/>
      <c r="AV496" s="49"/>
      <c r="AW496" s="49"/>
      <c r="AX496" s="49"/>
      <c r="AY496" s="49"/>
      <c r="AZ496" s="49"/>
      <c r="BA496" s="49"/>
      <c r="BB496" s="49"/>
      <c r="BC496" s="49"/>
      <c r="BD496" s="49"/>
      <c r="BE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  <c r="AT497" s="49"/>
      <c r="AU497" s="49"/>
      <c r="AV497" s="49"/>
      <c r="AW497" s="49"/>
      <c r="AX497" s="49"/>
      <c r="AY497" s="49"/>
      <c r="AZ497" s="49"/>
      <c r="BA497" s="49"/>
      <c r="BB497" s="49"/>
      <c r="BC497" s="49"/>
      <c r="BD497" s="49"/>
      <c r="BE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  <c r="AT498" s="49"/>
      <c r="AU498" s="49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  <c r="AT499" s="49"/>
      <c r="AU499" s="49"/>
      <c r="AV499" s="49"/>
      <c r="AW499" s="49"/>
      <c r="AX499" s="49"/>
      <c r="AY499" s="49"/>
      <c r="AZ499" s="49"/>
      <c r="BA499" s="49"/>
      <c r="BB499" s="49"/>
      <c r="BC499" s="49"/>
      <c r="BD499" s="49"/>
      <c r="BE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/>
      <c r="BB502" s="49"/>
      <c r="BC502" s="49"/>
      <c r="BD502" s="49"/>
      <c r="BE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/>
      <c r="BB503" s="49"/>
      <c r="BC503" s="49"/>
      <c r="BD503" s="49"/>
      <c r="BE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  <c r="AT514" s="49"/>
      <c r="AU514" s="49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  <c r="AT515" s="49"/>
      <c r="AU515" s="49"/>
      <c r="AV515" s="49"/>
      <c r="AW515" s="49"/>
      <c r="AX515" s="49"/>
      <c r="AY515" s="49"/>
      <c r="AZ515" s="49"/>
      <c r="BA515" s="49"/>
      <c r="BB515" s="49"/>
      <c r="BC515" s="49"/>
      <c r="BD515" s="49"/>
      <c r="BE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  <c r="AT516" s="49"/>
      <c r="AU516" s="49"/>
      <c r="AV516" s="49"/>
      <c r="AW516" s="49"/>
      <c r="AX516" s="49"/>
      <c r="AY516" s="49"/>
      <c r="AZ516" s="49"/>
      <c r="BA516" s="49"/>
      <c r="BB516" s="49"/>
      <c r="BC516" s="49"/>
      <c r="BD516" s="49"/>
      <c r="BE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  <c r="AT517" s="49"/>
      <c r="AU517" s="49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  <c r="AT518" s="49"/>
      <c r="AU518" s="49"/>
      <c r="AV518" s="49"/>
      <c r="AW518" s="49"/>
      <c r="AX518" s="49"/>
      <c r="AY518" s="49"/>
      <c r="AZ518" s="49"/>
      <c r="BA518" s="49"/>
      <c r="BB518" s="49"/>
      <c r="BC518" s="49"/>
      <c r="BD518" s="49"/>
      <c r="BE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  <c r="AT519" s="49"/>
      <c r="AU519" s="49"/>
      <c r="AV519" s="49"/>
      <c r="AW519" s="49"/>
      <c r="AX519" s="49"/>
      <c r="AY519" s="49"/>
      <c r="AZ519" s="49"/>
      <c r="BA519" s="49"/>
      <c r="BB519" s="49"/>
      <c r="BC519" s="49"/>
      <c r="BD519" s="49"/>
      <c r="BE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  <c r="AT520" s="49"/>
      <c r="AU520" s="49"/>
      <c r="AV520" s="49"/>
      <c r="AW520" s="49"/>
      <c r="AX520" s="49"/>
      <c r="AY520" s="49"/>
      <c r="AZ520" s="49"/>
      <c r="BA520" s="49"/>
      <c r="BB520" s="49"/>
      <c r="BC520" s="49"/>
      <c r="BD520" s="49"/>
      <c r="BE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  <c r="AT521" s="49"/>
      <c r="AU521" s="49"/>
      <c r="AV521" s="49"/>
      <c r="AW521" s="49"/>
      <c r="AX521" s="49"/>
      <c r="AY521" s="49"/>
      <c r="AZ521" s="49"/>
      <c r="BA521" s="49"/>
      <c r="BB521" s="49"/>
      <c r="BC521" s="49"/>
      <c r="BD521" s="49"/>
      <c r="BE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  <c r="AT522" s="49"/>
      <c r="AU522" s="49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  <c r="AT523" s="49"/>
      <c r="AU523" s="49"/>
      <c r="AV523" s="49"/>
      <c r="AW523" s="49"/>
      <c r="AX523" s="49"/>
      <c r="AY523" s="49"/>
      <c r="AZ523" s="49"/>
      <c r="BA523" s="49"/>
      <c r="BB523" s="49"/>
      <c r="BC523" s="49"/>
      <c r="BD523" s="49"/>
      <c r="BE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  <c r="AT524" s="49"/>
      <c r="AU524" s="49"/>
      <c r="AV524" s="49"/>
      <c r="AW524" s="49"/>
      <c r="AX524" s="49"/>
      <c r="AY524" s="49"/>
      <c r="AZ524" s="49"/>
      <c r="BA524" s="49"/>
      <c r="BB524" s="49"/>
      <c r="BC524" s="49"/>
      <c r="BD524" s="49"/>
      <c r="BE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  <c r="AT525" s="49"/>
      <c r="AU525" s="49"/>
      <c r="AV525" s="49"/>
      <c r="AW525" s="49"/>
      <c r="AX525" s="49"/>
      <c r="AY525" s="49"/>
      <c r="AZ525" s="49"/>
      <c r="BA525" s="49"/>
      <c r="BB525" s="49"/>
      <c r="BC525" s="49"/>
      <c r="BD525" s="49"/>
      <c r="BE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  <c r="AT526" s="49"/>
      <c r="AU526" s="49"/>
      <c r="AV526" s="49"/>
      <c r="AW526" s="49"/>
      <c r="AX526" s="49"/>
      <c r="AY526" s="49"/>
      <c r="AZ526" s="49"/>
      <c r="BA526" s="49"/>
      <c r="BB526" s="49"/>
      <c r="BC526" s="49"/>
      <c r="BD526" s="49"/>
      <c r="BE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  <c r="AT527" s="49"/>
      <c r="AU527" s="49"/>
      <c r="AV527" s="49"/>
      <c r="AW527" s="49"/>
      <c r="AX527" s="49"/>
      <c r="AY527" s="49"/>
      <c r="AZ527" s="49"/>
      <c r="BA527" s="49"/>
      <c r="BB527" s="49"/>
      <c r="BC527" s="49"/>
      <c r="BD527" s="49"/>
      <c r="BE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  <c r="AT528" s="49"/>
      <c r="AU528" s="49"/>
      <c r="AV528" s="49"/>
      <c r="AW528" s="49"/>
      <c r="AX528" s="49"/>
      <c r="AY528" s="49"/>
      <c r="AZ528" s="49"/>
      <c r="BA528" s="49"/>
      <c r="BB528" s="49"/>
      <c r="BC528" s="49"/>
      <c r="BD528" s="49"/>
      <c r="BE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  <c r="AT529" s="49"/>
      <c r="AU529" s="49"/>
      <c r="AV529" s="49"/>
      <c r="AW529" s="49"/>
      <c r="AX529" s="49"/>
      <c r="AY529" s="49"/>
      <c r="AZ529" s="49"/>
      <c r="BA529" s="49"/>
      <c r="BB529" s="49"/>
      <c r="BC529" s="49"/>
      <c r="BD529" s="49"/>
      <c r="BE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  <c r="AT530" s="49"/>
      <c r="AU530" s="49"/>
      <c r="AV530" s="49"/>
      <c r="AW530" s="49"/>
      <c r="AX530" s="49"/>
      <c r="AY530" s="49"/>
      <c r="AZ530" s="49"/>
      <c r="BA530" s="49"/>
      <c r="BB530" s="49"/>
      <c r="BC530" s="49"/>
      <c r="BD530" s="49"/>
      <c r="BE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  <c r="AT531" s="49"/>
      <c r="AU531" s="49"/>
      <c r="AV531" s="49"/>
      <c r="AW531" s="49"/>
      <c r="AX531" s="49"/>
      <c r="AY531" s="49"/>
      <c r="AZ531" s="49"/>
      <c r="BA531" s="49"/>
      <c r="BB531" s="49"/>
      <c r="BC531" s="49"/>
      <c r="BD531" s="49"/>
      <c r="BE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  <c r="AT532" s="49"/>
      <c r="AU532" s="49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  <c r="AT533" s="49"/>
      <c r="AU533" s="49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  <c r="AT534" s="49"/>
      <c r="AU534" s="49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  <c r="AT535" s="49"/>
      <c r="AU535" s="49"/>
      <c r="AV535" s="49"/>
      <c r="AW535" s="49"/>
      <c r="AX535" s="49"/>
      <c r="AY535" s="49"/>
      <c r="AZ535" s="49"/>
      <c r="BA535" s="49"/>
      <c r="BB535" s="49"/>
      <c r="BC535" s="49"/>
      <c r="BD535" s="49"/>
      <c r="BE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  <c r="AT536" s="49"/>
      <c r="AU536" s="49"/>
      <c r="AV536" s="49"/>
      <c r="AW536" s="49"/>
      <c r="AX536" s="49"/>
      <c r="AY536" s="49"/>
      <c r="AZ536" s="49"/>
      <c r="BA536" s="49"/>
      <c r="BB536" s="49"/>
      <c r="BC536" s="49"/>
      <c r="BD536" s="49"/>
      <c r="BE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  <c r="AT537" s="49"/>
      <c r="AU537" s="49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/>
      <c r="AX538" s="49"/>
      <c r="AY538" s="49"/>
      <c r="AZ538" s="49"/>
      <c r="BA538" s="49"/>
      <c r="BB538" s="49"/>
      <c r="BC538" s="49"/>
      <c r="BD538" s="49"/>
      <c r="BE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  <c r="BB540" s="49"/>
      <c r="BC540" s="49"/>
      <c r="BD540" s="49"/>
      <c r="BE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  <c r="AT541" s="49"/>
      <c r="AU541" s="49"/>
      <c r="AV541" s="49"/>
      <c r="AW541" s="49"/>
      <c r="AX541" s="49"/>
      <c r="AY541" s="49"/>
      <c r="AZ541" s="49"/>
      <c r="BA541" s="49"/>
      <c r="BB541" s="49"/>
      <c r="BC541" s="49"/>
      <c r="BD541" s="49"/>
      <c r="BE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  <c r="AT552" s="49"/>
      <c r="AU552" s="49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  <c r="AT553" s="49"/>
      <c r="AU553" s="49"/>
      <c r="AV553" s="49"/>
      <c r="AW553" s="49"/>
      <c r="AX553" s="49"/>
      <c r="AY553" s="49"/>
      <c r="AZ553" s="49"/>
      <c r="BA553" s="49"/>
      <c r="BB553" s="49"/>
      <c r="BC553" s="49"/>
      <c r="BD553" s="49"/>
      <c r="BE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  <c r="BB554" s="49"/>
      <c r="BC554" s="49"/>
      <c r="BD554" s="49"/>
      <c r="BE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  <c r="AT555" s="49"/>
      <c r="AU555" s="49"/>
      <c r="AV555" s="49"/>
      <c r="AW555" s="49"/>
      <c r="AX555" s="49"/>
      <c r="AY555" s="49"/>
      <c r="AZ555" s="49"/>
      <c r="BA555" s="49"/>
      <c r="BB555" s="49"/>
      <c r="BC555" s="49"/>
      <c r="BD555" s="49"/>
      <c r="BE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  <c r="AT556" s="49"/>
      <c r="AU556" s="49"/>
      <c r="AV556" s="49"/>
      <c r="AW556" s="49"/>
      <c r="AX556" s="49"/>
      <c r="AY556" s="49"/>
      <c r="AZ556" s="49"/>
      <c r="BA556" s="49"/>
      <c r="BB556" s="49"/>
      <c r="BC556" s="49"/>
      <c r="BD556" s="49"/>
      <c r="BE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  <c r="BB557" s="49"/>
      <c r="BC557" s="49"/>
      <c r="BD557" s="49"/>
      <c r="BE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  <c r="AT558" s="49"/>
      <c r="AU558" s="49"/>
      <c r="AV558" s="49"/>
      <c r="AW558" s="49"/>
      <c r="AX558" s="49"/>
      <c r="AY558" s="49"/>
      <c r="AZ558" s="49"/>
      <c r="BA558" s="49"/>
      <c r="BB558" s="49"/>
      <c r="BC558" s="49"/>
      <c r="BD558" s="49"/>
      <c r="BE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  <c r="AT559" s="49"/>
      <c r="AU559" s="49"/>
      <c r="AV559" s="49"/>
      <c r="AW559" s="49"/>
      <c r="AX559" s="49"/>
      <c r="AY559" s="49"/>
      <c r="AZ559" s="49"/>
      <c r="BA559" s="49"/>
      <c r="BB559" s="49"/>
      <c r="BC559" s="49"/>
      <c r="BD559" s="49"/>
      <c r="BE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  <c r="BB560" s="49"/>
      <c r="BC560" s="49"/>
      <c r="BD560" s="49"/>
      <c r="BE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  <c r="AT561" s="49"/>
      <c r="AU561" s="49"/>
      <c r="AV561" s="49"/>
      <c r="AW561" s="49"/>
      <c r="AX561" s="49"/>
      <c r="AY561" s="49"/>
      <c r="AZ561" s="49"/>
      <c r="BA561" s="49"/>
      <c r="BB561" s="49"/>
      <c r="BC561" s="49"/>
      <c r="BD561" s="49"/>
      <c r="BE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  <c r="AT562" s="49"/>
      <c r="AU562" s="49"/>
      <c r="AV562" s="49"/>
      <c r="AW562" s="49"/>
      <c r="AX562" s="49"/>
      <c r="AY562" s="49"/>
      <c r="AZ562" s="49"/>
      <c r="BA562" s="49"/>
      <c r="BB562" s="49"/>
      <c r="BC562" s="49"/>
      <c r="BD562" s="49"/>
      <c r="BE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  <c r="AT563" s="49"/>
      <c r="AU563" s="49"/>
      <c r="AV563" s="49"/>
      <c r="AW563" s="49"/>
      <c r="AX563" s="49"/>
      <c r="AY563" s="49"/>
      <c r="AZ563" s="49"/>
      <c r="BA563" s="49"/>
      <c r="BB563" s="49"/>
      <c r="BC563" s="49"/>
      <c r="BD563" s="49"/>
      <c r="BE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  <c r="AT564" s="49"/>
      <c r="AU564" s="49"/>
      <c r="AV564" s="49"/>
      <c r="AW564" s="49"/>
      <c r="AX564" s="49"/>
      <c r="AY564" s="49"/>
      <c r="AZ564" s="49"/>
      <c r="BA564" s="49"/>
      <c r="BB564" s="49"/>
      <c r="BC564" s="49"/>
      <c r="BD564" s="49"/>
      <c r="BE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  <c r="AT565" s="49"/>
      <c r="AU565" s="49"/>
      <c r="AV565" s="49"/>
      <c r="AW565" s="49"/>
      <c r="AX565" s="49"/>
      <c r="AY565" s="49"/>
      <c r="AZ565" s="49"/>
      <c r="BA565" s="49"/>
      <c r="BB565" s="49"/>
      <c r="BC565" s="49"/>
      <c r="BD565" s="49"/>
      <c r="BE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  <c r="AT566" s="49"/>
      <c r="AU566" s="49"/>
      <c r="AV566" s="49"/>
      <c r="AW566" s="49"/>
      <c r="AX566" s="49"/>
      <c r="AY566" s="49"/>
      <c r="AZ566" s="49"/>
      <c r="BA566" s="49"/>
      <c r="BB566" s="49"/>
      <c r="BC566" s="49"/>
      <c r="BD566" s="49"/>
      <c r="BE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  <c r="AT567" s="49"/>
      <c r="AU567" s="49"/>
      <c r="AV567" s="49"/>
      <c r="AW567" s="49"/>
      <c r="AX567" s="49"/>
      <c r="AY567" s="49"/>
      <c r="AZ567" s="49"/>
      <c r="BA567" s="49"/>
      <c r="BB567" s="49"/>
      <c r="BC567" s="49"/>
      <c r="BD567" s="49"/>
      <c r="BE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  <c r="AT568" s="49"/>
      <c r="AU568" s="49"/>
      <c r="AV568" s="49"/>
      <c r="AW568" s="49"/>
      <c r="AX568" s="49"/>
      <c r="AY568" s="49"/>
      <c r="AZ568" s="49"/>
      <c r="BA568" s="49"/>
      <c r="BB568" s="49"/>
      <c r="BC568" s="49"/>
      <c r="BD568" s="49"/>
      <c r="BE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  <c r="AT569" s="49"/>
      <c r="AU569" s="49"/>
      <c r="AV569" s="49"/>
      <c r="AW569" s="49"/>
      <c r="AX569" s="49"/>
      <c r="AY569" s="49"/>
      <c r="AZ569" s="49"/>
      <c r="BA569" s="49"/>
      <c r="BB569" s="49"/>
      <c r="BC569" s="49"/>
      <c r="BD569" s="49"/>
      <c r="BE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  <c r="AT570" s="49"/>
      <c r="AU570" s="49"/>
      <c r="AV570" s="49"/>
      <c r="AW570" s="49"/>
      <c r="AX570" s="49"/>
      <c r="AY570" s="49"/>
      <c r="AZ570" s="49"/>
      <c r="BA570" s="49"/>
      <c r="BB570" s="49"/>
      <c r="BC570" s="49"/>
      <c r="BD570" s="49"/>
      <c r="BE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  <c r="AT571" s="49"/>
      <c r="AU571" s="49"/>
      <c r="AV571" s="49"/>
      <c r="AW571" s="49"/>
      <c r="AX571" s="49"/>
      <c r="AY571" s="49"/>
      <c r="AZ571" s="49"/>
      <c r="BA571" s="49"/>
      <c r="BB571" s="49"/>
      <c r="BC571" s="49"/>
      <c r="BD571" s="49"/>
      <c r="BE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  <c r="AT572" s="49"/>
      <c r="AU572" s="49"/>
      <c r="AV572" s="49"/>
      <c r="AW572" s="49"/>
      <c r="AX572" s="49"/>
      <c r="AY572" s="49"/>
      <c r="AZ572" s="49"/>
      <c r="BA572" s="49"/>
      <c r="BB572" s="49"/>
      <c r="BC572" s="49"/>
      <c r="BD572" s="49"/>
      <c r="BE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  <c r="AT573" s="49"/>
      <c r="AU573" s="49"/>
      <c r="AV573" s="49"/>
      <c r="AW573" s="49"/>
      <c r="AX573" s="49"/>
      <c r="AY573" s="49"/>
      <c r="AZ573" s="49"/>
      <c r="BA573" s="49"/>
      <c r="BB573" s="49"/>
      <c r="BC573" s="49"/>
      <c r="BD573" s="49"/>
      <c r="BE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  <c r="AT574" s="49"/>
      <c r="AU574" s="49"/>
      <c r="AV574" s="49"/>
      <c r="AW574" s="49"/>
      <c r="AX574" s="49"/>
      <c r="AY574" s="49"/>
      <c r="AZ574" s="49"/>
      <c r="BA574" s="49"/>
      <c r="BB574" s="49"/>
      <c r="BC574" s="49"/>
      <c r="BD574" s="49"/>
      <c r="BE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  <c r="AT575" s="49"/>
      <c r="AU575" s="49"/>
      <c r="AV575" s="49"/>
      <c r="AW575" s="49"/>
      <c r="AX575" s="49"/>
      <c r="AY575" s="49"/>
      <c r="AZ575" s="49"/>
      <c r="BA575" s="49"/>
      <c r="BB575" s="49"/>
      <c r="BC575" s="49"/>
      <c r="BD575" s="49"/>
      <c r="BE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/>
      <c r="AX576" s="49"/>
      <c r="AY576" s="49"/>
      <c r="AZ576" s="49"/>
      <c r="BA576" s="49"/>
      <c r="BB576" s="49"/>
      <c r="BC576" s="49"/>
      <c r="BD576" s="49"/>
      <c r="BE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  <c r="AT578" s="49"/>
      <c r="AU578" s="49"/>
      <c r="AV578" s="49"/>
      <c r="AW578" s="49"/>
      <c r="AX578" s="49"/>
      <c r="AY578" s="49"/>
      <c r="AZ578" s="49"/>
      <c r="BA578" s="49"/>
      <c r="BB578" s="49"/>
      <c r="BC578" s="49"/>
      <c r="BD578" s="49"/>
      <c r="BE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  <c r="AT579" s="49"/>
      <c r="AU579" s="49"/>
      <c r="AV579" s="49"/>
      <c r="AW579" s="49"/>
      <c r="AX579" s="49"/>
      <c r="AY579" s="49"/>
      <c r="AZ579" s="49"/>
      <c r="BA579" s="49"/>
      <c r="BB579" s="49"/>
      <c r="BC579" s="49"/>
      <c r="BD579" s="49"/>
      <c r="BE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  <c r="AT590" s="49"/>
      <c r="AU590" s="49"/>
      <c r="AV590" s="49"/>
      <c r="AW590" s="49"/>
      <c r="AX590" s="49"/>
      <c r="AY590" s="49"/>
      <c r="AZ590" s="49"/>
      <c r="BA590" s="49"/>
      <c r="BB590" s="49"/>
      <c r="BC590" s="49"/>
      <c r="BD590" s="49"/>
      <c r="BE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/>
      <c r="BB591" s="49"/>
      <c r="BC591" s="49"/>
      <c r="BD591" s="49"/>
      <c r="BE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  <c r="BB592" s="49"/>
      <c r="BC592" s="49"/>
      <c r="BD592" s="49"/>
      <c r="BE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  <c r="AT593" s="49"/>
      <c r="AU593" s="49"/>
      <c r="AV593" s="49"/>
      <c r="AW593" s="49"/>
      <c r="AX593" s="49"/>
      <c r="AY593" s="49"/>
      <c r="AZ593" s="49"/>
      <c r="BA593" s="49"/>
      <c r="BB593" s="49"/>
      <c r="BC593" s="49"/>
      <c r="BD593" s="49"/>
      <c r="BE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  <c r="AT594" s="49"/>
      <c r="AU594" s="49"/>
      <c r="AV594" s="49"/>
      <c r="AW594" s="49"/>
      <c r="AX594" s="49"/>
      <c r="AY594" s="49"/>
      <c r="AZ594" s="49"/>
      <c r="BA594" s="49"/>
      <c r="BB594" s="49"/>
      <c r="BC594" s="49"/>
      <c r="BD594" s="49"/>
      <c r="BE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  <c r="AT595" s="49"/>
      <c r="AU595" s="49"/>
      <c r="AV595" s="49"/>
      <c r="AW595" s="49"/>
      <c r="AX595" s="49"/>
      <c r="AY595" s="49"/>
      <c r="AZ595" s="49"/>
      <c r="BA595" s="49"/>
      <c r="BB595" s="49"/>
      <c r="BC595" s="49"/>
      <c r="BD595" s="49"/>
      <c r="BE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  <c r="BB596" s="49"/>
      <c r="BC596" s="49"/>
      <c r="BD596" s="49"/>
      <c r="BE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  <c r="AT597" s="49"/>
      <c r="AU597" s="49"/>
      <c r="AV597" s="49"/>
      <c r="AW597" s="49"/>
      <c r="AX597" s="49"/>
      <c r="AY597" s="49"/>
      <c r="AZ597" s="49"/>
      <c r="BA597" s="49"/>
      <c r="BB597" s="49"/>
      <c r="BC597" s="49"/>
      <c r="BD597" s="49"/>
      <c r="BE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  <c r="AT598" s="49"/>
      <c r="AU598" s="49"/>
      <c r="AV598" s="49"/>
      <c r="AW598" s="49"/>
      <c r="AX598" s="49"/>
      <c r="AY598" s="49"/>
      <c r="AZ598" s="49"/>
      <c r="BA598" s="49"/>
      <c r="BB598" s="49"/>
      <c r="BC598" s="49"/>
      <c r="BD598" s="49"/>
      <c r="BE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  <c r="AT599" s="49"/>
      <c r="AU599" s="49"/>
      <c r="AV599" s="49"/>
      <c r="AW599" s="49"/>
      <c r="AX599" s="49"/>
      <c r="AY599" s="49"/>
      <c r="AZ599" s="49"/>
      <c r="BA599" s="49"/>
      <c r="BB599" s="49"/>
      <c r="BC599" s="49"/>
      <c r="BD599" s="49"/>
      <c r="BE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  <c r="BB600" s="49"/>
      <c r="BC600" s="49"/>
      <c r="BD600" s="49"/>
      <c r="BE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  <c r="AT601" s="49"/>
      <c r="AU601" s="49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  <c r="AT602" s="49"/>
      <c r="AU602" s="49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  <c r="AT603" s="49"/>
      <c r="AU603" s="49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  <c r="BB604" s="49"/>
      <c r="BC604" s="49"/>
      <c r="BD604" s="49"/>
      <c r="BE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  <c r="AT605" s="49"/>
      <c r="AU605" s="49"/>
      <c r="AV605" s="49"/>
      <c r="AW605" s="49"/>
      <c r="AX605" s="49"/>
      <c r="AY605" s="49"/>
      <c r="AZ605" s="49"/>
      <c r="BA605" s="49"/>
      <c r="BB605" s="49"/>
      <c r="BC605" s="49"/>
      <c r="BD605" s="49"/>
      <c r="BE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  <c r="AT606" s="49"/>
      <c r="AU606" s="49"/>
      <c r="AV606" s="49"/>
      <c r="AW606" s="49"/>
      <c r="AX606" s="49"/>
      <c r="AY606" s="49"/>
      <c r="AZ606" s="49"/>
      <c r="BA606" s="49"/>
      <c r="BB606" s="49"/>
      <c r="BC606" s="49"/>
      <c r="BD606" s="49"/>
      <c r="BE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  <c r="AT607" s="49"/>
      <c r="AU607" s="49"/>
      <c r="AV607" s="49"/>
      <c r="AW607" s="49"/>
      <c r="AX607" s="49"/>
      <c r="AY607" s="49"/>
      <c r="AZ607" s="49"/>
      <c r="BA607" s="49"/>
      <c r="BB607" s="49"/>
      <c r="BC607" s="49"/>
      <c r="BD607" s="49"/>
      <c r="BE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  <c r="BB608" s="49"/>
      <c r="BC608" s="49"/>
      <c r="BD608" s="49"/>
      <c r="BE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  <c r="AT609" s="49"/>
      <c r="AU609" s="49"/>
      <c r="AV609" s="49"/>
      <c r="AW609" s="49"/>
      <c r="AX609" s="49"/>
      <c r="AY609" s="49"/>
      <c r="AZ609" s="49"/>
      <c r="BA609" s="49"/>
      <c r="BB609" s="49"/>
      <c r="BC609" s="49"/>
      <c r="BD609" s="49"/>
      <c r="BE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  <c r="AT610" s="49"/>
      <c r="AU610" s="49"/>
      <c r="AV610" s="49"/>
      <c r="AW610" s="49"/>
      <c r="AX610" s="49"/>
      <c r="AY610" s="49"/>
      <c r="AZ610" s="49"/>
      <c r="BA610" s="49"/>
      <c r="BB610" s="49"/>
      <c r="BC610" s="49"/>
      <c r="BD610" s="49"/>
      <c r="BE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  <c r="AT611" s="49"/>
      <c r="AU611" s="49"/>
      <c r="AV611" s="49"/>
      <c r="AW611" s="49"/>
      <c r="AX611" s="49"/>
      <c r="AY611" s="49"/>
      <c r="AZ611" s="49"/>
      <c r="BA611" s="49"/>
      <c r="BB611" s="49"/>
      <c r="BC611" s="49"/>
      <c r="BD611" s="49"/>
      <c r="BE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  <c r="AT613" s="49"/>
      <c r="AU613" s="49"/>
      <c r="AV613" s="49"/>
      <c r="AW613" s="49"/>
      <c r="AX613" s="49"/>
      <c r="AY613" s="49"/>
      <c r="AZ613" s="49"/>
      <c r="BA613" s="49"/>
      <c r="BB613" s="49"/>
      <c r="BC613" s="49"/>
      <c r="BD613" s="49"/>
      <c r="BE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/>
      <c r="AX614" s="49"/>
      <c r="AY614" s="49"/>
      <c r="AZ614" s="49"/>
      <c r="BA614" s="49"/>
      <c r="BB614" s="49"/>
      <c r="BC614" s="49"/>
      <c r="BD614" s="49"/>
      <c r="BE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  <c r="BB616" s="49"/>
      <c r="BC616" s="49"/>
      <c r="BD616" s="49"/>
      <c r="BE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  <c r="AT617" s="49"/>
      <c r="AU617" s="49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  <c r="AT628" s="49"/>
      <c r="AU628" s="49"/>
      <c r="AV628" s="49"/>
      <c r="AW628" s="49"/>
      <c r="AX628" s="49"/>
      <c r="AY628" s="49"/>
      <c r="AZ628" s="49"/>
      <c r="BA628" s="49"/>
      <c r="BB628" s="49"/>
      <c r="BC628" s="49"/>
      <c r="BD628" s="49"/>
      <c r="BE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  <c r="AT629" s="49"/>
      <c r="AU629" s="49"/>
      <c r="AV629" s="49"/>
      <c r="AW629" s="49"/>
      <c r="AX629" s="49"/>
      <c r="AY629" s="49"/>
      <c r="AZ629" s="49"/>
      <c r="BA629" s="49"/>
      <c r="BB629" s="49"/>
      <c r="BC629" s="49"/>
      <c r="BD629" s="49"/>
      <c r="BE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  <c r="AT630" s="49"/>
      <c r="AU630" s="49"/>
      <c r="AV630" s="49"/>
      <c r="AW630" s="49"/>
      <c r="AX630" s="49"/>
      <c r="AY630" s="49"/>
      <c r="AZ630" s="49"/>
      <c r="BA630" s="49"/>
      <c r="BB630" s="49"/>
      <c r="BC630" s="49"/>
      <c r="BD630" s="49"/>
      <c r="BE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  <c r="AT632" s="49"/>
      <c r="AU632" s="49"/>
      <c r="AV632" s="49"/>
      <c r="AW632" s="49"/>
      <c r="AX632" s="49"/>
      <c r="AY632" s="49"/>
      <c r="AZ632" s="49"/>
      <c r="BA632" s="49"/>
      <c r="BB632" s="49"/>
      <c r="BC632" s="49"/>
      <c r="BD632" s="49"/>
      <c r="BE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  <c r="AT633" s="49"/>
      <c r="AU633" s="49"/>
      <c r="AV633" s="49"/>
      <c r="AW633" s="49"/>
      <c r="AX633" s="49"/>
      <c r="AY633" s="49"/>
      <c r="AZ633" s="49"/>
      <c r="BA633" s="49"/>
      <c r="BB633" s="49"/>
      <c r="BC633" s="49"/>
      <c r="BD633" s="49"/>
      <c r="BE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  <c r="AT635" s="49"/>
      <c r="AU635" s="49"/>
      <c r="AV635" s="49"/>
      <c r="AW635" s="49"/>
      <c r="AX635" s="49"/>
      <c r="AY635" s="49"/>
      <c r="AZ635" s="49"/>
      <c r="BA635" s="49"/>
      <c r="BB635" s="49"/>
      <c r="BC635" s="49"/>
      <c r="BD635" s="49"/>
      <c r="BE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  <c r="AT636" s="49"/>
      <c r="AU636" s="49"/>
      <c r="AV636" s="49"/>
      <c r="AW636" s="49"/>
      <c r="AX636" s="49"/>
      <c r="AY636" s="49"/>
      <c r="AZ636" s="49"/>
      <c r="BA636" s="49"/>
      <c r="BB636" s="49"/>
      <c r="BC636" s="49"/>
      <c r="BD636" s="49"/>
      <c r="BE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  <c r="AT637" s="49"/>
      <c r="AU637" s="49"/>
      <c r="AV637" s="49"/>
      <c r="AW637" s="49"/>
      <c r="AX637" s="49"/>
      <c r="AY637" s="49"/>
      <c r="AZ637" s="49"/>
      <c r="BA637" s="49"/>
      <c r="BB637" s="49"/>
      <c r="BC637" s="49"/>
      <c r="BD637" s="49"/>
      <c r="BE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  <c r="BB638" s="49"/>
      <c r="BC638" s="49"/>
      <c r="BD638" s="49"/>
      <c r="BE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  <c r="AT639" s="49"/>
      <c r="AU639" s="49"/>
      <c r="AV639" s="49"/>
      <c r="AW639" s="49"/>
      <c r="AX639" s="49"/>
      <c r="AY639" s="49"/>
      <c r="AZ639" s="49"/>
      <c r="BA639" s="49"/>
      <c r="BB639" s="49"/>
      <c r="BC639" s="49"/>
      <c r="BD639" s="49"/>
      <c r="BE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  <c r="AT640" s="49"/>
      <c r="AU640" s="49"/>
      <c r="AV640" s="49"/>
      <c r="AW640" s="49"/>
      <c r="AX640" s="49"/>
      <c r="AY640" s="49"/>
      <c r="AZ640" s="49"/>
      <c r="BA640" s="49"/>
      <c r="BB640" s="49"/>
      <c r="BC640" s="49"/>
      <c r="BD640" s="49"/>
      <c r="BE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  <c r="AT641" s="49"/>
      <c r="AU641" s="49"/>
      <c r="AV641" s="49"/>
      <c r="AW641" s="49"/>
      <c r="AX641" s="49"/>
      <c r="AY641" s="49"/>
      <c r="AZ641" s="49"/>
      <c r="BA641" s="49"/>
      <c r="BB641" s="49"/>
      <c r="BC641" s="49"/>
      <c r="BD641" s="49"/>
      <c r="BE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  <c r="BB642" s="49"/>
      <c r="BC642" s="49"/>
      <c r="BD642" s="49"/>
      <c r="BE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  <c r="AT643" s="49"/>
      <c r="AU643" s="49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  <c r="AT644" s="49"/>
      <c r="AU644" s="49"/>
      <c r="AV644" s="49"/>
      <c r="AW644" s="49"/>
      <c r="AX644" s="49"/>
      <c r="AY644" s="49"/>
      <c r="AZ644" s="49"/>
      <c r="BA644" s="49"/>
      <c r="BB644" s="49"/>
      <c r="BC644" s="49"/>
      <c r="BD644" s="49"/>
      <c r="BE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  <c r="AT645" s="49"/>
      <c r="AU645" s="49"/>
      <c r="AV645" s="49"/>
      <c r="AW645" s="49"/>
      <c r="AX645" s="49"/>
      <c r="AY645" s="49"/>
      <c r="AZ645" s="49"/>
      <c r="BA645" s="49"/>
      <c r="BB645" s="49"/>
      <c r="BC645" s="49"/>
      <c r="BD645" s="49"/>
      <c r="BE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  <c r="BB646" s="49"/>
      <c r="BC646" s="49"/>
      <c r="BD646" s="49"/>
      <c r="BE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  <c r="AT647" s="49"/>
      <c r="AU647" s="49"/>
      <c r="AV647" s="49"/>
      <c r="AW647" s="49"/>
      <c r="AX647" s="49"/>
      <c r="AY647" s="49"/>
      <c r="AZ647" s="49"/>
      <c r="BA647" s="49"/>
      <c r="BB647" s="49"/>
      <c r="BC647" s="49"/>
      <c r="BD647" s="49"/>
      <c r="BE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  <c r="AT648" s="49"/>
      <c r="AU648" s="49"/>
      <c r="AV648" s="49"/>
      <c r="AW648" s="49"/>
      <c r="AX648" s="49"/>
      <c r="AY648" s="49"/>
      <c r="AZ648" s="49"/>
      <c r="BA648" s="49"/>
      <c r="BB648" s="49"/>
      <c r="BC648" s="49"/>
      <c r="BD648" s="49"/>
      <c r="BE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  <c r="AT649" s="49"/>
      <c r="AU649" s="49"/>
      <c r="AV649" s="49"/>
      <c r="AW649" s="49"/>
      <c r="AX649" s="49"/>
      <c r="AY649" s="49"/>
      <c r="AZ649" s="49"/>
      <c r="BA649" s="49"/>
      <c r="BB649" s="49"/>
      <c r="BC649" s="49"/>
      <c r="BD649" s="49"/>
      <c r="BE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  <c r="BB650" s="49"/>
      <c r="BC650" s="49"/>
      <c r="BD650" s="49"/>
      <c r="BE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  <c r="AT651" s="49"/>
      <c r="AU651" s="49"/>
      <c r="AV651" s="49"/>
      <c r="AW651" s="49"/>
      <c r="AX651" s="49"/>
      <c r="AY651" s="49"/>
      <c r="AZ651" s="49"/>
      <c r="BA651" s="49"/>
      <c r="BB651" s="49"/>
      <c r="BC651" s="49"/>
      <c r="BD651" s="49"/>
      <c r="BE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/>
      <c r="AX652" s="49"/>
      <c r="AY652" s="49"/>
      <c r="AZ652" s="49"/>
      <c r="BA652" s="49"/>
      <c r="BB652" s="49"/>
      <c r="BC652" s="49"/>
      <c r="BD652" s="49"/>
      <c r="BE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  <c r="BB654" s="49"/>
      <c r="BC654" s="49"/>
      <c r="BD654" s="49"/>
      <c r="BE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  <c r="AT655" s="49"/>
      <c r="AU655" s="49"/>
      <c r="AV655" s="49"/>
      <c r="AW655" s="49"/>
      <c r="AX655" s="49"/>
      <c r="AY655" s="49"/>
      <c r="AZ655" s="49"/>
      <c r="BA655" s="49"/>
      <c r="BB655" s="49"/>
      <c r="BC655" s="49"/>
      <c r="BD655" s="49"/>
      <c r="BE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  <c r="AT666" s="49"/>
      <c r="AU666" s="49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  <c r="AT667" s="49"/>
      <c r="AU667" s="49"/>
      <c r="AV667" s="49"/>
      <c r="AW667" s="49"/>
      <c r="AX667" s="49"/>
      <c r="AY667" s="49"/>
      <c r="AZ667" s="49"/>
      <c r="BA667" s="49"/>
      <c r="BB667" s="49"/>
      <c r="BC667" s="49"/>
      <c r="BD667" s="49"/>
      <c r="BE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  <c r="AT668" s="49"/>
      <c r="AU668" s="49"/>
      <c r="AV668" s="49"/>
      <c r="AW668" s="49"/>
      <c r="AX668" s="49"/>
      <c r="AY668" s="49"/>
      <c r="AZ668" s="49"/>
      <c r="BA668" s="49"/>
      <c r="BB668" s="49"/>
      <c r="BC668" s="49"/>
      <c r="BD668" s="49"/>
      <c r="BE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  <c r="AT669" s="49"/>
      <c r="AU669" s="49"/>
      <c r="AV669" s="49"/>
      <c r="AW669" s="49"/>
      <c r="AX669" s="49"/>
      <c r="AY669" s="49"/>
      <c r="AZ669" s="49"/>
      <c r="BA669" s="49"/>
      <c r="BB669" s="49"/>
      <c r="BC669" s="49"/>
      <c r="BD669" s="49"/>
      <c r="BE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  <c r="AT670" s="49"/>
      <c r="AU670" s="49"/>
      <c r="AV670" s="49"/>
      <c r="AW670" s="49"/>
      <c r="AX670" s="49"/>
      <c r="AY670" s="49"/>
      <c r="AZ670" s="49"/>
      <c r="BA670" s="49"/>
      <c r="BB670" s="49"/>
      <c r="BC670" s="49"/>
      <c r="BD670" s="49"/>
      <c r="BE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/>
      <c r="BB671" s="49"/>
      <c r="BC671" s="49"/>
      <c r="BD671" s="49"/>
      <c r="BE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  <c r="AT672" s="49"/>
      <c r="AU672" s="49"/>
      <c r="AV672" s="49"/>
      <c r="AW672" s="49"/>
      <c r="AX672" s="49"/>
      <c r="AY672" s="49"/>
      <c r="AZ672" s="49"/>
      <c r="BA672" s="49"/>
      <c r="BB672" s="49"/>
      <c r="BC672" s="49"/>
      <c r="BD672" s="49"/>
      <c r="BE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  <c r="AT673" s="49"/>
      <c r="AU673" s="49"/>
      <c r="AV673" s="49"/>
      <c r="AW673" s="49"/>
      <c r="AX673" s="49"/>
      <c r="AY673" s="49"/>
      <c r="AZ673" s="49"/>
      <c r="BA673" s="49"/>
      <c r="BB673" s="49"/>
      <c r="BC673" s="49"/>
      <c r="BD673" s="49"/>
      <c r="BE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  <c r="AT674" s="49"/>
      <c r="AU674" s="49"/>
      <c r="AV674" s="49"/>
      <c r="AW674" s="49"/>
      <c r="AX674" s="49"/>
      <c r="AY674" s="49"/>
      <c r="AZ674" s="49"/>
      <c r="BA674" s="49"/>
      <c r="BB674" s="49"/>
      <c r="BC674" s="49"/>
      <c r="BD674" s="49"/>
      <c r="BE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  <c r="AT675" s="49"/>
      <c r="AU675" s="49"/>
      <c r="AV675" s="49"/>
      <c r="AW675" s="49"/>
      <c r="AX675" s="49"/>
      <c r="AY675" s="49"/>
      <c r="AZ675" s="49"/>
      <c r="BA675" s="49"/>
      <c r="BB675" s="49"/>
      <c r="BC675" s="49"/>
      <c r="BD675" s="49"/>
      <c r="BE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  <c r="AT676" s="49"/>
      <c r="AU676" s="49"/>
      <c r="AV676" s="49"/>
      <c r="AW676" s="49"/>
      <c r="AX676" s="49"/>
      <c r="AY676" s="49"/>
      <c r="AZ676" s="49"/>
      <c r="BA676" s="49"/>
      <c r="BB676" s="49"/>
      <c r="BC676" s="49"/>
      <c r="BD676" s="49"/>
      <c r="BE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  <c r="AT677" s="49"/>
      <c r="AU677" s="49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  <c r="AT678" s="49"/>
      <c r="AU678" s="49"/>
      <c r="AV678" s="49"/>
      <c r="AW678" s="49"/>
      <c r="AX678" s="49"/>
      <c r="AY678" s="49"/>
      <c r="AZ678" s="49"/>
      <c r="BA678" s="49"/>
      <c r="BB678" s="49"/>
      <c r="BC678" s="49"/>
      <c r="BD678" s="49"/>
      <c r="BE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  <c r="AT679" s="49"/>
      <c r="AU679" s="49"/>
      <c r="AV679" s="49"/>
      <c r="AW679" s="49"/>
      <c r="AX679" s="49"/>
      <c r="AY679" s="49"/>
      <c r="AZ679" s="49"/>
      <c r="BA679" s="49"/>
      <c r="BB679" s="49"/>
      <c r="BC679" s="49"/>
      <c r="BD679" s="49"/>
      <c r="BE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  <c r="AT680" s="49"/>
      <c r="AU680" s="49"/>
      <c r="AV680" s="49"/>
      <c r="AW680" s="49"/>
      <c r="AX680" s="49"/>
      <c r="AY680" s="49"/>
      <c r="AZ680" s="49"/>
      <c r="BA680" s="49"/>
      <c r="BB680" s="49"/>
      <c r="BC680" s="49"/>
      <c r="BD680" s="49"/>
      <c r="BE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  <c r="AT681" s="49"/>
      <c r="AU681" s="49"/>
      <c r="AV681" s="49"/>
      <c r="AW681" s="49"/>
      <c r="AX681" s="49"/>
      <c r="AY681" s="49"/>
      <c r="AZ681" s="49"/>
      <c r="BA681" s="49"/>
      <c r="BB681" s="49"/>
      <c r="BC681" s="49"/>
      <c r="BD681" s="49"/>
      <c r="BE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  <c r="AT682" s="49"/>
      <c r="AU682" s="49"/>
      <c r="AV682" s="49"/>
      <c r="AW682" s="49"/>
      <c r="AX682" s="49"/>
      <c r="AY682" s="49"/>
      <c r="AZ682" s="49"/>
      <c r="BA682" s="49"/>
      <c r="BB682" s="49"/>
      <c r="BC682" s="49"/>
      <c r="BD682" s="49"/>
      <c r="BE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  <c r="AT683" s="49"/>
      <c r="AU683" s="49"/>
      <c r="AV683" s="49"/>
      <c r="AW683" s="49"/>
      <c r="AX683" s="49"/>
      <c r="AY683" s="49"/>
      <c r="AZ683" s="49"/>
      <c r="BA683" s="49"/>
      <c r="BB683" s="49"/>
      <c r="BC683" s="49"/>
      <c r="BD683" s="49"/>
      <c r="BE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  <c r="AT684" s="49"/>
      <c r="AU684" s="49"/>
      <c r="AV684" s="49"/>
      <c r="AW684" s="49"/>
      <c r="AX684" s="49"/>
      <c r="AY684" s="49"/>
      <c r="AZ684" s="49"/>
      <c r="BA684" s="49"/>
      <c r="BB684" s="49"/>
      <c r="BC684" s="49"/>
      <c r="BD684" s="49"/>
      <c r="BE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  <c r="AT685" s="49"/>
      <c r="AU685" s="49"/>
      <c r="AV685" s="49"/>
      <c r="AW685" s="49"/>
      <c r="AX685" s="49"/>
      <c r="AY685" s="49"/>
      <c r="AZ685" s="49"/>
      <c r="BA685" s="49"/>
      <c r="BB685" s="49"/>
      <c r="BC685" s="49"/>
      <c r="BD685" s="49"/>
      <c r="BE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  <c r="AT686" s="49"/>
      <c r="AU686" s="49"/>
      <c r="AV686" s="49"/>
      <c r="AW686" s="49"/>
      <c r="AX686" s="49"/>
      <c r="AY686" s="49"/>
      <c r="AZ686" s="49"/>
      <c r="BA686" s="49"/>
      <c r="BB686" s="49"/>
      <c r="BC686" s="49"/>
      <c r="BD686" s="49"/>
      <c r="BE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  <c r="AT687" s="49"/>
      <c r="AU687" s="49"/>
      <c r="AV687" s="49"/>
      <c r="AW687" s="49"/>
      <c r="AX687" s="49"/>
      <c r="AY687" s="49"/>
      <c r="AZ687" s="49"/>
      <c r="BA687" s="49"/>
      <c r="BB687" s="49"/>
      <c r="BC687" s="49"/>
      <c r="BD687" s="49"/>
      <c r="BE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  <c r="AT688" s="49"/>
      <c r="AU688" s="49"/>
      <c r="AV688" s="49"/>
      <c r="AW688" s="49"/>
      <c r="AX688" s="49"/>
      <c r="AY688" s="49"/>
      <c r="AZ688" s="49"/>
      <c r="BA688" s="49"/>
      <c r="BB688" s="49"/>
      <c r="BC688" s="49"/>
      <c r="BD688" s="49"/>
      <c r="BE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  <c r="AT689" s="49"/>
      <c r="AU689" s="49"/>
      <c r="AV689" s="49"/>
      <c r="AW689" s="49"/>
      <c r="AX689" s="49"/>
      <c r="AY689" s="49"/>
      <c r="AZ689" s="49"/>
      <c r="BA689" s="49"/>
      <c r="BB689" s="49"/>
      <c r="BC689" s="49"/>
      <c r="BD689" s="49"/>
      <c r="BE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/>
      <c r="AX690" s="49"/>
      <c r="AY690" s="49"/>
      <c r="AZ690" s="49"/>
      <c r="BA690" s="49"/>
      <c r="BB690" s="49"/>
      <c r="BC690" s="49"/>
      <c r="BD690" s="49"/>
      <c r="BE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  <c r="AT692" s="49"/>
      <c r="AU692" s="49"/>
      <c r="AV692" s="49"/>
      <c r="AW692" s="49"/>
      <c r="AX692" s="49"/>
      <c r="AY692" s="49"/>
      <c r="AZ692" s="49"/>
      <c r="BA692" s="49"/>
      <c r="BB692" s="49"/>
      <c r="BC692" s="49"/>
      <c r="BD692" s="49"/>
      <c r="BE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  <c r="AT693" s="49"/>
      <c r="AU693" s="49"/>
      <c r="AV693" s="49"/>
      <c r="AW693" s="49"/>
      <c r="AX693" s="49"/>
      <c r="AY693" s="49"/>
      <c r="AZ693" s="49"/>
      <c r="BA693" s="49"/>
      <c r="BB693" s="49"/>
      <c r="BC693" s="49"/>
      <c r="BD693" s="49"/>
      <c r="BE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  <c r="AT704" s="49"/>
      <c r="AU704" s="49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  <c r="AT705" s="49"/>
      <c r="AU705" s="49"/>
      <c r="AV705" s="49"/>
      <c r="AW705" s="49"/>
      <c r="AX705" s="49"/>
      <c r="AY705" s="49"/>
      <c r="AZ705" s="49"/>
      <c r="BA705" s="49"/>
      <c r="BB705" s="49"/>
      <c r="BC705" s="49"/>
      <c r="BD705" s="49"/>
      <c r="BE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  <c r="AT706" s="49"/>
      <c r="AU706" s="49"/>
      <c r="AV706" s="49"/>
      <c r="AW706" s="49"/>
      <c r="AX706" s="49"/>
      <c r="AY706" s="49"/>
      <c r="AZ706" s="49"/>
      <c r="BA706" s="49"/>
      <c r="BB706" s="49"/>
      <c r="BC706" s="49"/>
      <c r="BD706" s="49"/>
      <c r="BE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  <c r="AT707" s="49"/>
      <c r="AU707" s="49"/>
      <c r="AV707" s="49"/>
      <c r="AW707" s="49"/>
      <c r="AX707" s="49"/>
      <c r="AY707" s="49"/>
      <c r="AZ707" s="49"/>
      <c r="BA707" s="49"/>
      <c r="BB707" s="49"/>
      <c r="BC707" s="49"/>
      <c r="BD707" s="49"/>
      <c r="BE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  <c r="AT708" s="49"/>
      <c r="AU708" s="49"/>
      <c r="AV708" s="49"/>
      <c r="AW708" s="49"/>
      <c r="AX708" s="49"/>
      <c r="AY708" s="49"/>
      <c r="AZ708" s="49"/>
      <c r="BA708" s="49"/>
      <c r="BB708" s="49"/>
      <c r="BC708" s="49"/>
      <c r="BD708" s="49"/>
      <c r="BE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  <c r="AT709" s="49"/>
      <c r="AU709" s="49"/>
      <c r="AV709" s="49"/>
      <c r="AW709" s="49"/>
      <c r="AX709" s="49"/>
      <c r="AY709" s="49"/>
      <c r="AZ709" s="49"/>
      <c r="BA709" s="49"/>
      <c r="BB709" s="49"/>
      <c r="BC709" s="49"/>
      <c r="BD709" s="49"/>
      <c r="BE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  <c r="AT710" s="49"/>
      <c r="AU710" s="49"/>
      <c r="AV710" s="49"/>
      <c r="AW710" s="49"/>
      <c r="AX710" s="49"/>
      <c r="AY710" s="49"/>
      <c r="AZ710" s="49"/>
      <c r="BA710" s="49"/>
      <c r="BB710" s="49"/>
      <c r="BC710" s="49"/>
      <c r="BD710" s="49"/>
      <c r="BE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/>
      <c r="BB711" s="49"/>
      <c r="BC711" s="49"/>
      <c r="BD711" s="49"/>
      <c r="BE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  <c r="AT712" s="49"/>
      <c r="AU712" s="49"/>
      <c r="AV712" s="49"/>
      <c r="AW712" s="49"/>
      <c r="AX712" s="49"/>
      <c r="AY712" s="49"/>
      <c r="AZ712" s="49"/>
      <c r="BA712" s="49"/>
      <c r="BB712" s="49"/>
      <c r="BC712" s="49"/>
      <c r="BD712" s="49"/>
      <c r="BE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  <c r="AT713" s="49"/>
      <c r="AU713" s="49"/>
      <c r="AV713" s="49"/>
      <c r="AW713" s="49"/>
      <c r="AX713" s="49"/>
      <c r="AY713" s="49"/>
      <c r="AZ713" s="49"/>
      <c r="BA713" s="49"/>
      <c r="BB713" s="49"/>
      <c r="BC713" s="49"/>
      <c r="BD713" s="49"/>
      <c r="BE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  <c r="AT714" s="49"/>
      <c r="AU714" s="49"/>
      <c r="AV714" s="49"/>
      <c r="AW714" s="49"/>
      <c r="AX714" s="49"/>
      <c r="AY714" s="49"/>
      <c r="AZ714" s="49"/>
      <c r="BA714" s="49"/>
      <c r="BB714" s="49"/>
      <c r="BC714" s="49"/>
      <c r="BD714" s="49"/>
      <c r="BE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  <c r="AT715" s="49"/>
      <c r="AU715" s="49"/>
      <c r="AV715" s="49"/>
      <c r="AW715" s="49"/>
      <c r="AX715" s="49"/>
      <c r="AY715" s="49"/>
      <c r="AZ715" s="49"/>
      <c r="BA715" s="49"/>
      <c r="BB715" s="49"/>
      <c r="BC715" s="49"/>
      <c r="BD715" s="49"/>
      <c r="BE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  <c r="AT716" s="49"/>
      <c r="AU716" s="49"/>
      <c r="AV716" s="49"/>
      <c r="AW716" s="49"/>
      <c r="AX716" s="49"/>
      <c r="AY716" s="49"/>
      <c r="AZ716" s="49"/>
      <c r="BA716" s="49"/>
      <c r="BB716" s="49"/>
      <c r="BC716" s="49"/>
      <c r="BD716" s="49"/>
      <c r="BE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  <c r="AT717" s="49"/>
      <c r="AU717" s="49"/>
      <c r="AV717" s="49"/>
      <c r="AW717" s="49"/>
      <c r="AX717" s="49"/>
      <c r="AY717" s="49"/>
      <c r="AZ717" s="49"/>
      <c r="BA717" s="49"/>
      <c r="BB717" s="49"/>
      <c r="BC717" s="49"/>
      <c r="BD717" s="49"/>
      <c r="BE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/>
      <c r="AU718" s="49"/>
      <c r="AV718" s="49"/>
      <c r="AW718" s="49"/>
      <c r="AX718" s="49"/>
      <c r="AY718" s="49"/>
      <c r="AZ718" s="49"/>
      <c r="BA718" s="49"/>
      <c r="BB718" s="49"/>
      <c r="BC718" s="49"/>
      <c r="BD718" s="49"/>
      <c r="BE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  <c r="AT719" s="49"/>
      <c r="AU719" s="49"/>
      <c r="AV719" s="49"/>
      <c r="AW719" s="49"/>
      <c r="AX719" s="49"/>
      <c r="AY719" s="49"/>
      <c r="AZ719" s="49"/>
      <c r="BA719" s="49"/>
      <c r="BB719" s="49"/>
      <c r="BC719" s="49"/>
      <c r="BD719" s="49"/>
      <c r="BE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  <c r="AT720" s="49"/>
      <c r="AU720" s="49"/>
      <c r="AV720" s="49"/>
      <c r="AW720" s="49"/>
      <c r="AX720" s="49"/>
      <c r="AY720" s="49"/>
      <c r="AZ720" s="49"/>
      <c r="BA720" s="49"/>
      <c r="BB720" s="49"/>
      <c r="BC720" s="49"/>
      <c r="BD720" s="49"/>
      <c r="BE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  <c r="AT721" s="49"/>
      <c r="AU721" s="49"/>
      <c r="AV721" s="49"/>
      <c r="AW721" s="49"/>
      <c r="AX721" s="49"/>
      <c r="AY721" s="49"/>
      <c r="AZ721" s="49"/>
      <c r="BA721" s="49"/>
      <c r="BB721" s="49"/>
      <c r="BC721" s="49"/>
      <c r="BD721" s="49"/>
      <c r="BE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  <c r="AT722" s="49"/>
      <c r="AU722" s="49"/>
      <c r="AV722" s="49"/>
      <c r="AW722" s="49"/>
      <c r="AX722" s="49"/>
      <c r="AY722" s="49"/>
      <c r="AZ722" s="49"/>
      <c r="BA722" s="49"/>
      <c r="BB722" s="49"/>
      <c r="BC722" s="49"/>
      <c r="BD722" s="49"/>
      <c r="BE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  <c r="AT723" s="49"/>
      <c r="AU723" s="49"/>
      <c r="AV723" s="49"/>
      <c r="AW723" s="49"/>
      <c r="AX723" s="49"/>
      <c r="AY723" s="49"/>
      <c r="AZ723" s="49"/>
      <c r="BA723" s="49"/>
      <c r="BB723" s="49"/>
      <c r="BC723" s="49"/>
      <c r="BD723" s="49"/>
      <c r="BE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  <c r="AT724" s="49"/>
      <c r="AU724" s="49"/>
      <c r="AV724" s="49"/>
      <c r="AW724" s="49"/>
      <c r="AX724" s="49"/>
      <c r="AY724" s="49"/>
      <c r="AZ724" s="49"/>
      <c r="BA724" s="49"/>
      <c r="BB724" s="49"/>
      <c r="BC724" s="49"/>
      <c r="BD724" s="49"/>
      <c r="BE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  <c r="AT725" s="49"/>
      <c r="AU725" s="49"/>
      <c r="AV725" s="49"/>
      <c r="AW725" s="49"/>
      <c r="AX725" s="49"/>
      <c r="AY725" s="49"/>
      <c r="AZ725" s="49"/>
      <c r="BA725" s="49"/>
      <c r="BB725" s="49"/>
      <c r="BC725" s="49"/>
      <c r="BD725" s="49"/>
      <c r="BE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  <c r="AT726" s="49"/>
      <c r="AU726" s="49"/>
      <c r="AV726" s="49"/>
      <c r="AW726" s="49"/>
      <c r="AX726" s="49"/>
      <c r="AY726" s="49"/>
      <c r="AZ726" s="49"/>
      <c r="BA726" s="49"/>
      <c r="BB726" s="49"/>
      <c r="BC726" s="49"/>
      <c r="BD726" s="49"/>
      <c r="BE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  <c r="AT727" s="49"/>
      <c r="AU727" s="49"/>
      <c r="AV727" s="49"/>
      <c r="AW727" s="49"/>
      <c r="AX727" s="49"/>
      <c r="AY727" s="49"/>
      <c r="AZ727" s="49"/>
      <c r="BA727" s="49"/>
      <c r="BB727" s="49"/>
      <c r="BC727" s="49"/>
      <c r="BD727" s="49"/>
      <c r="BE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/>
      <c r="AX728" s="49"/>
      <c r="AY728" s="49"/>
      <c r="AZ728" s="49"/>
      <c r="BA728" s="49"/>
      <c r="BB728" s="49"/>
      <c r="BC728" s="49"/>
      <c r="BD728" s="49"/>
      <c r="BE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  <c r="AT730" s="49"/>
      <c r="AU730" s="49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  <c r="AT731" s="49"/>
      <c r="AU731" s="49"/>
      <c r="AV731" s="49"/>
      <c r="AW731" s="49"/>
      <c r="AX731" s="49"/>
      <c r="AY731" s="49"/>
      <c r="AZ731" s="49"/>
      <c r="BA731" s="49"/>
      <c r="BB731" s="49"/>
      <c r="BC731" s="49"/>
      <c r="BD731" s="49"/>
      <c r="BE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/>
      <c r="BB742" s="49"/>
      <c r="BC742" s="49"/>
      <c r="BD742" s="49"/>
      <c r="BE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  <c r="AT744" s="49"/>
      <c r="AU744" s="49"/>
      <c r="AV744" s="49"/>
      <c r="AW744" s="49"/>
      <c r="AX744" s="49"/>
      <c r="AY744" s="49"/>
      <c r="AZ744" s="49"/>
      <c r="BA744" s="49"/>
      <c r="BB744" s="49"/>
      <c r="BC744" s="49"/>
      <c r="BD744" s="49"/>
      <c r="BE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  <c r="AT745" s="49"/>
      <c r="AU745" s="49"/>
      <c r="AV745" s="49"/>
      <c r="AW745" s="49"/>
      <c r="AX745" s="49"/>
      <c r="AY745" s="49"/>
      <c r="AZ745" s="49"/>
      <c r="BA745" s="49"/>
      <c r="BB745" s="49"/>
      <c r="BC745" s="49"/>
      <c r="BD745" s="49"/>
      <c r="BE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  <c r="AT746" s="49"/>
      <c r="AU746" s="49"/>
      <c r="AV746" s="49"/>
      <c r="AW746" s="49"/>
      <c r="AX746" s="49"/>
      <c r="AY746" s="49"/>
      <c r="AZ746" s="49"/>
      <c r="BA746" s="49"/>
      <c r="BB746" s="49"/>
      <c r="BC746" s="49"/>
      <c r="BD746" s="49"/>
      <c r="BE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  <c r="AT747" s="49"/>
      <c r="AU747" s="49"/>
      <c r="AV747" s="49"/>
      <c r="AW747" s="49"/>
      <c r="AX747" s="49"/>
      <c r="AY747" s="49"/>
      <c r="AZ747" s="49"/>
      <c r="BA747" s="49"/>
      <c r="BB747" s="49"/>
      <c r="BC747" s="49"/>
      <c r="BD747" s="49"/>
      <c r="BE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  <c r="AT748" s="49"/>
      <c r="AU748" s="49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  <c r="AT749" s="49"/>
      <c r="AU749" s="49"/>
      <c r="AV749" s="49"/>
      <c r="AW749" s="49"/>
      <c r="AX749" s="49"/>
      <c r="AY749" s="49"/>
      <c r="AZ749" s="49"/>
      <c r="BA749" s="49"/>
      <c r="BB749" s="49"/>
      <c r="BC749" s="49"/>
      <c r="BD749" s="49"/>
      <c r="BE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  <c r="AT750" s="49"/>
      <c r="AU750" s="49"/>
      <c r="AV750" s="49"/>
      <c r="AW750" s="49"/>
      <c r="AX750" s="49"/>
      <c r="AY750" s="49"/>
      <c r="AZ750" s="49"/>
      <c r="BA750" s="49"/>
      <c r="BB750" s="49"/>
      <c r="BC750" s="49"/>
      <c r="BD750" s="49"/>
      <c r="BE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/>
      <c r="BB751" s="49"/>
      <c r="BC751" s="49"/>
      <c r="BD751" s="49"/>
      <c r="BE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/>
      <c r="AU752" s="49"/>
      <c r="AV752" s="49"/>
      <c r="AW752" s="49"/>
      <c r="AX752" s="49"/>
      <c r="AY752" s="49"/>
      <c r="AZ752" s="49"/>
      <c r="BA752" s="49"/>
      <c r="BB752" s="49"/>
      <c r="BC752" s="49"/>
      <c r="BD752" s="49"/>
      <c r="BE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  <c r="AT753" s="49"/>
      <c r="AU753" s="49"/>
      <c r="AV753" s="49"/>
      <c r="AW753" s="49"/>
      <c r="AX753" s="49"/>
      <c r="AY753" s="49"/>
      <c r="AZ753" s="49"/>
      <c r="BA753" s="49"/>
      <c r="BB753" s="49"/>
      <c r="BC753" s="49"/>
      <c r="BD753" s="49"/>
      <c r="BE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  <c r="AT754" s="49"/>
      <c r="AU754" s="49"/>
      <c r="AV754" s="49"/>
      <c r="AW754" s="49"/>
      <c r="AX754" s="49"/>
      <c r="AY754" s="49"/>
      <c r="AZ754" s="49"/>
      <c r="BA754" s="49"/>
      <c r="BB754" s="49"/>
      <c r="BC754" s="49"/>
      <c r="BD754" s="49"/>
      <c r="BE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  <c r="AT755" s="49"/>
      <c r="AU755" s="49"/>
      <c r="AV755" s="49"/>
      <c r="AW755" s="49"/>
      <c r="AX755" s="49"/>
      <c r="AY755" s="49"/>
      <c r="AZ755" s="49"/>
      <c r="BA755" s="49"/>
      <c r="BB755" s="49"/>
      <c r="BC755" s="49"/>
      <c r="BD755" s="49"/>
      <c r="BE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  <c r="AT756" s="49"/>
      <c r="AU756" s="49"/>
      <c r="AV756" s="49"/>
      <c r="AW756" s="49"/>
      <c r="AX756" s="49"/>
      <c r="AY756" s="49"/>
      <c r="AZ756" s="49"/>
      <c r="BA756" s="49"/>
      <c r="BB756" s="49"/>
      <c r="BC756" s="49"/>
      <c r="BD756" s="49"/>
      <c r="BE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  <c r="AT757" s="49"/>
      <c r="AU757" s="49"/>
      <c r="AV757" s="49"/>
      <c r="AW757" s="49"/>
      <c r="AX757" s="49"/>
      <c r="AY757" s="49"/>
      <c r="AZ757" s="49"/>
      <c r="BA757" s="49"/>
      <c r="BB757" s="49"/>
      <c r="BC757" s="49"/>
      <c r="BD757" s="49"/>
      <c r="BE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  <c r="AT758" s="49"/>
      <c r="AU758" s="49"/>
      <c r="AV758" s="49"/>
      <c r="AW758" s="49"/>
      <c r="AX758" s="49"/>
      <c r="AY758" s="49"/>
      <c r="AZ758" s="49"/>
      <c r="BA758" s="49"/>
      <c r="BB758" s="49"/>
      <c r="BC758" s="49"/>
      <c r="BD758" s="49"/>
      <c r="BE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  <c r="AT759" s="49"/>
      <c r="AU759" s="49"/>
      <c r="AV759" s="49"/>
      <c r="AW759" s="49"/>
      <c r="AX759" s="49"/>
      <c r="AY759" s="49"/>
      <c r="AZ759" s="49"/>
      <c r="BA759" s="49"/>
      <c r="BB759" s="49"/>
      <c r="BC759" s="49"/>
      <c r="BD759" s="49"/>
      <c r="BE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  <c r="AT760" s="49"/>
      <c r="AU760" s="49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  <c r="AT761" s="49"/>
      <c r="AU761" s="49"/>
      <c r="AV761" s="49"/>
      <c r="AW761" s="49"/>
      <c r="AX761" s="49"/>
      <c r="AY761" s="49"/>
      <c r="AZ761" s="49"/>
      <c r="BA761" s="49"/>
      <c r="BB761" s="49"/>
      <c r="BC761" s="49"/>
      <c r="BD761" s="49"/>
      <c r="BE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  <c r="AT762" s="49"/>
      <c r="AU762" s="49"/>
      <c r="AV762" s="49"/>
      <c r="AW762" s="49"/>
      <c r="AX762" s="49"/>
      <c r="AY762" s="49"/>
      <c r="AZ762" s="49"/>
      <c r="BA762" s="49"/>
      <c r="BB762" s="49"/>
      <c r="BC762" s="49"/>
      <c r="BD762" s="49"/>
      <c r="BE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  <c r="AT763" s="49"/>
      <c r="AU763" s="49"/>
      <c r="AV763" s="49"/>
      <c r="AW763" s="49"/>
      <c r="AX763" s="49"/>
      <c r="AY763" s="49"/>
      <c r="AZ763" s="49"/>
      <c r="BA763" s="49"/>
      <c r="BB763" s="49"/>
      <c r="BC763" s="49"/>
      <c r="BD763" s="49"/>
      <c r="BE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  <c r="AT764" s="49"/>
      <c r="AU764" s="49"/>
      <c r="AV764" s="49"/>
      <c r="AW764" s="49"/>
      <c r="AX764" s="49"/>
      <c r="AY764" s="49"/>
      <c r="AZ764" s="49"/>
      <c r="BA764" s="49"/>
      <c r="BB764" s="49"/>
      <c r="BC764" s="49"/>
      <c r="BD764" s="49"/>
      <c r="BE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  <c r="AT765" s="49"/>
      <c r="AU765" s="49"/>
      <c r="AV765" s="49"/>
      <c r="AW765" s="49"/>
      <c r="AX765" s="49"/>
      <c r="AY765" s="49"/>
      <c r="AZ765" s="49"/>
      <c r="BA765" s="49"/>
      <c r="BB765" s="49"/>
      <c r="BC765" s="49"/>
      <c r="BD765" s="49"/>
      <c r="BE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/>
      <c r="AX766" s="49"/>
      <c r="AY766" s="49"/>
      <c r="AZ766" s="49"/>
      <c r="BA766" s="49"/>
      <c r="BB766" s="49"/>
      <c r="BC766" s="49"/>
      <c r="BD766" s="49"/>
      <c r="BE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  <c r="AT768" s="49"/>
      <c r="AU768" s="49"/>
      <c r="AV768" s="49"/>
      <c r="AW768" s="49"/>
      <c r="AX768" s="49"/>
      <c r="AY768" s="49"/>
      <c r="AZ768" s="49"/>
      <c r="BA768" s="49"/>
      <c r="BB768" s="49"/>
      <c r="BC768" s="49"/>
      <c r="BD768" s="49"/>
      <c r="BE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  <c r="AT769" s="49"/>
      <c r="AU769" s="49"/>
      <c r="AV769" s="49"/>
      <c r="AW769" s="49"/>
      <c r="AX769" s="49"/>
      <c r="AY769" s="49"/>
      <c r="AZ769" s="49"/>
      <c r="BA769" s="49"/>
      <c r="BB769" s="49"/>
      <c r="BC769" s="49"/>
      <c r="BD769" s="49"/>
      <c r="BE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  <c r="AT780" s="49"/>
      <c r="AU780" s="49"/>
      <c r="AV780" s="49"/>
      <c r="AW780" s="49"/>
      <c r="AX780" s="49"/>
      <c r="AY780" s="49"/>
      <c r="AZ780" s="49"/>
      <c r="BA780" s="49"/>
      <c r="BB780" s="49"/>
      <c r="BC780" s="49"/>
      <c r="BD780" s="49"/>
      <c r="BE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/>
      <c r="AU781" s="49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/>
      <c r="BB782" s="49"/>
      <c r="BC782" s="49"/>
      <c r="BD782" s="49"/>
      <c r="BE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/>
      <c r="BB783" s="49"/>
      <c r="BC783" s="49"/>
      <c r="BD783" s="49"/>
      <c r="BE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  <c r="AT785" s="49"/>
      <c r="AU785" s="49"/>
      <c r="AV785" s="49"/>
      <c r="AW785" s="49"/>
      <c r="AX785" s="49"/>
      <c r="AY785" s="49"/>
      <c r="AZ785" s="49"/>
      <c r="BA785" s="49"/>
      <c r="BB785" s="49"/>
      <c r="BC785" s="49"/>
      <c r="BD785" s="49"/>
      <c r="BE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  <c r="AT786" s="49"/>
      <c r="AU786" s="49"/>
      <c r="AV786" s="49"/>
      <c r="AW786" s="49"/>
      <c r="AX786" s="49"/>
      <c r="AY786" s="49"/>
      <c r="AZ786" s="49"/>
      <c r="BA786" s="49"/>
      <c r="BB786" s="49"/>
      <c r="BC786" s="49"/>
      <c r="BD786" s="49"/>
      <c r="BE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  <c r="AT787" s="49"/>
      <c r="AU787" s="49"/>
      <c r="AV787" s="49"/>
      <c r="AW787" s="49"/>
      <c r="AX787" s="49"/>
      <c r="AY787" s="49"/>
      <c r="AZ787" s="49"/>
      <c r="BA787" s="49"/>
      <c r="BB787" s="49"/>
      <c r="BC787" s="49"/>
      <c r="BD787" s="49"/>
      <c r="BE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  <c r="AT788" s="49"/>
      <c r="AU788" s="49"/>
      <c r="AV788" s="49"/>
      <c r="AW788" s="49"/>
      <c r="AX788" s="49"/>
      <c r="AY788" s="49"/>
      <c r="AZ788" s="49"/>
      <c r="BA788" s="49"/>
      <c r="BB788" s="49"/>
      <c r="BC788" s="49"/>
      <c r="BD788" s="49"/>
      <c r="BE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  <c r="AT789" s="49"/>
      <c r="AU789" s="49"/>
      <c r="AV789" s="49"/>
      <c r="AW789" s="49"/>
      <c r="AX789" s="49"/>
      <c r="AY789" s="49"/>
      <c r="AZ789" s="49"/>
      <c r="BA789" s="49"/>
      <c r="BB789" s="49"/>
      <c r="BC789" s="49"/>
      <c r="BD789" s="49"/>
      <c r="BE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  <c r="AT790" s="49"/>
      <c r="AU790" s="49"/>
      <c r="AV790" s="49"/>
      <c r="AW790" s="49"/>
      <c r="AX790" s="49"/>
      <c r="AY790" s="49"/>
      <c r="AZ790" s="49"/>
      <c r="BA790" s="49"/>
      <c r="BB790" s="49"/>
      <c r="BC790" s="49"/>
      <c r="BD790" s="49"/>
      <c r="BE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/>
      <c r="BB791" s="49"/>
      <c r="BC791" s="49"/>
      <c r="BD791" s="49"/>
      <c r="BE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  <c r="AT792" s="49"/>
      <c r="AU792" s="49"/>
      <c r="AV792" s="49"/>
      <c r="AW792" s="49"/>
      <c r="AX792" s="49"/>
      <c r="AY792" s="49"/>
      <c r="AZ792" s="49"/>
      <c r="BA792" s="49"/>
      <c r="BB792" s="49"/>
      <c r="BC792" s="49"/>
      <c r="BD792" s="49"/>
      <c r="BE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  <c r="AT793" s="49"/>
      <c r="AU793" s="49"/>
      <c r="AV793" s="49"/>
      <c r="AW793" s="49"/>
      <c r="AX793" s="49"/>
      <c r="AY793" s="49"/>
      <c r="AZ793" s="49"/>
      <c r="BA793" s="49"/>
      <c r="BB793" s="49"/>
      <c r="BC793" s="49"/>
      <c r="BD793" s="49"/>
      <c r="BE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  <c r="AT794" s="49"/>
      <c r="AU794" s="49"/>
      <c r="AV794" s="49"/>
      <c r="AW794" s="49"/>
      <c r="AX794" s="49"/>
      <c r="AY794" s="49"/>
      <c r="AZ794" s="49"/>
      <c r="BA794" s="49"/>
      <c r="BB794" s="49"/>
      <c r="BC794" s="49"/>
      <c r="BD794" s="49"/>
      <c r="BE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  <c r="AT795" s="49"/>
      <c r="AU795" s="49"/>
      <c r="AV795" s="49"/>
      <c r="AW795" s="49"/>
      <c r="AX795" s="49"/>
      <c r="AY795" s="49"/>
      <c r="AZ795" s="49"/>
      <c r="BA795" s="49"/>
      <c r="BB795" s="49"/>
      <c r="BC795" s="49"/>
      <c r="BD795" s="49"/>
      <c r="BE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  <c r="BB796" s="49"/>
      <c r="BC796" s="49"/>
      <c r="BD796" s="49"/>
      <c r="BE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  <c r="AT797" s="49"/>
      <c r="AU797" s="49"/>
      <c r="AV797" s="49"/>
      <c r="AW797" s="49"/>
      <c r="AX797" s="49"/>
      <c r="AY797" s="49"/>
      <c r="AZ797" s="49"/>
      <c r="BA797" s="49"/>
      <c r="BB797" s="49"/>
      <c r="BC797" s="49"/>
      <c r="BD797" s="49"/>
      <c r="BE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  <c r="AT798" s="49"/>
      <c r="AU798" s="49"/>
      <c r="AV798" s="49"/>
      <c r="AW798" s="49"/>
      <c r="AX798" s="49"/>
      <c r="AY798" s="49"/>
      <c r="AZ798" s="49"/>
      <c r="BA798" s="49"/>
      <c r="BB798" s="49"/>
      <c r="BC798" s="49"/>
      <c r="BD798" s="49"/>
      <c r="BE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  <c r="AT799" s="49"/>
      <c r="AU799" s="49"/>
      <c r="AV799" s="49"/>
      <c r="AW799" s="49"/>
      <c r="AX799" s="49"/>
      <c r="AY799" s="49"/>
      <c r="AZ799" s="49"/>
      <c r="BA799" s="49"/>
      <c r="BB799" s="49"/>
      <c r="BC799" s="49"/>
      <c r="BD799" s="49"/>
      <c r="BE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  <c r="AT800" s="49"/>
      <c r="AU800" s="49"/>
      <c r="AV800" s="49"/>
      <c r="AW800" s="49"/>
      <c r="AX800" s="49"/>
      <c r="AY800" s="49"/>
      <c r="AZ800" s="49"/>
      <c r="BA800" s="49"/>
      <c r="BB800" s="49"/>
      <c r="BC800" s="49"/>
      <c r="BD800" s="49"/>
      <c r="BE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  <c r="AT801" s="49"/>
      <c r="AU801" s="49"/>
      <c r="AV801" s="49"/>
      <c r="AW801" s="49"/>
      <c r="AX801" s="49"/>
      <c r="AY801" s="49"/>
      <c r="AZ801" s="49"/>
      <c r="BA801" s="49"/>
      <c r="BB801" s="49"/>
      <c r="BC801" s="49"/>
      <c r="BD801" s="49"/>
      <c r="BE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  <c r="AT802" s="49"/>
      <c r="AU802" s="49"/>
      <c r="AV802" s="49"/>
      <c r="AW802" s="49"/>
      <c r="AX802" s="49"/>
      <c r="AY802" s="49"/>
      <c r="AZ802" s="49"/>
      <c r="BA802" s="49"/>
      <c r="BB802" s="49"/>
      <c r="BC802" s="49"/>
      <c r="BD802" s="49"/>
      <c r="BE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  <c r="AT803" s="49"/>
      <c r="AU803" s="49"/>
      <c r="AV803" s="49"/>
      <c r="AW803" s="49"/>
      <c r="AX803" s="49"/>
      <c r="AY803" s="49"/>
      <c r="AZ803" s="49"/>
      <c r="BA803" s="49"/>
      <c r="BB803" s="49"/>
      <c r="BC803" s="49"/>
      <c r="BD803" s="49"/>
      <c r="BE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/>
      <c r="AX804" s="49"/>
      <c r="AY804" s="49"/>
      <c r="AZ804" s="49"/>
      <c r="BA804" s="49"/>
      <c r="BB804" s="49"/>
      <c r="BC804" s="49"/>
      <c r="BD804" s="49"/>
      <c r="BE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  <c r="AT806" s="49"/>
      <c r="AU806" s="49"/>
      <c r="AV806" s="49"/>
      <c r="AW806" s="49"/>
      <c r="AX806" s="49"/>
      <c r="AY806" s="49"/>
      <c r="AZ806" s="49"/>
      <c r="BA806" s="49"/>
      <c r="BB806" s="49"/>
      <c r="BC806" s="49"/>
      <c r="BD806" s="49"/>
      <c r="BE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  <c r="AT807" s="49"/>
      <c r="AU807" s="49"/>
      <c r="AV807" s="49"/>
      <c r="AW807" s="49"/>
      <c r="AX807" s="49"/>
      <c r="AY807" s="49"/>
      <c r="AZ807" s="49"/>
      <c r="BA807" s="49"/>
      <c r="BB807" s="49"/>
      <c r="BC807" s="49"/>
      <c r="BD807" s="49"/>
      <c r="BE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  <c r="AT818" s="49"/>
      <c r="AU818" s="49"/>
      <c r="AV818" s="49"/>
      <c r="AW818" s="49"/>
      <c r="AX818" s="49"/>
      <c r="AY818" s="49"/>
      <c r="AZ818" s="49"/>
      <c r="BA818" s="49"/>
      <c r="BB818" s="49"/>
      <c r="BC818" s="49"/>
      <c r="BD818" s="49"/>
      <c r="BE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  <c r="AT819" s="49"/>
      <c r="AU819" s="49"/>
      <c r="AV819" s="49"/>
      <c r="AW819" s="49"/>
      <c r="AX819" s="49"/>
      <c r="AY819" s="49"/>
      <c r="AZ819" s="49"/>
      <c r="BA819" s="49"/>
      <c r="BB819" s="49"/>
      <c r="BC819" s="49"/>
      <c r="BD819" s="49"/>
      <c r="BE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  <c r="AT820" s="49"/>
      <c r="AU820" s="49"/>
      <c r="AV820" s="49"/>
      <c r="AW820" s="49"/>
      <c r="AX820" s="49"/>
      <c r="AY820" s="49"/>
      <c r="AZ820" s="49"/>
      <c r="BA820" s="49"/>
      <c r="BB820" s="49"/>
      <c r="BC820" s="49"/>
      <c r="BD820" s="49"/>
      <c r="BE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  <c r="AT821" s="49"/>
      <c r="AU821" s="49"/>
      <c r="AV821" s="49"/>
      <c r="AW821" s="49"/>
      <c r="AX821" s="49"/>
      <c r="AY821" s="49"/>
      <c r="AZ821" s="49"/>
      <c r="BA821" s="49"/>
      <c r="BB821" s="49"/>
      <c r="BC821" s="49"/>
      <c r="BD821" s="49"/>
      <c r="BE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/>
      <c r="BB822" s="49"/>
      <c r="BC822" s="49"/>
      <c r="BD822" s="49"/>
      <c r="BE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/>
      <c r="BB823" s="49"/>
      <c r="BC823" s="49"/>
      <c r="BD823" s="49"/>
      <c r="BE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  <c r="AT824" s="49"/>
      <c r="AU824" s="49"/>
      <c r="AV824" s="49"/>
      <c r="AW824" s="49"/>
      <c r="AX824" s="49"/>
      <c r="AY824" s="49"/>
      <c r="AZ824" s="49"/>
      <c r="BA824" s="49"/>
      <c r="BB824" s="49"/>
      <c r="BC824" s="49"/>
      <c r="BD824" s="49"/>
      <c r="BE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  <c r="AT825" s="49"/>
      <c r="AU825" s="49"/>
      <c r="AV825" s="49"/>
      <c r="AW825" s="49"/>
      <c r="AX825" s="49"/>
      <c r="AY825" s="49"/>
      <c r="AZ825" s="49"/>
      <c r="BA825" s="49"/>
      <c r="BB825" s="49"/>
      <c r="BC825" s="49"/>
      <c r="BD825" s="49"/>
      <c r="BE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  <c r="AT826" s="49"/>
      <c r="AU826" s="49"/>
      <c r="AV826" s="49"/>
      <c r="AW826" s="49"/>
      <c r="AX826" s="49"/>
      <c r="AY826" s="49"/>
      <c r="AZ826" s="49"/>
      <c r="BA826" s="49"/>
      <c r="BB826" s="49"/>
      <c r="BC826" s="49"/>
      <c r="BD826" s="49"/>
      <c r="BE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  <c r="AT827" s="49"/>
      <c r="AU827" s="49"/>
      <c r="AV827" s="49"/>
      <c r="AW827" s="49"/>
      <c r="AX827" s="49"/>
      <c r="AY827" s="49"/>
      <c r="AZ827" s="49"/>
      <c r="BA827" s="49"/>
      <c r="BB827" s="49"/>
      <c r="BC827" s="49"/>
      <c r="BD827" s="49"/>
      <c r="BE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  <c r="AT828" s="49"/>
      <c r="AU828" s="49"/>
      <c r="AV828" s="49"/>
      <c r="AW828" s="49"/>
      <c r="AX828" s="49"/>
      <c r="AY828" s="49"/>
      <c r="AZ828" s="49"/>
      <c r="BA828" s="49"/>
      <c r="BB828" s="49"/>
      <c r="BC828" s="49"/>
      <c r="BD828" s="49"/>
      <c r="BE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  <c r="AT829" s="49"/>
      <c r="AU829" s="49"/>
      <c r="AV829" s="49"/>
      <c r="AW829" s="49"/>
      <c r="AX829" s="49"/>
      <c r="AY829" s="49"/>
      <c r="AZ829" s="49"/>
      <c r="BA829" s="49"/>
      <c r="BB829" s="49"/>
      <c r="BC829" s="49"/>
      <c r="BD829" s="49"/>
      <c r="BE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/>
      <c r="AU830" s="49"/>
      <c r="AV830" s="49"/>
      <c r="AW830" s="49"/>
      <c r="AX830" s="49"/>
      <c r="AY830" s="49"/>
      <c r="AZ830" s="49"/>
      <c r="BA830" s="49"/>
      <c r="BB830" s="49"/>
      <c r="BC830" s="49"/>
      <c r="BD830" s="49"/>
      <c r="BE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/>
      <c r="BB831" s="49"/>
      <c r="BC831" s="49"/>
      <c r="BD831" s="49"/>
      <c r="BE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  <c r="AT832" s="49"/>
      <c r="AU832" s="49"/>
      <c r="AV832" s="49"/>
      <c r="AW832" s="49"/>
      <c r="AX832" s="49"/>
      <c r="AY832" s="49"/>
      <c r="AZ832" s="49"/>
      <c r="BA832" s="49"/>
      <c r="BB832" s="49"/>
      <c r="BC832" s="49"/>
      <c r="BD832" s="49"/>
      <c r="BE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  <c r="AT833" s="49"/>
      <c r="AU833" s="49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  <c r="AT834" s="49"/>
      <c r="AU834" s="49"/>
      <c r="AV834" s="49"/>
      <c r="AW834" s="49"/>
      <c r="AX834" s="49"/>
      <c r="AY834" s="49"/>
      <c r="AZ834" s="49"/>
      <c r="BA834" s="49"/>
      <c r="BB834" s="49"/>
      <c r="BC834" s="49"/>
      <c r="BD834" s="49"/>
      <c r="BE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  <c r="AT835" s="49"/>
      <c r="AU835" s="49"/>
      <c r="AV835" s="49"/>
      <c r="AW835" s="49"/>
      <c r="AX835" s="49"/>
      <c r="AY835" s="49"/>
      <c r="AZ835" s="49"/>
      <c r="BA835" s="49"/>
      <c r="BB835" s="49"/>
      <c r="BC835" s="49"/>
      <c r="BD835" s="49"/>
      <c r="BE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  <c r="AT836" s="49"/>
      <c r="AU836" s="49"/>
      <c r="AV836" s="49"/>
      <c r="AW836" s="49"/>
      <c r="AX836" s="49"/>
      <c r="AY836" s="49"/>
      <c r="AZ836" s="49"/>
      <c r="BA836" s="49"/>
      <c r="BB836" s="49"/>
      <c r="BC836" s="49"/>
      <c r="BD836" s="49"/>
      <c r="BE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  <c r="AT837" s="49"/>
      <c r="AU837" s="49"/>
      <c r="AV837" s="49"/>
      <c r="AW837" s="49"/>
      <c r="AX837" s="49"/>
      <c r="AY837" s="49"/>
      <c r="AZ837" s="49"/>
      <c r="BA837" s="49"/>
      <c r="BB837" s="49"/>
      <c r="BC837" s="49"/>
      <c r="BD837" s="49"/>
      <c r="BE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  <c r="AT838" s="49"/>
      <c r="AU838" s="49"/>
      <c r="AV838" s="49"/>
      <c r="AW838" s="49"/>
      <c r="AX838" s="49"/>
      <c r="AY838" s="49"/>
      <c r="AZ838" s="49"/>
      <c r="BA838" s="49"/>
      <c r="BB838" s="49"/>
      <c r="BC838" s="49"/>
      <c r="BD838" s="49"/>
      <c r="BE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  <c r="AT839" s="49"/>
      <c r="AU839" s="49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  <c r="AT840" s="49"/>
      <c r="AU840" s="49"/>
      <c r="AV840" s="49"/>
      <c r="AW840" s="49"/>
      <c r="AX840" s="49"/>
      <c r="AY840" s="49"/>
      <c r="AZ840" s="49"/>
      <c r="BA840" s="49"/>
      <c r="BB840" s="49"/>
      <c r="BC840" s="49"/>
      <c r="BD840" s="49"/>
      <c r="BE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  <c r="AT841" s="49"/>
      <c r="AU841" s="49"/>
      <c r="AV841" s="49"/>
      <c r="AW841" s="49"/>
      <c r="AX841" s="49"/>
      <c r="AY841" s="49"/>
      <c r="AZ841" s="49"/>
      <c r="BA841" s="49"/>
      <c r="BB841" s="49"/>
      <c r="BC841" s="49"/>
      <c r="BD841" s="49"/>
      <c r="BE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/>
      <c r="AX842" s="49"/>
      <c r="AY842" s="49"/>
      <c r="AZ842" s="49"/>
      <c r="BA842" s="49"/>
      <c r="BB842" s="49"/>
      <c r="BC842" s="49"/>
      <c r="BD842" s="49"/>
      <c r="BE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  <c r="AT844" s="49"/>
      <c r="AU844" s="49"/>
      <c r="AV844" s="49"/>
      <c r="AW844" s="49"/>
      <c r="AX844" s="49"/>
      <c r="AY844" s="49"/>
      <c r="AZ844" s="49"/>
      <c r="BA844" s="49"/>
      <c r="BB844" s="49"/>
      <c r="BC844" s="49"/>
      <c r="BD844" s="49"/>
      <c r="BE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  <c r="AT845" s="49"/>
      <c r="AU845" s="49"/>
      <c r="AV845" s="49"/>
      <c r="AW845" s="49"/>
      <c r="AX845" s="49"/>
      <c r="AY845" s="49"/>
      <c r="AZ845" s="49"/>
      <c r="BA845" s="49"/>
      <c r="BB845" s="49"/>
      <c r="BC845" s="49"/>
      <c r="BD845" s="49"/>
      <c r="BE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  <c r="AT856" s="49"/>
      <c r="AU856" s="49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  <c r="AT857" s="49"/>
      <c r="AU857" s="49"/>
      <c r="AV857" s="49"/>
      <c r="AW857" s="49"/>
      <c r="AX857" s="49"/>
      <c r="AY857" s="49"/>
      <c r="AZ857" s="49"/>
      <c r="BA857" s="49"/>
      <c r="BB857" s="49"/>
      <c r="BC857" s="49"/>
      <c r="BD857" s="49"/>
      <c r="BE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  <c r="AT858" s="49"/>
      <c r="AU858" s="49"/>
      <c r="AV858" s="49"/>
      <c r="AW858" s="49"/>
      <c r="AX858" s="49"/>
      <c r="AY858" s="49"/>
      <c r="AZ858" s="49"/>
      <c r="BA858" s="49"/>
      <c r="BB858" s="49"/>
      <c r="BC858" s="49"/>
      <c r="BD858" s="49"/>
      <c r="BE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  <c r="AT859" s="49"/>
      <c r="AU859" s="49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  <c r="AT860" s="49"/>
      <c r="AU860" s="49"/>
      <c r="AV860" s="49"/>
      <c r="AW860" s="49"/>
      <c r="AX860" s="49"/>
      <c r="AY860" s="49"/>
      <c r="AZ860" s="49"/>
      <c r="BA860" s="49"/>
      <c r="BB860" s="49"/>
      <c r="BC860" s="49"/>
      <c r="BD860" s="49"/>
      <c r="BE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  <c r="AT861" s="49"/>
      <c r="AU861" s="49"/>
      <c r="AV861" s="49"/>
      <c r="AW861" s="49"/>
      <c r="AX861" s="49"/>
      <c r="AY861" s="49"/>
      <c r="AZ861" s="49"/>
      <c r="BA861" s="49"/>
      <c r="BB861" s="49"/>
      <c r="BC861" s="49"/>
      <c r="BD861" s="49"/>
      <c r="BE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/>
      <c r="BB862" s="49"/>
      <c r="BC862" s="49"/>
      <c r="BD862" s="49"/>
      <c r="BE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/>
      <c r="BB863" s="49"/>
      <c r="BC863" s="49"/>
      <c r="BD863" s="49"/>
      <c r="BE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  <c r="AT864" s="49"/>
      <c r="AU864" s="49"/>
      <c r="AV864" s="49"/>
      <c r="AW864" s="49"/>
      <c r="AX864" s="49"/>
      <c r="AY864" s="49"/>
      <c r="AZ864" s="49"/>
      <c r="BA864" s="49"/>
      <c r="BB864" s="49"/>
      <c r="BC864" s="49"/>
      <c r="BD864" s="49"/>
      <c r="BE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  <c r="AT865" s="49"/>
      <c r="AU865" s="49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  <c r="AT866" s="49"/>
      <c r="AU866" s="49"/>
      <c r="AV866" s="49"/>
      <c r="AW866" s="49"/>
      <c r="AX866" s="49"/>
      <c r="AY866" s="49"/>
      <c r="AZ866" s="49"/>
      <c r="BA866" s="49"/>
      <c r="BB866" s="49"/>
      <c r="BC866" s="49"/>
      <c r="BD866" s="49"/>
      <c r="BE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  <c r="AT867" s="49"/>
      <c r="AU867" s="49"/>
      <c r="AV867" s="49"/>
      <c r="AW867" s="49"/>
      <c r="AX867" s="49"/>
      <c r="AY867" s="49"/>
      <c r="AZ867" s="49"/>
      <c r="BA867" s="49"/>
      <c r="BB867" s="49"/>
      <c r="BC867" s="49"/>
      <c r="BD867" s="49"/>
      <c r="BE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  <c r="AT868" s="49"/>
      <c r="AU868" s="49"/>
      <c r="AV868" s="49"/>
      <c r="AW868" s="49"/>
      <c r="AX868" s="49"/>
      <c r="AY868" s="49"/>
      <c r="AZ868" s="49"/>
      <c r="BA868" s="49"/>
      <c r="BB868" s="49"/>
      <c r="BC868" s="49"/>
      <c r="BD868" s="49"/>
      <c r="BE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  <c r="AT869" s="49"/>
      <c r="AU869" s="49"/>
      <c r="AV869" s="49"/>
      <c r="AW869" s="49"/>
      <c r="AX869" s="49"/>
      <c r="AY869" s="49"/>
      <c r="AZ869" s="49"/>
      <c r="BA869" s="49"/>
      <c r="BB869" s="49"/>
      <c r="BC869" s="49"/>
      <c r="BD869" s="49"/>
      <c r="BE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  <c r="AT870" s="49"/>
      <c r="AU870" s="49"/>
      <c r="AV870" s="49"/>
      <c r="AW870" s="49"/>
      <c r="AX870" s="49"/>
      <c r="AY870" s="49"/>
      <c r="AZ870" s="49"/>
      <c r="BA870" s="49"/>
      <c r="BB870" s="49"/>
      <c r="BC870" s="49"/>
      <c r="BD870" s="49"/>
      <c r="BE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/>
      <c r="BB871" s="49"/>
      <c r="BC871" s="49"/>
      <c r="BD871" s="49"/>
      <c r="BE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  <c r="AT872" s="49"/>
      <c r="AU872" s="49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  <c r="AT873" s="49"/>
      <c r="AU873" s="49"/>
      <c r="AV873" s="49"/>
      <c r="AW873" s="49"/>
      <c r="AX873" s="49"/>
      <c r="AY873" s="49"/>
      <c r="AZ873" s="49"/>
      <c r="BA873" s="49"/>
      <c r="BB873" s="49"/>
      <c r="BC873" s="49"/>
      <c r="BD873" s="49"/>
      <c r="BE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  <c r="AT874" s="49"/>
      <c r="AU874" s="49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  <c r="AT875" s="49"/>
      <c r="AU875" s="49"/>
      <c r="AV875" s="49"/>
      <c r="AW875" s="49"/>
      <c r="AX875" s="49"/>
      <c r="AY875" s="49"/>
      <c r="AZ875" s="49"/>
      <c r="BA875" s="49"/>
      <c r="BB875" s="49"/>
      <c r="BC875" s="49"/>
      <c r="BD875" s="49"/>
      <c r="BE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  <c r="AT876" s="49"/>
      <c r="AU876" s="49"/>
      <c r="AV876" s="49"/>
      <c r="AW876" s="49"/>
      <c r="AX876" s="49"/>
      <c r="AY876" s="49"/>
      <c r="AZ876" s="49"/>
      <c r="BA876" s="49"/>
      <c r="BB876" s="49"/>
      <c r="BC876" s="49"/>
      <c r="BD876" s="49"/>
      <c r="BE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  <c r="AT877" s="49"/>
      <c r="AU877" s="49"/>
      <c r="AV877" s="49"/>
      <c r="AW877" s="49"/>
      <c r="AX877" s="49"/>
      <c r="AY877" s="49"/>
      <c r="AZ877" s="49"/>
      <c r="BA877" s="49"/>
      <c r="BB877" s="49"/>
      <c r="BC877" s="49"/>
      <c r="BD877" s="49"/>
      <c r="BE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  <c r="AT878" s="49"/>
      <c r="AU878" s="49"/>
      <c r="AV878" s="49"/>
      <c r="AW878" s="49"/>
      <c r="AX878" s="49"/>
      <c r="AY878" s="49"/>
      <c r="AZ878" s="49"/>
      <c r="BA878" s="49"/>
      <c r="BB878" s="49"/>
      <c r="BC878" s="49"/>
      <c r="BD878" s="49"/>
      <c r="BE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  <c r="AT879" s="49"/>
      <c r="AU879" s="49"/>
      <c r="AV879" s="49"/>
      <c r="AW879" s="49"/>
      <c r="AX879" s="49"/>
      <c r="AY879" s="49"/>
      <c r="AZ879" s="49"/>
      <c r="BA879" s="49"/>
      <c r="BB879" s="49"/>
      <c r="BC879" s="49"/>
      <c r="BD879" s="49"/>
      <c r="BE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/>
      <c r="AX880" s="49"/>
      <c r="AY880" s="49"/>
      <c r="AZ880" s="49"/>
      <c r="BA880" s="49"/>
      <c r="BB880" s="49"/>
      <c r="BC880" s="49"/>
      <c r="BD880" s="49"/>
      <c r="BE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  <c r="AT882" s="49"/>
      <c r="AU882" s="49"/>
      <c r="AV882" s="49"/>
      <c r="AW882" s="49"/>
      <c r="AX882" s="49"/>
      <c r="AY882" s="49"/>
      <c r="AZ882" s="49"/>
      <c r="BA882" s="49"/>
      <c r="BB882" s="49"/>
      <c r="BC882" s="49"/>
      <c r="BD882" s="49"/>
      <c r="BE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  <c r="AT883" s="49"/>
      <c r="AU883" s="49"/>
      <c r="AV883" s="49"/>
      <c r="AW883" s="49"/>
      <c r="AX883" s="49"/>
      <c r="AY883" s="49"/>
      <c r="AZ883" s="49"/>
      <c r="BA883" s="49"/>
      <c r="BB883" s="49"/>
      <c r="BC883" s="49"/>
      <c r="BD883" s="49"/>
      <c r="BE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  <c r="AT894" s="49"/>
      <c r="AU894" s="49"/>
      <c r="AV894" s="49"/>
      <c r="AW894" s="49"/>
      <c r="AX894" s="49"/>
      <c r="AY894" s="49"/>
      <c r="AZ894" s="49"/>
      <c r="BA894" s="49"/>
      <c r="BB894" s="49"/>
      <c r="BC894" s="49"/>
      <c r="BD894" s="49"/>
      <c r="BE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  <c r="AT895" s="49"/>
      <c r="AU895" s="49"/>
      <c r="AV895" s="49"/>
      <c r="AW895" s="49"/>
      <c r="AX895" s="49"/>
      <c r="AY895" s="49"/>
      <c r="AZ895" s="49"/>
      <c r="BA895" s="49"/>
      <c r="BB895" s="49"/>
      <c r="BC895" s="49"/>
      <c r="BD895" s="49"/>
      <c r="BE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  <c r="AT896" s="49"/>
      <c r="AU896" s="49"/>
      <c r="AV896" s="49"/>
      <c r="AW896" s="49"/>
      <c r="AX896" s="49"/>
      <c r="AY896" s="49"/>
      <c r="AZ896" s="49"/>
      <c r="BA896" s="49"/>
      <c r="BB896" s="49"/>
      <c r="BC896" s="49"/>
      <c r="BD896" s="49"/>
      <c r="BE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  <c r="AT897" s="49"/>
      <c r="AU897" s="49"/>
      <c r="AV897" s="49"/>
      <c r="AW897" s="49"/>
      <c r="AX897" s="49"/>
      <c r="AY897" s="49"/>
      <c r="AZ897" s="49"/>
      <c r="BA897" s="49"/>
      <c r="BB897" s="49"/>
      <c r="BC897" s="49"/>
      <c r="BD897" s="49"/>
      <c r="BE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  <c r="AT898" s="49"/>
      <c r="AU898" s="49"/>
      <c r="AV898" s="49"/>
      <c r="AW898" s="49"/>
      <c r="AX898" s="49"/>
      <c r="AY898" s="49"/>
      <c r="AZ898" s="49"/>
      <c r="BA898" s="49"/>
      <c r="BB898" s="49"/>
      <c r="BC898" s="49"/>
      <c r="BD898" s="49"/>
      <c r="BE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  <c r="AT899" s="49"/>
      <c r="AU899" s="49"/>
      <c r="AV899" s="49"/>
      <c r="AW899" s="49"/>
      <c r="AX899" s="49"/>
      <c r="AY899" s="49"/>
      <c r="AZ899" s="49"/>
      <c r="BA899" s="49"/>
      <c r="BB899" s="49"/>
      <c r="BC899" s="49"/>
      <c r="BD899" s="49"/>
      <c r="BE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  <c r="AT900" s="49"/>
      <c r="AU900" s="49"/>
      <c r="AV900" s="49"/>
      <c r="AW900" s="49"/>
      <c r="AX900" s="49"/>
      <c r="AY900" s="49"/>
      <c r="AZ900" s="49"/>
      <c r="BA900" s="49"/>
      <c r="BB900" s="49"/>
      <c r="BC900" s="49"/>
      <c r="BD900" s="49"/>
      <c r="BE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  <c r="AT901" s="49"/>
      <c r="AU901" s="49"/>
      <c r="AV901" s="49"/>
      <c r="AW901" s="49"/>
      <c r="AX901" s="49"/>
      <c r="AY901" s="49"/>
      <c r="AZ901" s="49"/>
      <c r="BA901" s="49"/>
      <c r="BB901" s="49"/>
      <c r="BC901" s="49"/>
      <c r="BD901" s="49"/>
      <c r="BE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/>
      <c r="BB902" s="49"/>
      <c r="BC902" s="49"/>
      <c r="BD902" s="49"/>
      <c r="BE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/>
      <c r="BB903" s="49"/>
      <c r="BC903" s="49"/>
      <c r="BD903" s="49"/>
      <c r="BE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  <c r="AT904" s="49"/>
      <c r="AU904" s="49"/>
      <c r="AV904" s="49"/>
      <c r="AW904" s="49"/>
      <c r="AX904" s="49"/>
      <c r="AY904" s="49"/>
      <c r="AZ904" s="49"/>
      <c r="BA904" s="49"/>
      <c r="BB904" s="49"/>
      <c r="BC904" s="49"/>
      <c r="BD904" s="49"/>
      <c r="BE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  <c r="AT905" s="49"/>
      <c r="AU905" s="49"/>
      <c r="AV905" s="49"/>
      <c r="AW905" s="49"/>
      <c r="AX905" s="49"/>
      <c r="AY905" s="49"/>
      <c r="AZ905" s="49"/>
      <c r="BA905" s="49"/>
      <c r="BB905" s="49"/>
      <c r="BC905" s="49"/>
      <c r="BD905" s="49"/>
      <c r="BE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  <c r="AT906" s="49"/>
      <c r="AU906" s="49"/>
      <c r="AV906" s="49"/>
      <c r="AW906" s="49"/>
      <c r="AX906" s="49"/>
      <c r="AY906" s="49"/>
      <c r="AZ906" s="49"/>
      <c r="BA906" s="49"/>
      <c r="BB906" s="49"/>
      <c r="BC906" s="49"/>
      <c r="BD906" s="49"/>
      <c r="BE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  <c r="AT907" s="49"/>
      <c r="AU907" s="49"/>
      <c r="AV907" s="49"/>
      <c r="AW907" s="49"/>
      <c r="AX907" s="49"/>
      <c r="AY907" s="49"/>
      <c r="AZ907" s="49"/>
      <c r="BA907" s="49"/>
      <c r="BB907" s="49"/>
      <c r="BC907" s="49"/>
      <c r="BD907" s="49"/>
      <c r="BE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  <c r="AT908" s="49"/>
      <c r="AU908" s="49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  <c r="AT909" s="49"/>
      <c r="AU909" s="49"/>
      <c r="AV909" s="49"/>
      <c r="AW909" s="49"/>
      <c r="AX909" s="49"/>
      <c r="AY909" s="49"/>
      <c r="AZ909" s="49"/>
      <c r="BA909" s="49"/>
      <c r="BB909" s="49"/>
      <c r="BC909" s="49"/>
      <c r="BD909" s="49"/>
      <c r="BE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  <c r="AT910" s="49"/>
      <c r="AU910" s="49"/>
      <c r="AV910" s="49"/>
      <c r="AW910" s="49"/>
      <c r="AX910" s="49"/>
      <c r="AY910" s="49"/>
      <c r="AZ910" s="49"/>
      <c r="BA910" s="49"/>
      <c r="BB910" s="49"/>
      <c r="BC910" s="49"/>
      <c r="BD910" s="49"/>
      <c r="BE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/>
      <c r="BB911" s="49"/>
      <c r="BC911" s="49"/>
      <c r="BD911" s="49"/>
      <c r="BE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  <c r="AT912" s="49"/>
      <c r="AU912" s="49"/>
      <c r="AV912" s="49"/>
      <c r="AW912" s="49"/>
      <c r="AX912" s="49"/>
      <c r="AY912" s="49"/>
      <c r="AZ912" s="49"/>
      <c r="BA912" s="49"/>
      <c r="BB912" s="49"/>
      <c r="BC912" s="49"/>
      <c r="BD912" s="49"/>
      <c r="BE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  <c r="AT913" s="49"/>
      <c r="AU913" s="49"/>
      <c r="AV913" s="49"/>
      <c r="AW913" s="49"/>
      <c r="AX913" s="49"/>
      <c r="AY913" s="49"/>
      <c r="AZ913" s="49"/>
      <c r="BA913" s="49"/>
      <c r="BB913" s="49"/>
      <c r="BC913" s="49"/>
      <c r="BD913" s="49"/>
      <c r="BE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  <c r="AT914" s="49"/>
      <c r="AU914" s="49"/>
      <c r="AV914" s="49"/>
      <c r="AW914" s="49"/>
      <c r="AX914" s="49"/>
      <c r="AY914" s="49"/>
      <c r="AZ914" s="49"/>
      <c r="BA914" s="49"/>
      <c r="BB914" s="49"/>
      <c r="BC914" s="49"/>
      <c r="BD914" s="49"/>
      <c r="BE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  <c r="AT915" s="49"/>
      <c r="AU915" s="49"/>
      <c r="AV915" s="49"/>
      <c r="AW915" s="49"/>
      <c r="AX915" s="49"/>
      <c r="AY915" s="49"/>
      <c r="AZ915" s="49"/>
      <c r="BA915" s="49"/>
      <c r="BB915" s="49"/>
      <c r="BC915" s="49"/>
      <c r="BD915" s="49"/>
      <c r="BE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  <c r="AT916" s="49"/>
      <c r="AU916" s="49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  <c r="AT917" s="49"/>
      <c r="AU917" s="49"/>
      <c r="AV917" s="49"/>
      <c r="AW917" s="49"/>
      <c r="AX917" s="49"/>
      <c r="AY917" s="49"/>
      <c r="AZ917" s="49"/>
      <c r="BA917" s="49"/>
      <c r="BB917" s="49"/>
      <c r="BC917" s="49"/>
      <c r="BD917" s="49"/>
      <c r="BE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/>
      <c r="AX918" s="49"/>
      <c r="AY918" s="49"/>
      <c r="AZ918" s="49"/>
      <c r="BA918" s="49"/>
      <c r="BB918" s="49"/>
      <c r="BC918" s="49"/>
      <c r="BD918" s="49"/>
      <c r="BE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  <c r="AT920" s="49"/>
      <c r="AU920" s="49"/>
      <c r="AV920" s="49"/>
      <c r="AW920" s="49"/>
      <c r="AX920" s="49"/>
      <c r="AY920" s="49"/>
      <c r="AZ920" s="49"/>
      <c r="BA920" s="49"/>
      <c r="BB920" s="49"/>
      <c r="BC920" s="49"/>
      <c r="BD920" s="49"/>
      <c r="BE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/>
      <c r="AU921" s="49"/>
      <c r="AV921" s="49"/>
      <c r="AW921" s="49"/>
      <c r="AX921" s="49"/>
      <c r="AY921" s="49"/>
      <c r="AZ921" s="49"/>
      <c r="BA921" s="49"/>
      <c r="BB921" s="49"/>
      <c r="BC921" s="49"/>
      <c r="BD921" s="49"/>
      <c r="BE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  <c r="AT932" s="49"/>
      <c r="AU932" s="49"/>
      <c r="AV932" s="49"/>
      <c r="AW932" s="49"/>
      <c r="AX932" s="49"/>
      <c r="AY932" s="49"/>
      <c r="AZ932" s="49"/>
      <c r="BA932" s="49"/>
      <c r="BB932" s="49"/>
      <c r="BC932" s="49"/>
      <c r="BD932" s="49"/>
      <c r="BE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  <c r="AT933" s="49"/>
      <c r="AU933" s="49"/>
      <c r="AV933" s="49"/>
      <c r="AW933" s="49"/>
      <c r="AX933" s="49"/>
      <c r="AY933" s="49"/>
      <c r="AZ933" s="49"/>
      <c r="BA933" s="49"/>
      <c r="BB933" s="49"/>
      <c r="BC933" s="49"/>
      <c r="BD933" s="49"/>
      <c r="BE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  <c r="AT934" s="49"/>
      <c r="AU934" s="49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  <c r="AT935" s="49"/>
      <c r="AU935" s="49"/>
      <c r="AV935" s="49"/>
      <c r="AW935" s="49"/>
      <c r="AX935" s="49"/>
      <c r="AY935" s="49"/>
      <c r="AZ935" s="49"/>
      <c r="BA935" s="49"/>
      <c r="BB935" s="49"/>
      <c r="BC935" s="49"/>
      <c r="BD935" s="49"/>
      <c r="BE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  <c r="AT936" s="49"/>
      <c r="AU936" s="49"/>
      <c r="AV936" s="49"/>
      <c r="AW936" s="49"/>
      <c r="AX936" s="49"/>
      <c r="AY936" s="49"/>
      <c r="AZ936" s="49"/>
      <c r="BA936" s="49"/>
      <c r="BB936" s="49"/>
      <c r="BC936" s="49"/>
      <c r="BD936" s="49"/>
      <c r="BE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  <c r="AT937" s="49"/>
      <c r="AU937" s="49"/>
      <c r="AV937" s="49"/>
      <c r="AW937" s="49"/>
      <c r="AX937" s="49"/>
      <c r="AY937" s="49"/>
      <c r="AZ937" s="49"/>
      <c r="BA937" s="49"/>
      <c r="BB937" s="49"/>
      <c r="BC937" s="49"/>
      <c r="BD937" s="49"/>
      <c r="BE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  <c r="AT938" s="49"/>
      <c r="AU938" s="49"/>
      <c r="AV938" s="49"/>
      <c r="AW938" s="49"/>
      <c r="AX938" s="49"/>
      <c r="AY938" s="49"/>
      <c r="AZ938" s="49"/>
      <c r="BA938" s="49"/>
      <c r="BB938" s="49"/>
      <c r="BC938" s="49"/>
      <c r="BD938" s="49"/>
      <c r="BE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  <c r="AT939" s="49"/>
      <c r="AU939" s="49"/>
      <c r="AV939" s="49"/>
      <c r="AW939" s="49"/>
      <c r="AX939" s="49"/>
      <c r="AY939" s="49"/>
      <c r="AZ939" s="49"/>
      <c r="BA939" s="49"/>
      <c r="BB939" s="49"/>
      <c r="BC939" s="49"/>
      <c r="BD939" s="49"/>
      <c r="BE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  <c r="AT940" s="49"/>
      <c r="AU940" s="49"/>
      <c r="AV940" s="49"/>
      <c r="AW940" s="49"/>
      <c r="AX940" s="49"/>
      <c r="AY940" s="49"/>
      <c r="AZ940" s="49"/>
      <c r="BA940" s="49"/>
      <c r="BB940" s="49"/>
      <c r="BC940" s="49"/>
      <c r="BD940" s="49"/>
      <c r="BE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  <c r="AT941" s="49"/>
      <c r="AU941" s="49"/>
      <c r="AV941" s="49"/>
      <c r="AW941" s="49"/>
      <c r="AX941" s="49"/>
      <c r="AY941" s="49"/>
      <c r="AZ941" s="49"/>
      <c r="BA941" s="49"/>
      <c r="BB941" s="49"/>
      <c r="BC941" s="49"/>
      <c r="BD941" s="49"/>
      <c r="BE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/>
      <c r="BB942" s="49"/>
      <c r="BC942" s="49"/>
      <c r="BD942" s="49"/>
      <c r="BE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/>
      <c r="BB943" s="49"/>
      <c r="BC943" s="49"/>
      <c r="BD943" s="49"/>
      <c r="BE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  <c r="AT944" s="49"/>
      <c r="AU944" s="49"/>
      <c r="AV944" s="49"/>
      <c r="AW944" s="49"/>
      <c r="AX944" s="49"/>
      <c r="AY944" s="49"/>
      <c r="AZ944" s="49"/>
      <c r="BA944" s="49"/>
      <c r="BB944" s="49"/>
      <c r="BC944" s="49"/>
      <c r="BD944" s="49"/>
      <c r="BE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  <c r="AT945" s="49"/>
      <c r="AU945" s="49"/>
      <c r="AV945" s="49"/>
      <c r="AW945" s="49"/>
      <c r="AX945" s="49"/>
      <c r="AY945" s="49"/>
      <c r="AZ945" s="49"/>
      <c r="BA945" s="49"/>
      <c r="BB945" s="49"/>
      <c r="BC945" s="49"/>
      <c r="BD945" s="49"/>
      <c r="BE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  <c r="AT946" s="49"/>
      <c r="AU946" s="49"/>
      <c r="AV946" s="49"/>
      <c r="AW946" s="49"/>
      <c r="AX946" s="49"/>
      <c r="AY946" s="49"/>
      <c r="AZ946" s="49"/>
      <c r="BA946" s="49"/>
      <c r="BB946" s="49"/>
      <c r="BC946" s="49"/>
      <c r="BD946" s="49"/>
      <c r="BE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  <c r="AT947" s="49"/>
      <c r="AU947" s="49"/>
      <c r="AV947" s="49"/>
      <c r="AW947" s="49"/>
      <c r="AX947" s="49"/>
      <c r="AY947" s="49"/>
      <c r="AZ947" s="49"/>
      <c r="BA947" s="49"/>
      <c r="BB947" s="49"/>
      <c r="BC947" s="49"/>
      <c r="BD947" s="49"/>
      <c r="BE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  <c r="AT948" s="49"/>
      <c r="AU948" s="49"/>
      <c r="AV948" s="49"/>
      <c r="AW948" s="49"/>
      <c r="AX948" s="49"/>
      <c r="AY948" s="49"/>
      <c r="AZ948" s="49"/>
      <c r="BA948" s="49"/>
      <c r="BB948" s="49"/>
      <c r="BC948" s="49"/>
      <c r="BD948" s="49"/>
      <c r="BE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  <c r="AT949" s="49"/>
      <c r="AU949" s="49"/>
      <c r="AV949" s="49"/>
      <c r="AW949" s="49"/>
      <c r="AX949" s="49"/>
      <c r="AY949" s="49"/>
      <c r="AZ949" s="49"/>
      <c r="BA949" s="49"/>
      <c r="BB949" s="49"/>
      <c r="BC949" s="49"/>
      <c r="BD949" s="49"/>
      <c r="BE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  <c r="AT950" s="49"/>
      <c r="AU950" s="49"/>
      <c r="AV950" s="49"/>
      <c r="AW950" s="49"/>
      <c r="AX950" s="49"/>
      <c r="AY950" s="49"/>
      <c r="AZ950" s="49"/>
      <c r="BA950" s="49"/>
      <c r="BB950" s="49"/>
      <c r="BC950" s="49"/>
      <c r="BD950" s="49"/>
      <c r="BE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/>
      <c r="BB951" s="49"/>
      <c r="BC951" s="49"/>
      <c r="BD951" s="49"/>
      <c r="BE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  <c r="AT952" s="49"/>
      <c r="AU952" s="49"/>
      <c r="AV952" s="49"/>
      <c r="AW952" s="49"/>
      <c r="AX952" s="49"/>
      <c r="AY952" s="49"/>
      <c r="AZ952" s="49"/>
      <c r="BA952" s="49"/>
      <c r="BB952" s="49"/>
      <c r="BC952" s="49"/>
      <c r="BD952" s="49"/>
      <c r="BE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  <c r="AT953" s="49"/>
      <c r="AU953" s="49"/>
      <c r="AV953" s="49"/>
      <c r="AW953" s="49"/>
      <c r="AX953" s="49"/>
      <c r="AY953" s="49"/>
      <c r="AZ953" s="49"/>
      <c r="BA953" s="49"/>
      <c r="BB953" s="49"/>
      <c r="BC953" s="49"/>
      <c r="BD953" s="49"/>
      <c r="BE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  <c r="AT954" s="49"/>
      <c r="AU954" s="49"/>
      <c r="AV954" s="49"/>
      <c r="AW954" s="49"/>
      <c r="AX954" s="49"/>
      <c r="AY954" s="49"/>
      <c r="AZ954" s="49"/>
      <c r="BA954" s="49"/>
      <c r="BB954" s="49"/>
      <c r="BC954" s="49"/>
      <c r="BD954" s="49"/>
      <c r="BE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  <c r="AT955" s="49"/>
      <c r="AU955" s="49"/>
      <c r="AV955" s="49"/>
      <c r="AW955" s="49"/>
      <c r="AX955" s="49"/>
      <c r="AY955" s="49"/>
      <c r="AZ955" s="49"/>
      <c r="BA955" s="49"/>
      <c r="BB955" s="49"/>
      <c r="BC955" s="49"/>
      <c r="BD955" s="49"/>
      <c r="BE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/>
      <c r="AX956" s="49"/>
      <c r="AY956" s="49"/>
      <c r="AZ956" s="49"/>
      <c r="BA956" s="49"/>
      <c r="BB956" s="49"/>
      <c r="BC956" s="49"/>
      <c r="BD956" s="49"/>
      <c r="BE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  <c r="AT958" s="49"/>
      <c r="AU958" s="49"/>
      <c r="AV958" s="49"/>
      <c r="AW958" s="49"/>
      <c r="AX958" s="49"/>
      <c r="AY958" s="49"/>
      <c r="AZ958" s="49"/>
      <c r="BA958" s="49"/>
      <c r="BB958" s="49"/>
      <c r="BC958" s="49"/>
      <c r="BD958" s="49"/>
      <c r="BE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  <c r="AT959" s="49"/>
      <c r="AU959" s="49"/>
      <c r="AV959" s="49"/>
      <c r="AW959" s="49"/>
      <c r="AX959" s="49"/>
      <c r="AY959" s="49"/>
      <c r="AZ959" s="49"/>
      <c r="BA959" s="49"/>
      <c r="BB959" s="49"/>
      <c r="BC959" s="49"/>
      <c r="BD959" s="49"/>
      <c r="BE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  <c r="AT970" s="49"/>
      <c r="AU970" s="49"/>
      <c r="AV970" s="49"/>
      <c r="AW970" s="49"/>
      <c r="AX970" s="49"/>
      <c r="AY970" s="49"/>
      <c r="AZ970" s="49"/>
      <c r="BA970" s="49"/>
      <c r="BB970" s="49"/>
      <c r="BC970" s="49"/>
      <c r="BD970" s="49"/>
      <c r="BE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  <c r="AT971" s="49"/>
      <c r="AU971" s="49"/>
      <c r="AV971" s="49"/>
      <c r="AW971" s="49"/>
      <c r="AX971" s="49"/>
      <c r="AY971" s="49"/>
      <c r="AZ971" s="49"/>
      <c r="BA971" s="49"/>
      <c r="BB971" s="49"/>
      <c r="BC971" s="49"/>
      <c r="BD971" s="49"/>
      <c r="BE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  <c r="AT972" s="49"/>
      <c r="AU972" s="49"/>
      <c r="AV972" s="49"/>
      <c r="AW972" s="49"/>
      <c r="AX972" s="49"/>
      <c r="AY972" s="49"/>
      <c r="AZ972" s="49"/>
      <c r="BA972" s="49"/>
      <c r="BB972" s="49"/>
      <c r="BC972" s="49"/>
      <c r="BD972" s="49"/>
      <c r="BE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  <c r="AT973" s="49"/>
      <c r="AU973" s="49"/>
      <c r="AV973" s="49"/>
      <c r="AW973" s="49"/>
      <c r="AX973" s="49"/>
      <c r="AY973" s="49"/>
      <c r="AZ973" s="49"/>
      <c r="BA973" s="49"/>
      <c r="BB973" s="49"/>
      <c r="BC973" s="49"/>
      <c r="BD973" s="49"/>
      <c r="BE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  <c r="AT974" s="49"/>
      <c r="AU974" s="49"/>
      <c r="AV974" s="49"/>
      <c r="AW974" s="49"/>
      <c r="AX974" s="49"/>
      <c r="AY974" s="49"/>
      <c r="AZ974" s="49"/>
      <c r="BA974" s="49"/>
      <c r="BB974" s="49"/>
      <c r="BC974" s="49"/>
      <c r="BD974" s="49"/>
      <c r="BE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  <c r="AT975" s="49"/>
      <c r="AU975" s="49"/>
      <c r="AV975" s="49"/>
      <c r="AW975" s="49"/>
      <c r="AX975" s="49"/>
      <c r="AY975" s="49"/>
      <c r="AZ975" s="49"/>
      <c r="BA975" s="49"/>
      <c r="BB975" s="49"/>
      <c r="BC975" s="49"/>
      <c r="BD975" s="49"/>
      <c r="BE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  <c r="AT976" s="49"/>
      <c r="AU976" s="49"/>
      <c r="AV976" s="49"/>
      <c r="AW976" s="49"/>
      <c r="AX976" s="49"/>
      <c r="AY976" s="49"/>
      <c r="AZ976" s="49"/>
      <c r="BA976" s="49"/>
      <c r="BB976" s="49"/>
      <c r="BC976" s="49"/>
      <c r="BD976" s="49"/>
      <c r="BE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  <c r="AT977" s="49"/>
      <c r="AU977" s="49"/>
      <c r="AV977" s="49"/>
      <c r="AW977" s="49"/>
      <c r="AX977" s="49"/>
      <c r="AY977" s="49"/>
      <c r="AZ977" s="49"/>
      <c r="BA977" s="49"/>
      <c r="BB977" s="49"/>
      <c r="BC977" s="49"/>
      <c r="BD977" s="49"/>
      <c r="BE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  <c r="AT978" s="49"/>
      <c r="AU978" s="49"/>
      <c r="AV978" s="49"/>
      <c r="AW978" s="49"/>
      <c r="AX978" s="49"/>
      <c r="AY978" s="49"/>
      <c r="AZ978" s="49"/>
      <c r="BA978" s="49"/>
      <c r="BB978" s="49"/>
      <c r="BC978" s="49"/>
      <c r="BD978" s="49"/>
      <c r="BE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  <c r="AT979" s="49"/>
      <c r="AU979" s="49"/>
      <c r="AV979" s="49"/>
      <c r="AW979" s="49"/>
      <c r="AX979" s="49"/>
      <c r="AY979" s="49"/>
      <c r="AZ979" s="49"/>
      <c r="BA979" s="49"/>
      <c r="BB979" s="49"/>
      <c r="BC979" s="49"/>
      <c r="BD979" s="49"/>
      <c r="BE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  <c r="AT980" s="49"/>
      <c r="AU980" s="49"/>
      <c r="AV980" s="49"/>
      <c r="AW980" s="49"/>
      <c r="AX980" s="49"/>
      <c r="AY980" s="49"/>
      <c r="AZ980" s="49"/>
      <c r="BA980" s="49"/>
      <c r="BB980" s="49"/>
      <c r="BC980" s="49"/>
      <c r="BD980" s="49"/>
      <c r="BE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1" s="49"/>
      <c r="AW981" s="49"/>
      <c r="AX981" s="49"/>
      <c r="AY981" s="49"/>
      <c r="AZ981" s="49"/>
      <c r="BA981" s="49"/>
      <c r="BB981" s="49"/>
      <c r="BC981" s="49"/>
      <c r="BD981" s="49"/>
      <c r="BE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/>
      <c r="BB982" s="49"/>
      <c r="BC982" s="49"/>
      <c r="BD982" s="49"/>
      <c r="BE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/>
      <c r="BB983" s="49"/>
      <c r="BC983" s="49"/>
      <c r="BD983" s="49"/>
      <c r="BE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  <c r="AT984" s="49"/>
      <c r="AU984" s="49"/>
      <c r="AV984" s="49"/>
      <c r="AW984" s="49"/>
      <c r="AX984" s="49"/>
      <c r="AY984" s="49"/>
      <c r="AZ984" s="49"/>
      <c r="BA984" s="49"/>
      <c r="BB984" s="49"/>
      <c r="BC984" s="49"/>
      <c r="BD984" s="49"/>
      <c r="BE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  <c r="AT985" s="49"/>
      <c r="AU985" s="49"/>
      <c r="AV985" s="49"/>
      <c r="AW985" s="49"/>
      <c r="AX985" s="49"/>
      <c r="AY985" s="49"/>
      <c r="AZ985" s="49"/>
      <c r="BA985" s="49"/>
      <c r="BB985" s="49"/>
      <c r="BC985" s="49"/>
      <c r="BD985" s="49"/>
      <c r="BE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  <c r="AT986" s="49"/>
      <c r="AU986" s="49"/>
      <c r="AV986" s="49"/>
      <c r="AW986" s="49"/>
      <c r="AX986" s="49"/>
      <c r="AY986" s="49"/>
      <c r="AZ986" s="49"/>
      <c r="BA986" s="49"/>
      <c r="BB986" s="49"/>
      <c r="BC986" s="49"/>
      <c r="BD986" s="49"/>
      <c r="BE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  <c r="AT987" s="49"/>
      <c r="AU987" s="49"/>
      <c r="AV987" s="49"/>
      <c r="AW987" s="49"/>
      <c r="AX987" s="49"/>
      <c r="AY987" s="49"/>
      <c r="AZ987" s="49"/>
      <c r="BA987" s="49"/>
      <c r="BB987" s="49"/>
      <c r="BC987" s="49"/>
      <c r="BD987" s="49"/>
      <c r="BE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  <c r="AT988" s="49"/>
      <c r="AU988" s="49"/>
      <c r="AV988" s="49"/>
      <c r="AW988" s="49"/>
      <c r="AX988" s="49"/>
      <c r="AY988" s="49"/>
      <c r="AZ988" s="49"/>
      <c r="BA988" s="49"/>
      <c r="BB988" s="49"/>
      <c r="BC988" s="49"/>
      <c r="BD988" s="49"/>
      <c r="BE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  <c r="AT989" s="49"/>
      <c r="AU989" s="49"/>
      <c r="AV989" s="49"/>
      <c r="AW989" s="49"/>
      <c r="AX989" s="49"/>
      <c r="AY989" s="49"/>
      <c r="AZ989" s="49"/>
      <c r="BA989" s="49"/>
      <c r="BB989" s="49"/>
      <c r="BC989" s="49"/>
      <c r="BD989" s="49"/>
      <c r="BE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  <c r="AT990" s="49"/>
      <c r="AU990" s="49"/>
      <c r="AV990" s="49"/>
      <c r="AW990" s="49"/>
      <c r="AX990" s="49"/>
      <c r="AY990" s="49"/>
      <c r="AZ990" s="49"/>
      <c r="BA990" s="49"/>
      <c r="BB990" s="49"/>
      <c r="BC990" s="49"/>
      <c r="BD990" s="49"/>
      <c r="BE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/>
      <c r="BB991" s="49"/>
      <c r="BC991" s="49"/>
      <c r="BD991" s="49"/>
      <c r="BE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  <c r="AT992" s="49"/>
      <c r="AU992" s="49"/>
      <c r="AV992" s="49"/>
      <c r="AW992" s="49"/>
      <c r="AX992" s="49"/>
      <c r="AY992" s="49"/>
      <c r="AZ992" s="49"/>
      <c r="BA992" s="49"/>
      <c r="BB992" s="49"/>
      <c r="BC992" s="49"/>
      <c r="BD992" s="49"/>
      <c r="BE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  <c r="AT993" s="49"/>
      <c r="AU993" s="49"/>
      <c r="AV993" s="49"/>
      <c r="AW993" s="49"/>
      <c r="AX993" s="49"/>
      <c r="AY993" s="49"/>
      <c r="AZ993" s="49"/>
      <c r="BA993" s="49"/>
      <c r="BB993" s="49"/>
      <c r="BC993" s="49"/>
      <c r="BD993" s="49"/>
      <c r="BE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/>
      <c r="AX994" s="49"/>
      <c r="AY994" s="49"/>
      <c r="AZ994" s="49"/>
      <c r="BA994" s="49"/>
      <c r="BB994" s="49"/>
      <c r="BC994" s="49"/>
      <c r="BD994" s="49"/>
      <c r="BE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  <c r="AT996" s="49"/>
      <c r="AU996" s="49"/>
      <c r="AV996" s="49"/>
      <c r="AW996" s="49"/>
      <c r="AX996" s="49"/>
      <c r="AY996" s="49"/>
      <c r="AZ996" s="49"/>
      <c r="BA996" s="49"/>
      <c r="BB996" s="49"/>
      <c r="BC996" s="49"/>
      <c r="BD996" s="49"/>
      <c r="BE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  <c r="AT997" s="49"/>
      <c r="AU997" s="49"/>
      <c r="AV997" s="49"/>
      <c r="AW997" s="49"/>
      <c r="AX997" s="49"/>
      <c r="AY997" s="49"/>
      <c r="AZ997" s="49"/>
      <c r="BA997" s="49"/>
      <c r="BB997" s="49"/>
      <c r="BC997" s="49"/>
      <c r="BD997" s="49"/>
      <c r="BE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</row>
  </sheetData>
  <conditionalFormatting sqref="B2:BA55">
    <cfRule type="expression" dxfId="0" priority="1">
      <formula>AND(B2&lt;&gt;1,B2&lt;&gt;2, B2&lt;&gt;3,B2&lt;&gt;4,B2&lt;&gt;5)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1.13"/>
    <col customWidth="1" min="4" max="4" width="16.63"/>
  </cols>
  <sheetData>
    <row r="1">
      <c r="A1" s="53" t="s">
        <v>179</v>
      </c>
      <c r="B1" s="54" t="s">
        <v>180</v>
      </c>
      <c r="C1" s="54" t="s">
        <v>181</v>
      </c>
      <c r="D1" s="54" t="s">
        <v>182</v>
      </c>
      <c r="E1" s="54" t="s">
        <v>183</v>
      </c>
    </row>
    <row r="2">
      <c r="A2" s="4">
        <v>1.0</v>
      </c>
      <c r="B2" s="5" t="s">
        <v>2</v>
      </c>
      <c r="C2" s="55" t="s">
        <v>184</v>
      </c>
      <c r="D2" s="1"/>
      <c r="E2" s="55" t="s">
        <v>185</v>
      </c>
    </row>
    <row r="3">
      <c r="A3" s="4">
        <v>2.0</v>
      </c>
      <c r="B3" s="5" t="s">
        <v>4</v>
      </c>
      <c r="C3" s="1"/>
      <c r="D3" s="56" t="s">
        <v>186</v>
      </c>
      <c r="E3" s="55" t="s">
        <v>185</v>
      </c>
    </row>
    <row r="4">
      <c r="A4" s="4">
        <v>3.0</v>
      </c>
      <c r="B4" s="5" t="s">
        <v>5</v>
      </c>
      <c r="C4" s="55" t="s">
        <v>187</v>
      </c>
      <c r="D4" s="1"/>
      <c r="E4" s="55" t="s">
        <v>188</v>
      </c>
    </row>
    <row r="5">
      <c r="A5" s="4">
        <v>4.0</v>
      </c>
      <c r="B5" s="5" t="s">
        <v>6</v>
      </c>
      <c r="C5" s="55" t="s">
        <v>189</v>
      </c>
      <c r="D5" s="1"/>
      <c r="E5" s="55" t="s">
        <v>185</v>
      </c>
    </row>
    <row r="6">
      <c r="A6" s="4">
        <v>5.0</v>
      </c>
      <c r="B6" s="5" t="s">
        <v>7</v>
      </c>
      <c r="C6" s="55" t="s">
        <v>190</v>
      </c>
      <c r="D6" s="1"/>
      <c r="E6" s="55" t="s">
        <v>185</v>
      </c>
    </row>
  </sheetData>
  <hyperlinks>
    <hyperlink r:id="rId1" ref="D3"/>
  </hyperlinks>
  <drawing r:id="rId2"/>
</worksheet>
</file>
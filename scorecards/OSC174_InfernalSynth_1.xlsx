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Results!$A$1:$J$21</definedName>
  </definedNames>
  <calcPr/>
</workbook>
</file>

<file path=xl/sharedStrings.xml><?xml version="1.0" encoding="utf-8"?>
<sst xmlns="http://schemas.openxmlformats.org/spreadsheetml/2006/main" count="118" uniqueCount="69">
  <si>
    <t>Name</t>
  </si>
  <si>
    <t>Score</t>
  </si>
  <si>
    <t>5's</t>
  </si>
  <si>
    <t>4's</t>
  </si>
  <si>
    <t>3's</t>
  </si>
  <si>
    <t>2's</t>
  </si>
  <si>
    <t>1's</t>
  </si>
  <si>
    <t>exponent1 - Stairway To Hell</t>
  </si>
  <si>
    <t>pts</t>
  </si>
  <si>
    <t>davi-dj - Espigüete</t>
  </si>
  <si>
    <t>coin-toss winner</t>
  </si>
  <si>
    <t>MorphedDreams - Beyond Dimensions</t>
  </si>
  <si>
    <t>dq</t>
  </si>
  <si>
    <t>gethiox - Precision</t>
  </si>
  <si>
    <t>MadMcMan - Echo Forge</t>
  </si>
  <si>
    <t>NeuKatalYst - Horizontal</t>
  </si>
  <si>
    <t>Impedance Music - Wolfracer-6907</t>
  </si>
  <si>
    <t>574X - The Grand Egoic Programming Deception</t>
  </si>
  <si>
    <t>silverpants - A Minor Deviation</t>
  </si>
  <si>
    <t>Frank Geppert - Infernal Joy</t>
  </si>
  <si>
    <t>VCA-089 - What Lurks On Planet X</t>
  </si>
  <si>
    <t>Single Instance</t>
  </si>
  <si>
    <t>audio_dsp - Cause And Effect</t>
  </si>
  <si>
    <t>doctorbob - Ambient Inferno</t>
  </si>
  <si>
    <t>bh9090/hennessey - attenuate</t>
  </si>
  <si>
    <t>baalisoda - Stardust Serenade</t>
  </si>
  <si>
    <t>zipidowski - Runaway</t>
  </si>
  <si>
    <t>SynthDX7 - The Nocturnal Infernal State</t>
  </si>
  <si>
    <t>BrainBeatMusic - Infernal</t>
  </si>
  <si>
    <t>Korg Supporter - Flaming Musings</t>
  </si>
  <si>
    <t>violator_alba - Drowning Not Synthwaving</t>
  </si>
  <si>
    <t>Voter Name (KVR nick)</t>
  </si>
  <si>
    <t>Gen. Score *</t>
  </si>
  <si>
    <t>1980-F</t>
  </si>
  <si>
    <t>574X</t>
  </si>
  <si>
    <t>audio_dsp</t>
  </si>
  <si>
    <t>baalisoda</t>
  </si>
  <si>
    <t>bh9090</t>
  </si>
  <si>
    <t>BrainBeatMusic</t>
  </si>
  <si>
    <t>davi-dj</t>
  </si>
  <si>
    <t>doctorbob</t>
  </si>
  <si>
    <t>exponent1</t>
  </si>
  <si>
    <t>Frank Geppert</t>
  </si>
  <si>
    <t>igorius</t>
  </si>
  <si>
    <t>Impedance-Music</t>
  </si>
  <si>
    <t>Korg Supporter</t>
  </si>
  <si>
    <t>MadMcMan</t>
  </si>
  <si>
    <t>MorphedDreams</t>
  </si>
  <si>
    <t>NeuKatalYst</t>
  </si>
  <si>
    <t>silverpants</t>
  </si>
  <si>
    <t>sjoerdvankreel</t>
  </si>
  <si>
    <t>SynthDX7</t>
  </si>
  <si>
    <t>VCA-089</t>
  </si>
  <si>
    <t>violator_alba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</si>
  <si>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</si>
  <si>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</si>
  <si>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</si>
  <si>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</si>
  <si>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</si>
  <si>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</si>
  <si>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</si>
  <si>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</si>
  <si>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</si>
  <si>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</si>
  <si>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Sinmad from NuSofting</t>
  </si>
  <si>
    <t>Luftrum Bioscape</t>
  </si>
  <si>
    <t>Yuli Yolo - Soundsets for Vital: Diversity, Bass Music Wavetables, Noises &amp; Exciters</t>
  </si>
  <si>
    <t>discoDSP Discovery</t>
  </si>
  <si>
    <t>JRR SOUNDS: ANALOGUE SOUNDS FOR XFER SERUM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</si>
</sst>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color rgb="FF666666"/>
      <name val="Calibri"/>
    </font>
    <font>
      <sz val="8.0"/>
      <color rgb="FF666666"/>
      <name val="Calibri"/>
    </font>
    <font>
      <sz val="11.0"/>
      <color rgb="FFA61D4C"/>
      <name val="Inconsolata"/>
    </font>
    <font>
      <sz val="11.0"/>
      <color theme="1"/>
      <name val="Inconsolata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i/>
      <sz val="8.0"/>
      <color rgb="FF666666"/>
      <name val="Arial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horizontal="right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9" numFmtId="0" xfId="0" applyAlignment="1" applyFill="1" applyFont="1">
      <alignment shrinkToFit="0" vertical="bottom" wrapText="0"/>
    </xf>
    <xf borderId="0" fillId="2" fontId="10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3" fontId="4" numFmtId="0" xfId="0" applyAlignment="1" applyFill="1" applyFont="1">
      <alignment horizontal="left" readingOrder="0"/>
    </xf>
    <xf borderId="0" fillId="0" fontId="11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4" numFmtId="0" xfId="0" applyFont="1"/>
    <xf borderId="0" fillId="4" fontId="6" numFmtId="0" xfId="0" applyAlignment="1" applyFill="1" applyFont="1">
      <alignment readingOrder="0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5" fontId="1" numFmtId="0" xfId="0" applyAlignment="1" applyFill="1" applyFont="1">
      <alignment horizontal="center" vertical="bottom"/>
    </xf>
    <xf borderId="0" fillId="0" fontId="13" numFmtId="49" xfId="0" applyAlignment="1" applyFont="1" applyNumberFormat="1">
      <alignment vertical="bottom"/>
    </xf>
    <xf borderId="0" fillId="0" fontId="11" numFmtId="49" xfId="0" applyAlignment="1" applyFont="1" applyNumberFormat="1">
      <alignment shrinkToFit="0" vertical="bottom" wrapText="0"/>
    </xf>
    <xf borderId="0" fillId="0" fontId="14" numFmtId="49" xfId="0" applyAlignment="1" applyFont="1" applyNumberFormat="1">
      <alignment vertical="bottom"/>
    </xf>
    <xf borderId="0" fillId="0" fontId="15" numFmtId="49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2" numFmtId="49" xfId="0" applyAlignment="1" applyFont="1" applyNumberFormat="1">
      <alignment shrinkToFit="0" vertical="bottom" wrapText="0"/>
    </xf>
    <xf borderId="0" fillId="0" fontId="15" numFmtId="49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114300</xdr:colOff>
      <xdr:row>31</xdr:row>
      <xdr:rowOff>28575</xdr:rowOff>
    </xdr:from>
    <xdr:ext cx="2533650" cy="2533650"/>
    <xdr:pic>
      <xdr:nvPicPr>
        <xdr:cNvPr id="108315537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7.38"/>
    <col customWidth="1" min="3" max="3" width="6.88"/>
    <col customWidth="1" min="4" max="4" width="5.5"/>
    <col customWidth="1" min="5" max="9" width="6.25"/>
    <col customWidth="1" min="10" max="10" width="12.38"/>
    <col customWidth="1" min="11" max="11" width="13.38"/>
    <col customWidth="1" min="12" max="30" width="7.1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6">
        <v>1.0</v>
      </c>
      <c r="B2" s="7" t="s">
        <v>7</v>
      </c>
      <c r="C2" s="8">
        <v>96.0</v>
      </c>
      <c r="D2" s="9" t="s">
        <v>8</v>
      </c>
      <c r="E2" s="8">
        <v>15.0</v>
      </c>
      <c r="F2" s="8">
        <v>5.0</v>
      </c>
      <c r="G2" s="8">
        <v>0.0</v>
      </c>
      <c r="H2" s="8">
        <v>0.0</v>
      </c>
      <c r="I2" s="8">
        <v>1.0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>
      <c r="A3" s="6">
        <v>2.0</v>
      </c>
      <c r="B3" s="7" t="s">
        <v>9</v>
      </c>
      <c r="C3" s="8">
        <v>93.0</v>
      </c>
      <c r="D3" s="9" t="s">
        <v>8</v>
      </c>
      <c r="E3" s="8">
        <v>13.0</v>
      </c>
      <c r="F3" s="8">
        <v>6.0</v>
      </c>
      <c r="G3" s="8">
        <v>1.0</v>
      </c>
      <c r="H3" s="8">
        <v>0.0</v>
      </c>
      <c r="I3" s="8">
        <v>1.0</v>
      </c>
      <c r="J3" s="10" t="s">
        <v>10</v>
      </c>
      <c r="K3" s="10"/>
      <c r="L3" s="10"/>
      <c r="M3" s="10"/>
      <c r="N3" s="10"/>
      <c r="O3" s="10"/>
      <c r="P3" s="10"/>
      <c r="Q3" s="10"/>
      <c r="R3" s="10"/>
      <c r="S3" s="10"/>
      <c r="T3" s="10"/>
    </row>
    <row r="4">
      <c r="A4" s="6">
        <v>3.0</v>
      </c>
      <c r="B4" s="7" t="s">
        <v>11</v>
      </c>
      <c r="C4" s="8">
        <v>93.0</v>
      </c>
      <c r="D4" s="9" t="s">
        <v>8</v>
      </c>
      <c r="E4" s="8">
        <v>13.0</v>
      </c>
      <c r="F4" s="8">
        <v>6.0</v>
      </c>
      <c r="G4" s="8">
        <v>1.0</v>
      </c>
      <c r="H4" s="8">
        <v>0.0</v>
      </c>
      <c r="I4" s="8">
        <v>1.0</v>
      </c>
      <c r="J4" s="1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6" t="s">
        <v>12</v>
      </c>
      <c r="B5" s="7" t="s">
        <v>13</v>
      </c>
      <c r="C5" s="8">
        <v>90.0</v>
      </c>
      <c r="D5" s="9" t="s">
        <v>8</v>
      </c>
      <c r="E5" s="8">
        <v>8.0</v>
      </c>
      <c r="F5" s="8">
        <v>11.0</v>
      </c>
      <c r="G5" s="8">
        <v>2.0</v>
      </c>
      <c r="H5" s="8">
        <v>0.0</v>
      </c>
      <c r="I5" s="8">
        <v>0.0</v>
      </c>
      <c r="J5" s="1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6">
        <v>4.0</v>
      </c>
      <c r="B6" s="7" t="s">
        <v>14</v>
      </c>
      <c r="C6" s="8">
        <v>89.0</v>
      </c>
      <c r="D6" s="9" t="s">
        <v>8</v>
      </c>
      <c r="E6" s="8">
        <v>10.0</v>
      </c>
      <c r="F6" s="8">
        <v>8.0</v>
      </c>
      <c r="G6" s="8">
        <v>2.0</v>
      </c>
      <c r="H6" s="8">
        <v>0.0</v>
      </c>
      <c r="I6" s="8">
        <v>1.0</v>
      </c>
      <c r="J6" s="1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6">
        <v>5.0</v>
      </c>
      <c r="B7" s="7" t="s">
        <v>15</v>
      </c>
      <c r="C7" s="8">
        <v>86.0</v>
      </c>
      <c r="D7" s="9" t="s">
        <v>8</v>
      </c>
      <c r="E7" s="8">
        <v>7.0</v>
      </c>
      <c r="F7" s="8">
        <v>11.0</v>
      </c>
      <c r="G7" s="8">
        <v>2.0</v>
      </c>
      <c r="H7" s="8">
        <v>0.0</v>
      </c>
      <c r="I7" s="8">
        <v>1.0</v>
      </c>
      <c r="J7" s="1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6">
        <v>6.0</v>
      </c>
      <c r="B8" s="7" t="s">
        <v>16</v>
      </c>
      <c r="C8" s="8">
        <v>85.0</v>
      </c>
      <c r="D8" s="9" t="s">
        <v>8</v>
      </c>
      <c r="E8" s="8">
        <v>9.0</v>
      </c>
      <c r="F8" s="8">
        <v>6.0</v>
      </c>
      <c r="G8" s="8">
        <v>5.0</v>
      </c>
      <c r="H8" s="8">
        <v>0.0</v>
      </c>
      <c r="I8" s="8">
        <v>1.0</v>
      </c>
      <c r="J8" s="1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6">
        <v>7.0</v>
      </c>
      <c r="B9" s="7" t="s">
        <v>17</v>
      </c>
      <c r="C9" s="8">
        <v>83.0</v>
      </c>
      <c r="D9" s="9" t="s">
        <v>8</v>
      </c>
      <c r="E9" s="8">
        <v>7.0</v>
      </c>
      <c r="F9" s="8">
        <v>9.0</v>
      </c>
      <c r="G9" s="8">
        <v>3.0</v>
      </c>
      <c r="H9" s="8">
        <v>1.0</v>
      </c>
      <c r="I9" s="8">
        <v>1.0</v>
      </c>
      <c r="J9" s="1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6">
        <v>8.0</v>
      </c>
      <c r="B10" s="7" t="s">
        <v>18</v>
      </c>
      <c r="C10" s="8">
        <v>79.0</v>
      </c>
      <c r="D10" s="9" t="s">
        <v>8</v>
      </c>
      <c r="E10" s="8">
        <v>3.0</v>
      </c>
      <c r="F10" s="8">
        <v>13.0</v>
      </c>
      <c r="G10" s="8">
        <v>3.0</v>
      </c>
      <c r="H10" s="8">
        <v>1.0</v>
      </c>
      <c r="I10" s="8">
        <v>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6">
        <v>9.0</v>
      </c>
      <c r="B11" s="7" t="s">
        <v>19</v>
      </c>
      <c r="C11" s="8">
        <v>78.0</v>
      </c>
      <c r="D11" s="9" t="s">
        <v>8</v>
      </c>
      <c r="E11" s="8">
        <v>2.0</v>
      </c>
      <c r="F11" s="8">
        <v>13.0</v>
      </c>
      <c r="G11" s="8">
        <v>5.0</v>
      </c>
      <c r="H11" s="8">
        <v>0.0</v>
      </c>
      <c r="I11" s="8">
        <v>1.0</v>
      </c>
      <c r="J11" s="1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6">
        <v>10.0</v>
      </c>
      <c r="B12" s="7" t="s">
        <v>20</v>
      </c>
      <c r="C12" s="8">
        <v>76.0</v>
      </c>
      <c r="D12" s="9" t="s">
        <v>8</v>
      </c>
      <c r="E12" s="8">
        <v>3.0</v>
      </c>
      <c r="F12" s="8">
        <v>11.0</v>
      </c>
      <c r="G12" s="8">
        <v>4.0</v>
      </c>
      <c r="H12" s="8">
        <v>2.0</v>
      </c>
      <c r="I12" s="8">
        <v>1.0</v>
      </c>
      <c r="J12" s="11" t="s">
        <v>21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6">
        <v>11.0</v>
      </c>
      <c r="B13" s="7" t="s">
        <v>22</v>
      </c>
      <c r="C13" s="8">
        <v>76.0</v>
      </c>
      <c r="D13" s="9" t="s">
        <v>8</v>
      </c>
      <c r="E13" s="8">
        <v>3.0</v>
      </c>
      <c r="F13" s="8">
        <v>10.0</v>
      </c>
      <c r="G13" s="8">
        <v>6.0</v>
      </c>
      <c r="H13" s="8">
        <v>1.0</v>
      </c>
      <c r="I13" s="8">
        <v>1.0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6">
        <v>12.0</v>
      </c>
      <c r="B14" s="7" t="s">
        <v>23</v>
      </c>
      <c r="C14" s="8">
        <v>76.0</v>
      </c>
      <c r="D14" s="9" t="s">
        <v>8</v>
      </c>
      <c r="E14" s="8">
        <v>1.0</v>
      </c>
      <c r="F14" s="8">
        <v>13.0</v>
      </c>
      <c r="G14" s="8">
        <v>6.0</v>
      </c>
      <c r="H14" s="8">
        <v>0.0</v>
      </c>
      <c r="I14" s="8">
        <v>1.0</v>
      </c>
      <c r="J14" s="10"/>
      <c r="K14" s="12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6">
        <v>13.0</v>
      </c>
      <c r="B15" s="7" t="s">
        <v>24</v>
      </c>
      <c r="C15" s="8">
        <v>75.0</v>
      </c>
      <c r="D15" s="9" t="s">
        <v>8</v>
      </c>
      <c r="E15" s="8">
        <v>4.0</v>
      </c>
      <c r="F15" s="8">
        <v>6.0</v>
      </c>
      <c r="G15" s="8">
        <v>10.0</v>
      </c>
      <c r="H15" s="8">
        <v>0.0</v>
      </c>
      <c r="I15" s="8">
        <v>1.0</v>
      </c>
      <c r="J15" s="10"/>
      <c r="K15" s="10"/>
      <c r="L15" s="12"/>
      <c r="M15" s="10"/>
      <c r="N15" s="10"/>
      <c r="O15" s="10"/>
      <c r="P15" s="10"/>
      <c r="Q15" s="10"/>
      <c r="R15" s="10"/>
      <c r="S15" s="10"/>
      <c r="T15" s="10"/>
    </row>
    <row r="16">
      <c r="A16" s="6">
        <v>14.0</v>
      </c>
      <c r="B16" s="7" t="s">
        <v>25</v>
      </c>
      <c r="C16" s="8">
        <v>75.0</v>
      </c>
      <c r="D16" s="9" t="s">
        <v>8</v>
      </c>
      <c r="E16" s="8">
        <v>2.0</v>
      </c>
      <c r="F16" s="8">
        <v>10.0</v>
      </c>
      <c r="G16" s="8">
        <v>8.0</v>
      </c>
      <c r="H16" s="8">
        <v>0.0</v>
      </c>
      <c r="I16" s="8">
        <v>1.0</v>
      </c>
      <c r="K16" s="10"/>
      <c r="L16" s="10"/>
      <c r="M16" s="12"/>
      <c r="N16" s="10"/>
      <c r="O16" s="10"/>
      <c r="P16" s="10"/>
      <c r="Q16" s="10"/>
      <c r="R16" s="10"/>
      <c r="S16" s="10"/>
      <c r="T16" s="10"/>
    </row>
    <row r="17">
      <c r="A17" s="6">
        <v>15.0</v>
      </c>
      <c r="B17" s="7" t="s">
        <v>26</v>
      </c>
      <c r="C17" s="8">
        <v>72.0</v>
      </c>
      <c r="D17" s="9" t="s">
        <v>8</v>
      </c>
      <c r="E17" s="8">
        <v>2.0</v>
      </c>
      <c r="F17" s="8">
        <v>9.0</v>
      </c>
      <c r="G17" s="8">
        <v>7.0</v>
      </c>
      <c r="H17" s="8">
        <v>2.0</v>
      </c>
      <c r="I17" s="8">
        <v>1.0</v>
      </c>
      <c r="J17" s="1"/>
      <c r="K17" s="10"/>
      <c r="L17" s="10"/>
      <c r="M17" s="10"/>
      <c r="N17" s="12"/>
      <c r="O17" s="10"/>
      <c r="P17" s="10"/>
      <c r="Q17" s="10"/>
      <c r="R17" s="10"/>
      <c r="S17" s="10"/>
      <c r="T17" s="10"/>
    </row>
    <row r="18">
      <c r="A18" s="6">
        <v>16.0</v>
      </c>
      <c r="B18" s="7" t="s">
        <v>27</v>
      </c>
      <c r="C18" s="8">
        <v>70.0</v>
      </c>
      <c r="D18" s="9" t="s">
        <v>8</v>
      </c>
      <c r="E18" s="8">
        <v>3.0</v>
      </c>
      <c r="F18" s="8">
        <v>6.0</v>
      </c>
      <c r="G18" s="8">
        <v>8.0</v>
      </c>
      <c r="H18" s="8">
        <v>3.0</v>
      </c>
      <c r="I18" s="8">
        <v>1.0</v>
      </c>
      <c r="J18" s="10"/>
      <c r="K18" s="10"/>
      <c r="L18" s="10"/>
      <c r="M18" s="10"/>
      <c r="N18" s="10"/>
      <c r="O18" s="12"/>
      <c r="P18" s="10"/>
      <c r="Q18" s="10"/>
      <c r="R18" s="10"/>
      <c r="S18" s="10"/>
      <c r="T18" s="10"/>
    </row>
    <row r="19">
      <c r="A19" s="6">
        <v>17.0</v>
      </c>
      <c r="B19" s="7" t="s">
        <v>28</v>
      </c>
      <c r="C19" s="8">
        <v>70.0</v>
      </c>
      <c r="D19" s="9" t="s">
        <v>8</v>
      </c>
      <c r="E19" s="8">
        <v>2.0</v>
      </c>
      <c r="F19" s="8">
        <v>6.0</v>
      </c>
      <c r="G19" s="8">
        <v>11.0</v>
      </c>
      <c r="H19" s="8">
        <v>1.0</v>
      </c>
      <c r="I19" s="8">
        <v>1.0</v>
      </c>
      <c r="J19" s="1"/>
      <c r="K19" s="10"/>
      <c r="L19" s="10"/>
      <c r="M19" s="10"/>
      <c r="N19" s="10"/>
      <c r="O19" s="10"/>
      <c r="P19" s="12"/>
      <c r="Q19" s="10"/>
      <c r="R19" s="10"/>
      <c r="S19" s="10"/>
      <c r="T19" s="10"/>
    </row>
    <row r="20">
      <c r="A20" s="6">
        <v>18.0</v>
      </c>
      <c r="B20" s="7" t="s">
        <v>29</v>
      </c>
      <c r="C20" s="8">
        <v>65.0</v>
      </c>
      <c r="D20" s="9" t="s">
        <v>8</v>
      </c>
      <c r="E20" s="8">
        <v>0.0</v>
      </c>
      <c r="F20" s="8">
        <v>8.0</v>
      </c>
      <c r="G20" s="8">
        <v>9.0</v>
      </c>
      <c r="H20" s="8">
        <v>2.0</v>
      </c>
      <c r="I20" s="8">
        <v>2.0</v>
      </c>
      <c r="J20" s="1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6">
        <v>19.0</v>
      </c>
      <c r="B21" s="7" t="s">
        <v>30</v>
      </c>
      <c r="C21" s="8">
        <v>60.0</v>
      </c>
      <c r="D21" s="9" t="s">
        <v>8</v>
      </c>
      <c r="E21" s="8">
        <v>0.0</v>
      </c>
      <c r="F21" s="8">
        <v>3.0</v>
      </c>
      <c r="G21" s="8">
        <v>13.0</v>
      </c>
      <c r="H21" s="8">
        <v>4.0</v>
      </c>
      <c r="I21" s="8">
        <v>1.0</v>
      </c>
      <c r="J21" s="1"/>
      <c r="K21" s="10"/>
      <c r="L21" s="10"/>
      <c r="M21" s="10"/>
      <c r="N21" s="10"/>
      <c r="O21" s="10"/>
      <c r="P21" s="10"/>
      <c r="Q21" s="12"/>
      <c r="R21" s="10"/>
      <c r="S21" s="10"/>
      <c r="T21" s="10"/>
    </row>
    <row r="22">
      <c r="C22" s="13"/>
      <c r="J22" s="1"/>
      <c r="K22" s="10"/>
      <c r="L22" s="10"/>
      <c r="M22" s="10"/>
      <c r="N22" s="10"/>
      <c r="O22" s="10"/>
      <c r="P22" s="10"/>
      <c r="Q22" s="10"/>
      <c r="R22" s="12"/>
      <c r="S22" s="10"/>
      <c r="T22" s="10"/>
    </row>
    <row r="23">
      <c r="C23" s="13"/>
      <c r="J23" s="10"/>
      <c r="K23" s="10"/>
      <c r="L23" s="10"/>
      <c r="M23" s="10"/>
      <c r="N23" s="10"/>
      <c r="O23" s="10"/>
      <c r="P23" s="10"/>
      <c r="Q23" s="10"/>
      <c r="R23" s="10"/>
      <c r="S23" s="12"/>
      <c r="T23" s="10"/>
    </row>
    <row r="24">
      <c r="C24" s="13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2"/>
    </row>
    <row r="25">
      <c r="C25" s="13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C26" s="13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>
      <c r="C27" s="13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>
      <c r="C28" s="13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>
      <c r="C29" s="13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>
      <c r="C30" s="13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  <c r="F80" s="16"/>
    </row>
    <row r="81">
      <c r="C81" s="13"/>
      <c r="F81" s="17"/>
    </row>
    <row r="82">
      <c r="C82" s="13"/>
      <c r="F82" s="18"/>
    </row>
    <row r="83">
      <c r="C83" s="13"/>
      <c r="F83" s="18"/>
    </row>
    <row r="84">
      <c r="C84" s="13"/>
      <c r="F84" s="18"/>
    </row>
    <row r="85">
      <c r="C85" s="13"/>
      <c r="F85" s="18"/>
    </row>
    <row r="86">
      <c r="C86" s="13"/>
    </row>
    <row r="87">
      <c r="C87" s="13"/>
      <c r="F87" s="19"/>
    </row>
    <row r="88">
      <c r="C88" s="13"/>
      <c r="F88" s="19"/>
    </row>
    <row r="89">
      <c r="C89" s="13"/>
      <c r="F89" s="19"/>
    </row>
    <row r="90">
      <c r="C90" s="13"/>
      <c r="F90" s="19"/>
    </row>
    <row r="91">
      <c r="C91" s="13"/>
      <c r="F91" s="19"/>
    </row>
    <row r="92">
      <c r="C92" s="13"/>
      <c r="F92" s="19"/>
    </row>
    <row r="93">
      <c r="C93" s="13"/>
      <c r="F93" s="19"/>
    </row>
    <row r="94">
      <c r="C94" s="13"/>
      <c r="F94" s="19"/>
    </row>
    <row r="95">
      <c r="C95" s="13"/>
      <c r="F95" s="19"/>
    </row>
    <row r="96">
      <c r="C96" s="13"/>
      <c r="F96" s="19"/>
    </row>
    <row r="97">
      <c r="C97" s="13"/>
      <c r="F97" s="19"/>
    </row>
    <row r="98">
      <c r="C98" s="13"/>
      <c r="F98" s="19"/>
    </row>
    <row r="99">
      <c r="C99" s="13"/>
      <c r="F99" s="19"/>
    </row>
    <row r="100">
      <c r="C100" s="13"/>
      <c r="F100" s="19"/>
    </row>
    <row r="101">
      <c r="C101" s="13"/>
      <c r="F101" s="19"/>
    </row>
    <row r="102">
      <c r="C102" s="13"/>
      <c r="F102" s="19"/>
    </row>
    <row r="103">
      <c r="C103" s="13"/>
      <c r="F103" s="17"/>
    </row>
    <row r="104">
      <c r="C104" s="13"/>
      <c r="F104" s="18"/>
    </row>
    <row r="105">
      <c r="C105" s="13"/>
      <c r="F105" s="18"/>
    </row>
    <row r="106">
      <c r="C106" s="13"/>
      <c r="F106" s="17"/>
    </row>
    <row r="107">
      <c r="C107" s="13"/>
      <c r="F107" s="18"/>
    </row>
    <row r="108">
      <c r="C108" s="13"/>
      <c r="F108" s="17"/>
    </row>
    <row r="109">
      <c r="C109" s="13"/>
      <c r="F109" s="20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</sheetData>
  <autoFilter ref="$A$1:$J$21">
    <sortState ref="A1:J21">
      <sortCondition descending="1" ref="C1:C21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1" width="6.13"/>
    <col customWidth="1" min="22" max="22" width="5.13"/>
    <col customWidth="1" min="23" max="24" width="6.5"/>
    <col customWidth="1" min="25" max="57" width="2.88"/>
  </cols>
  <sheetData>
    <row r="1">
      <c r="A1" s="21" t="s">
        <v>31</v>
      </c>
      <c r="B1" s="22" t="s">
        <v>17</v>
      </c>
      <c r="C1" s="22" t="s">
        <v>22</v>
      </c>
      <c r="D1" s="22" t="s">
        <v>25</v>
      </c>
      <c r="E1" s="22" t="s">
        <v>24</v>
      </c>
      <c r="F1" s="22" t="s">
        <v>28</v>
      </c>
      <c r="G1" s="22" t="s">
        <v>9</v>
      </c>
      <c r="H1" s="22" t="s">
        <v>23</v>
      </c>
      <c r="I1" s="22" t="s">
        <v>7</v>
      </c>
      <c r="J1" s="22" t="s">
        <v>19</v>
      </c>
      <c r="K1" s="23" t="s">
        <v>13</v>
      </c>
      <c r="L1" s="22" t="s">
        <v>16</v>
      </c>
      <c r="M1" s="22" t="s">
        <v>29</v>
      </c>
      <c r="N1" s="22" t="s">
        <v>14</v>
      </c>
      <c r="O1" s="22" t="s">
        <v>11</v>
      </c>
      <c r="P1" s="22" t="s">
        <v>15</v>
      </c>
      <c r="Q1" s="22" t="s">
        <v>18</v>
      </c>
      <c r="R1" s="22" t="s">
        <v>27</v>
      </c>
      <c r="S1" s="22" t="s">
        <v>20</v>
      </c>
      <c r="T1" s="22" t="s">
        <v>30</v>
      </c>
      <c r="U1" s="22" t="s">
        <v>26</v>
      </c>
      <c r="V1" s="24" t="s">
        <v>32</v>
      </c>
      <c r="W1" s="25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</row>
    <row r="2">
      <c r="A2" s="27" t="s">
        <v>33</v>
      </c>
      <c r="B2" s="10">
        <v>3.0</v>
      </c>
      <c r="C2" s="10">
        <v>3.0</v>
      </c>
      <c r="D2" s="10">
        <v>3.0</v>
      </c>
      <c r="E2" s="10">
        <v>3.0</v>
      </c>
      <c r="F2" s="10">
        <v>4.0</v>
      </c>
      <c r="G2" s="10">
        <v>4.0</v>
      </c>
      <c r="H2" s="10">
        <v>3.0</v>
      </c>
      <c r="I2" s="10">
        <v>5.0</v>
      </c>
      <c r="J2" s="10">
        <v>3.0</v>
      </c>
      <c r="K2" s="10">
        <v>4.0</v>
      </c>
      <c r="L2" s="10">
        <v>3.0</v>
      </c>
      <c r="M2" s="10">
        <v>3.0</v>
      </c>
      <c r="N2" s="10">
        <v>4.0</v>
      </c>
      <c r="O2" s="10">
        <v>5.0</v>
      </c>
      <c r="P2" s="10">
        <v>4.0</v>
      </c>
      <c r="Q2" s="10">
        <v>3.0</v>
      </c>
      <c r="R2" s="10">
        <v>3.0</v>
      </c>
      <c r="S2" s="10">
        <v>4.0</v>
      </c>
      <c r="T2" s="10">
        <v>2.0</v>
      </c>
      <c r="U2" s="10">
        <v>4.0</v>
      </c>
      <c r="V2" s="28">
        <f t="shared" ref="V2:V23" si="1">SUM(B2:U2)</f>
        <v>70</v>
      </c>
      <c r="W2" s="29">
        <f t="shared" ref="W2:W23" si="2">(V2-$B$36)/$B$36</f>
        <v>-0.02961562697</v>
      </c>
    </row>
    <row r="3">
      <c r="A3" s="30" t="s">
        <v>34</v>
      </c>
      <c r="B3" s="31">
        <v>1.0</v>
      </c>
      <c r="C3" s="10">
        <v>5.0</v>
      </c>
      <c r="D3" s="10">
        <v>4.0</v>
      </c>
      <c r="E3" s="10">
        <v>3.0</v>
      </c>
      <c r="F3" s="10">
        <v>4.0</v>
      </c>
      <c r="G3" s="10">
        <v>5.0</v>
      </c>
      <c r="H3" s="10">
        <v>4.0</v>
      </c>
      <c r="I3" s="10">
        <v>5.0</v>
      </c>
      <c r="J3" s="10">
        <v>4.0</v>
      </c>
      <c r="K3" s="10">
        <v>5.0</v>
      </c>
      <c r="L3" s="10">
        <v>4.0</v>
      </c>
      <c r="M3" s="10">
        <v>4.0</v>
      </c>
      <c r="N3" s="10">
        <v>4.0</v>
      </c>
      <c r="O3" s="10">
        <v>5.0</v>
      </c>
      <c r="P3" s="10">
        <v>4.0</v>
      </c>
      <c r="Q3" s="10">
        <v>4.0</v>
      </c>
      <c r="R3" s="10">
        <v>2.0</v>
      </c>
      <c r="S3" s="10">
        <v>4.0</v>
      </c>
      <c r="T3" s="10">
        <v>3.0</v>
      </c>
      <c r="U3" s="10">
        <v>3.0</v>
      </c>
      <c r="V3" s="28">
        <f t="shared" si="1"/>
        <v>77</v>
      </c>
      <c r="W3" s="29">
        <f t="shared" si="2"/>
        <v>0.06742281033</v>
      </c>
    </row>
    <row r="4">
      <c r="A4" s="30" t="s">
        <v>35</v>
      </c>
      <c r="B4" s="10">
        <v>4.0</v>
      </c>
      <c r="C4" s="31">
        <v>1.0</v>
      </c>
      <c r="D4" s="10">
        <v>3.0</v>
      </c>
      <c r="E4" s="10">
        <v>3.0</v>
      </c>
      <c r="F4" s="10">
        <v>3.0</v>
      </c>
      <c r="G4" s="10">
        <v>5.0</v>
      </c>
      <c r="H4" s="10">
        <v>3.0</v>
      </c>
      <c r="I4" s="10">
        <v>4.0</v>
      </c>
      <c r="J4" s="10">
        <v>3.0</v>
      </c>
      <c r="K4" s="10">
        <v>4.0</v>
      </c>
      <c r="L4" s="10">
        <v>3.0</v>
      </c>
      <c r="M4" s="10">
        <v>2.0</v>
      </c>
      <c r="N4" s="10">
        <v>3.0</v>
      </c>
      <c r="O4" s="10">
        <v>5.0</v>
      </c>
      <c r="P4" s="10">
        <v>3.0</v>
      </c>
      <c r="Q4" s="10">
        <v>4.0</v>
      </c>
      <c r="R4" s="10">
        <v>2.0</v>
      </c>
      <c r="S4" s="10">
        <v>3.0</v>
      </c>
      <c r="T4" s="10">
        <v>2.0</v>
      </c>
      <c r="U4" s="10">
        <v>3.0</v>
      </c>
      <c r="V4" s="28">
        <f t="shared" si="1"/>
        <v>63</v>
      </c>
      <c r="W4" s="29">
        <f t="shared" si="2"/>
        <v>-0.1266540643</v>
      </c>
    </row>
    <row r="5">
      <c r="A5" s="30" t="s">
        <v>36</v>
      </c>
      <c r="B5" s="10">
        <v>5.0</v>
      </c>
      <c r="C5" s="10">
        <v>5.0</v>
      </c>
      <c r="D5" s="31">
        <v>1.0</v>
      </c>
      <c r="E5" s="10">
        <v>3.0</v>
      </c>
      <c r="F5" s="10">
        <v>4.0</v>
      </c>
      <c r="G5" s="10">
        <v>4.0</v>
      </c>
      <c r="H5" s="10">
        <v>4.0</v>
      </c>
      <c r="I5" s="10">
        <v>5.0</v>
      </c>
      <c r="J5" s="10">
        <v>4.0</v>
      </c>
      <c r="K5" s="10">
        <v>5.0</v>
      </c>
      <c r="L5" s="10">
        <v>4.0</v>
      </c>
      <c r="M5" s="10">
        <v>3.0</v>
      </c>
      <c r="N5" s="10">
        <v>5.0</v>
      </c>
      <c r="O5" s="10">
        <v>5.0</v>
      </c>
      <c r="P5" s="10">
        <v>5.0</v>
      </c>
      <c r="Q5" s="10">
        <v>2.0</v>
      </c>
      <c r="R5" s="10">
        <v>3.0</v>
      </c>
      <c r="S5" s="10">
        <v>5.0</v>
      </c>
      <c r="T5" s="10">
        <v>3.0</v>
      </c>
      <c r="U5" s="10">
        <v>5.0</v>
      </c>
      <c r="V5" s="28">
        <f t="shared" si="1"/>
        <v>80</v>
      </c>
      <c r="W5" s="29">
        <f t="shared" si="2"/>
        <v>0.109010712</v>
      </c>
    </row>
    <row r="6">
      <c r="A6" s="30" t="s">
        <v>37</v>
      </c>
      <c r="B6" s="10">
        <v>4.0</v>
      </c>
      <c r="C6" s="10">
        <v>4.0</v>
      </c>
      <c r="D6" s="10">
        <v>4.0</v>
      </c>
      <c r="E6" s="31">
        <v>1.0</v>
      </c>
      <c r="F6" s="10">
        <v>3.0</v>
      </c>
      <c r="G6" s="10">
        <v>5.0</v>
      </c>
      <c r="H6" s="10">
        <v>4.0</v>
      </c>
      <c r="I6" s="10">
        <v>5.0</v>
      </c>
      <c r="J6" s="10">
        <v>4.0</v>
      </c>
      <c r="K6" s="10">
        <v>4.0</v>
      </c>
      <c r="L6" s="10">
        <v>4.0</v>
      </c>
      <c r="M6" s="10">
        <v>4.0</v>
      </c>
      <c r="N6" s="10">
        <v>4.0</v>
      </c>
      <c r="O6" s="10">
        <v>5.0</v>
      </c>
      <c r="P6" s="10">
        <v>5.0</v>
      </c>
      <c r="Q6" s="10">
        <v>4.0</v>
      </c>
      <c r="R6" s="10">
        <v>5.0</v>
      </c>
      <c r="S6" s="10">
        <v>4.0</v>
      </c>
      <c r="T6" s="10">
        <v>3.0</v>
      </c>
      <c r="U6" s="10">
        <v>4.0</v>
      </c>
      <c r="V6" s="28">
        <f t="shared" si="1"/>
        <v>80</v>
      </c>
      <c r="W6" s="29">
        <f t="shared" si="2"/>
        <v>0.109010712</v>
      </c>
    </row>
    <row r="7">
      <c r="A7" s="30" t="s">
        <v>38</v>
      </c>
      <c r="B7" s="10">
        <v>5.0</v>
      </c>
      <c r="C7" s="10">
        <v>4.0</v>
      </c>
      <c r="D7" s="10">
        <v>4.0</v>
      </c>
      <c r="E7" s="10">
        <v>3.0</v>
      </c>
      <c r="F7" s="31">
        <v>1.0</v>
      </c>
      <c r="G7" s="10">
        <v>5.0</v>
      </c>
      <c r="H7" s="10">
        <v>4.0</v>
      </c>
      <c r="I7" s="10">
        <v>5.0</v>
      </c>
      <c r="J7" s="10">
        <v>4.0</v>
      </c>
      <c r="K7" s="10">
        <v>4.0</v>
      </c>
      <c r="L7" s="10">
        <v>4.0</v>
      </c>
      <c r="M7" s="10">
        <v>4.0</v>
      </c>
      <c r="N7" s="10">
        <v>5.0</v>
      </c>
      <c r="O7" s="10">
        <v>5.0</v>
      </c>
      <c r="P7" s="10">
        <v>5.0</v>
      </c>
      <c r="Q7" s="10">
        <v>4.0</v>
      </c>
      <c r="R7" s="10">
        <v>3.0</v>
      </c>
      <c r="S7" s="10">
        <v>4.0</v>
      </c>
      <c r="T7" s="10">
        <v>3.0</v>
      </c>
      <c r="U7" s="10">
        <v>4.0</v>
      </c>
      <c r="V7" s="28">
        <f t="shared" si="1"/>
        <v>80</v>
      </c>
      <c r="W7" s="29">
        <f t="shared" si="2"/>
        <v>0.109010712</v>
      </c>
    </row>
    <row r="8">
      <c r="A8" s="30" t="s">
        <v>39</v>
      </c>
      <c r="B8" s="10">
        <v>4.0</v>
      </c>
      <c r="C8" s="10">
        <v>3.0</v>
      </c>
      <c r="D8" s="10">
        <v>4.0</v>
      </c>
      <c r="E8" s="10">
        <v>4.0</v>
      </c>
      <c r="F8" s="10">
        <v>5.0</v>
      </c>
      <c r="G8" s="31">
        <v>1.0</v>
      </c>
      <c r="H8" s="10">
        <v>4.0</v>
      </c>
      <c r="I8" s="10">
        <v>4.0</v>
      </c>
      <c r="J8" s="10">
        <v>4.0</v>
      </c>
      <c r="K8" s="10">
        <v>4.0</v>
      </c>
      <c r="L8" s="10">
        <v>5.0</v>
      </c>
      <c r="M8" s="10">
        <v>3.0</v>
      </c>
      <c r="N8" s="10">
        <v>5.0</v>
      </c>
      <c r="O8" s="10">
        <v>5.0</v>
      </c>
      <c r="P8" s="10">
        <v>4.0</v>
      </c>
      <c r="Q8" s="10">
        <v>4.0</v>
      </c>
      <c r="R8" s="10">
        <v>5.0</v>
      </c>
      <c r="S8" s="10">
        <v>4.0</v>
      </c>
      <c r="T8" s="10">
        <v>3.0</v>
      </c>
      <c r="U8" s="10">
        <v>3.0</v>
      </c>
      <c r="V8" s="28">
        <f t="shared" si="1"/>
        <v>78</v>
      </c>
      <c r="W8" s="29">
        <f t="shared" si="2"/>
        <v>0.08128544423</v>
      </c>
    </row>
    <row r="9">
      <c r="A9" s="30" t="s">
        <v>40</v>
      </c>
      <c r="B9" s="10">
        <v>5.0</v>
      </c>
      <c r="C9" s="10">
        <v>3.0</v>
      </c>
      <c r="D9" s="10">
        <v>3.0</v>
      </c>
      <c r="E9" s="10">
        <v>3.0</v>
      </c>
      <c r="F9" s="10">
        <v>3.0</v>
      </c>
      <c r="G9" s="10">
        <v>4.0</v>
      </c>
      <c r="H9" s="31">
        <v>1.0</v>
      </c>
      <c r="I9" s="10">
        <v>4.0</v>
      </c>
      <c r="J9" s="10">
        <v>4.0</v>
      </c>
      <c r="K9" s="10">
        <v>3.0</v>
      </c>
      <c r="L9" s="10">
        <v>3.0</v>
      </c>
      <c r="M9" s="10">
        <v>3.0</v>
      </c>
      <c r="N9" s="10">
        <v>5.0</v>
      </c>
      <c r="O9" s="10">
        <v>5.0</v>
      </c>
      <c r="P9" s="10">
        <v>5.0</v>
      </c>
      <c r="Q9" s="10">
        <v>4.0</v>
      </c>
      <c r="R9" s="10">
        <v>3.0</v>
      </c>
      <c r="S9" s="10">
        <v>4.0</v>
      </c>
      <c r="T9" s="10">
        <v>3.0</v>
      </c>
      <c r="U9" s="10">
        <v>3.0</v>
      </c>
      <c r="V9" s="28">
        <f t="shared" si="1"/>
        <v>71</v>
      </c>
      <c r="W9" s="29">
        <f t="shared" si="2"/>
        <v>-0.01575299307</v>
      </c>
    </row>
    <row r="10">
      <c r="A10" s="30" t="s">
        <v>41</v>
      </c>
      <c r="B10" s="10">
        <v>4.0</v>
      </c>
      <c r="C10" s="10">
        <v>3.0</v>
      </c>
      <c r="D10" s="10">
        <v>3.0</v>
      </c>
      <c r="E10" s="10">
        <v>4.0</v>
      </c>
      <c r="F10" s="10">
        <v>3.0</v>
      </c>
      <c r="G10" s="10">
        <v>5.0</v>
      </c>
      <c r="H10" s="10">
        <v>4.0</v>
      </c>
      <c r="I10" s="31">
        <v>1.0</v>
      </c>
      <c r="J10" s="10">
        <v>4.0</v>
      </c>
      <c r="K10" s="10">
        <v>4.0</v>
      </c>
      <c r="L10" s="10">
        <v>5.0</v>
      </c>
      <c r="M10" s="10">
        <v>3.0</v>
      </c>
      <c r="N10" s="10">
        <v>5.0</v>
      </c>
      <c r="O10" s="10">
        <v>4.0</v>
      </c>
      <c r="P10" s="10">
        <v>4.0</v>
      </c>
      <c r="Q10" s="10">
        <v>4.0</v>
      </c>
      <c r="R10" s="10">
        <v>3.0</v>
      </c>
      <c r="S10" s="10">
        <v>4.0</v>
      </c>
      <c r="T10" s="10">
        <v>3.0</v>
      </c>
      <c r="U10" s="10">
        <v>4.0</v>
      </c>
      <c r="V10" s="28">
        <f t="shared" si="1"/>
        <v>74</v>
      </c>
      <c r="W10" s="29">
        <f t="shared" si="2"/>
        <v>0.02583490863</v>
      </c>
    </row>
    <row r="11">
      <c r="A11" s="30" t="s">
        <v>42</v>
      </c>
      <c r="B11" s="10">
        <v>5.0</v>
      </c>
      <c r="C11" s="10">
        <v>4.0</v>
      </c>
      <c r="D11" s="10">
        <v>3.0</v>
      </c>
      <c r="E11" s="10">
        <v>4.0</v>
      </c>
      <c r="F11" s="10">
        <v>4.0</v>
      </c>
      <c r="G11" s="10">
        <v>5.0</v>
      </c>
      <c r="H11" s="10">
        <v>4.0</v>
      </c>
      <c r="I11" s="10">
        <v>5.0</v>
      </c>
      <c r="J11" s="31">
        <v>1.0</v>
      </c>
      <c r="K11" s="10">
        <v>4.0</v>
      </c>
      <c r="L11" s="10">
        <v>5.0</v>
      </c>
      <c r="M11" s="10">
        <v>3.0</v>
      </c>
      <c r="N11" s="10">
        <v>4.0</v>
      </c>
      <c r="O11" s="10">
        <v>5.0</v>
      </c>
      <c r="P11" s="10">
        <v>4.0</v>
      </c>
      <c r="Q11" s="10">
        <v>4.0</v>
      </c>
      <c r="R11" s="10">
        <v>4.0</v>
      </c>
      <c r="S11" s="10">
        <v>4.0</v>
      </c>
      <c r="T11" s="10">
        <v>3.0</v>
      </c>
      <c r="U11" s="10">
        <v>4.0</v>
      </c>
      <c r="V11" s="28">
        <f t="shared" si="1"/>
        <v>79</v>
      </c>
      <c r="W11" s="29">
        <f t="shared" si="2"/>
        <v>0.09514807813</v>
      </c>
    </row>
    <row r="12">
      <c r="A12" s="27" t="s">
        <v>43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28">
        <f t="shared" si="1"/>
        <v>0</v>
      </c>
      <c r="W12" s="29">
        <f t="shared" si="2"/>
        <v>-1</v>
      </c>
    </row>
    <row r="13">
      <c r="A13" s="30" t="s">
        <v>44</v>
      </c>
      <c r="B13" s="10">
        <v>3.0</v>
      </c>
      <c r="C13" s="10">
        <v>4.0</v>
      </c>
      <c r="D13" s="10">
        <v>3.0</v>
      </c>
      <c r="E13" s="10">
        <v>4.0</v>
      </c>
      <c r="F13" s="10">
        <v>3.0</v>
      </c>
      <c r="G13" s="10">
        <v>5.0</v>
      </c>
      <c r="H13" s="10">
        <v>3.0</v>
      </c>
      <c r="I13" s="10">
        <v>5.0</v>
      </c>
      <c r="J13" s="10">
        <v>4.0</v>
      </c>
      <c r="K13" s="10">
        <v>5.0</v>
      </c>
      <c r="L13" s="31">
        <v>1.0</v>
      </c>
      <c r="M13" s="10">
        <v>2.0</v>
      </c>
      <c r="N13" s="10">
        <v>4.0</v>
      </c>
      <c r="O13" s="10">
        <v>4.0</v>
      </c>
      <c r="P13" s="10">
        <v>4.0</v>
      </c>
      <c r="Q13" s="10">
        <v>5.0</v>
      </c>
      <c r="R13" s="10">
        <v>4.0</v>
      </c>
      <c r="S13" s="10">
        <v>4.0</v>
      </c>
      <c r="T13" s="10">
        <v>3.0</v>
      </c>
      <c r="U13" s="10">
        <v>2.0</v>
      </c>
      <c r="V13" s="28">
        <f t="shared" si="1"/>
        <v>72</v>
      </c>
      <c r="W13" s="29">
        <f t="shared" si="2"/>
        <v>-0.001890359168</v>
      </c>
    </row>
    <row r="14">
      <c r="A14" s="30" t="s">
        <v>45</v>
      </c>
      <c r="B14" s="10">
        <v>2.0</v>
      </c>
      <c r="C14" s="10">
        <v>4.0</v>
      </c>
      <c r="D14" s="10">
        <v>3.0</v>
      </c>
      <c r="E14" s="10">
        <v>5.0</v>
      </c>
      <c r="F14" s="10">
        <v>3.0</v>
      </c>
      <c r="G14" s="10">
        <v>4.0</v>
      </c>
      <c r="H14" s="10">
        <v>4.0</v>
      </c>
      <c r="I14" s="10">
        <v>5.0</v>
      </c>
      <c r="J14" s="10">
        <v>5.0</v>
      </c>
      <c r="K14" s="10">
        <v>3.0</v>
      </c>
      <c r="L14" s="10">
        <v>4.0</v>
      </c>
      <c r="M14" s="31">
        <v>1.0</v>
      </c>
      <c r="N14" s="10">
        <v>4.0</v>
      </c>
      <c r="O14" s="10">
        <v>4.0</v>
      </c>
      <c r="P14" s="10">
        <v>5.0</v>
      </c>
      <c r="Q14" s="10">
        <v>3.0</v>
      </c>
      <c r="R14" s="10">
        <v>3.0</v>
      </c>
      <c r="S14" s="10">
        <v>5.0</v>
      </c>
      <c r="T14" s="10">
        <v>4.0</v>
      </c>
      <c r="U14" s="10">
        <v>3.0</v>
      </c>
      <c r="V14" s="28">
        <f t="shared" si="1"/>
        <v>74</v>
      </c>
      <c r="W14" s="29">
        <f t="shared" si="2"/>
        <v>0.02583490863</v>
      </c>
    </row>
    <row r="15">
      <c r="A15" s="30" t="s">
        <v>46</v>
      </c>
      <c r="B15" s="10">
        <v>4.0</v>
      </c>
      <c r="C15" s="10">
        <v>3.0</v>
      </c>
      <c r="D15" s="10">
        <v>4.0</v>
      </c>
      <c r="E15" s="10">
        <v>3.0</v>
      </c>
      <c r="F15" s="10">
        <v>3.0</v>
      </c>
      <c r="G15" s="10">
        <v>5.0</v>
      </c>
      <c r="H15" s="10">
        <v>4.0</v>
      </c>
      <c r="I15" s="10">
        <v>5.0</v>
      </c>
      <c r="J15" s="10">
        <v>3.0</v>
      </c>
      <c r="K15" s="10">
        <v>4.0</v>
      </c>
      <c r="L15" s="10">
        <v>5.0</v>
      </c>
      <c r="M15" s="10">
        <v>4.0</v>
      </c>
      <c r="N15" s="31">
        <v>1.0</v>
      </c>
      <c r="O15" s="10">
        <v>5.0</v>
      </c>
      <c r="P15" s="10">
        <v>4.0</v>
      </c>
      <c r="Q15" s="10">
        <v>4.0</v>
      </c>
      <c r="R15" s="10">
        <v>4.0</v>
      </c>
      <c r="S15" s="10">
        <v>3.0</v>
      </c>
      <c r="T15" s="10">
        <v>3.0</v>
      </c>
      <c r="U15" s="10">
        <v>4.0</v>
      </c>
      <c r="V15" s="28">
        <f t="shared" si="1"/>
        <v>75</v>
      </c>
      <c r="W15" s="29">
        <f t="shared" si="2"/>
        <v>0.03969754253</v>
      </c>
    </row>
    <row r="16">
      <c r="A16" s="30" t="s">
        <v>47</v>
      </c>
      <c r="B16" s="10">
        <v>5.0</v>
      </c>
      <c r="C16" s="10">
        <v>5.0</v>
      </c>
      <c r="D16" s="10">
        <v>5.0</v>
      </c>
      <c r="E16" s="10">
        <v>5.0</v>
      </c>
      <c r="F16" s="10">
        <v>5.0</v>
      </c>
      <c r="G16" s="10">
        <v>5.0</v>
      </c>
      <c r="H16" s="10">
        <v>5.0</v>
      </c>
      <c r="I16" s="10">
        <v>5.0</v>
      </c>
      <c r="J16" s="10">
        <v>4.0</v>
      </c>
      <c r="K16" s="10">
        <v>5.0</v>
      </c>
      <c r="L16" s="10">
        <v>5.0</v>
      </c>
      <c r="M16" s="10">
        <v>4.0</v>
      </c>
      <c r="N16" s="10">
        <v>5.0</v>
      </c>
      <c r="O16" s="31">
        <v>1.0</v>
      </c>
      <c r="P16" s="10">
        <v>4.0</v>
      </c>
      <c r="Q16" s="10">
        <v>5.0</v>
      </c>
      <c r="R16" s="10">
        <v>4.0</v>
      </c>
      <c r="S16" s="10">
        <v>4.0</v>
      </c>
      <c r="T16" s="10">
        <v>4.0</v>
      </c>
      <c r="U16" s="10">
        <v>5.0</v>
      </c>
      <c r="V16" s="28">
        <f t="shared" si="1"/>
        <v>90</v>
      </c>
      <c r="W16" s="29">
        <f t="shared" si="2"/>
        <v>0.247637051</v>
      </c>
    </row>
    <row r="17">
      <c r="A17" s="30" t="s">
        <v>48</v>
      </c>
      <c r="B17" s="10">
        <v>3.0</v>
      </c>
      <c r="C17" s="10">
        <v>3.0</v>
      </c>
      <c r="D17" s="10">
        <v>4.0</v>
      </c>
      <c r="E17" s="10">
        <v>5.0</v>
      </c>
      <c r="F17" s="10">
        <v>3.0</v>
      </c>
      <c r="G17" s="10">
        <v>5.0</v>
      </c>
      <c r="H17" s="10">
        <v>4.0</v>
      </c>
      <c r="I17" s="10">
        <v>5.0</v>
      </c>
      <c r="J17" s="10">
        <v>3.0</v>
      </c>
      <c r="K17" s="10">
        <v>4.0</v>
      </c>
      <c r="L17" s="10">
        <v>5.0</v>
      </c>
      <c r="M17" s="10">
        <v>4.0</v>
      </c>
      <c r="N17" s="10">
        <v>5.0</v>
      </c>
      <c r="O17" s="10">
        <v>5.0</v>
      </c>
      <c r="P17" s="31">
        <v>1.0</v>
      </c>
      <c r="Q17" s="10">
        <v>3.0</v>
      </c>
      <c r="R17" s="10">
        <v>3.0</v>
      </c>
      <c r="S17" s="10">
        <v>3.0</v>
      </c>
      <c r="T17" s="10">
        <v>2.0</v>
      </c>
      <c r="U17" s="10">
        <v>4.0</v>
      </c>
      <c r="V17" s="28">
        <f t="shared" si="1"/>
        <v>74</v>
      </c>
      <c r="W17" s="29">
        <f t="shared" si="2"/>
        <v>0.02583490863</v>
      </c>
    </row>
    <row r="18">
      <c r="A18" s="30" t="s">
        <v>49</v>
      </c>
      <c r="B18" s="10">
        <v>5.0</v>
      </c>
      <c r="C18" s="10">
        <v>2.0</v>
      </c>
      <c r="D18" s="10">
        <v>3.0</v>
      </c>
      <c r="E18" s="10">
        <v>3.0</v>
      </c>
      <c r="F18" s="10">
        <v>2.0</v>
      </c>
      <c r="G18" s="10">
        <v>3.0</v>
      </c>
      <c r="H18" s="10">
        <v>3.0</v>
      </c>
      <c r="I18" s="10">
        <v>4.0</v>
      </c>
      <c r="J18" s="10">
        <v>4.0</v>
      </c>
      <c r="K18" s="10">
        <v>4.0</v>
      </c>
      <c r="L18" s="10">
        <v>5.0</v>
      </c>
      <c r="M18" s="10">
        <v>1.0</v>
      </c>
      <c r="N18" s="10">
        <v>3.0</v>
      </c>
      <c r="O18" s="10">
        <v>3.0</v>
      </c>
      <c r="P18" s="10">
        <v>3.0</v>
      </c>
      <c r="Q18" s="31">
        <v>1.0</v>
      </c>
      <c r="R18" s="10">
        <v>5.0</v>
      </c>
      <c r="S18" s="10">
        <v>2.0</v>
      </c>
      <c r="T18" s="10">
        <v>4.0</v>
      </c>
      <c r="U18" s="10">
        <v>2.0</v>
      </c>
      <c r="V18" s="28">
        <f t="shared" si="1"/>
        <v>62</v>
      </c>
      <c r="W18" s="29">
        <f t="shared" si="2"/>
        <v>-0.1405166982</v>
      </c>
    </row>
    <row r="19">
      <c r="A19" s="27" t="s">
        <v>50</v>
      </c>
      <c r="B19" s="10">
        <v>4.0</v>
      </c>
      <c r="C19" s="10">
        <v>4.0</v>
      </c>
      <c r="D19" s="10">
        <v>4.0</v>
      </c>
      <c r="E19" s="10">
        <v>4.0</v>
      </c>
      <c r="F19" s="10">
        <v>3.0</v>
      </c>
      <c r="G19" s="10">
        <v>5.0</v>
      </c>
      <c r="H19" s="10">
        <v>3.0</v>
      </c>
      <c r="I19" s="10">
        <v>4.0</v>
      </c>
      <c r="J19" s="10">
        <v>3.0</v>
      </c>
      <c r="K19" s="10">
        <v>5.0</v>
      </c>
      <c r="L19" s="10">
        <v>3.0</v>
      </c>
      <c r="M19" s="10">
        <v>3.0</v>
      </c>
      <c r="N19" s="10">
        <v>5.0</v>
      </c>
      <c r="O19" s="10">
        <v>5.0</v>
      </c>
      <c r="P19" s="10">
        <v>5.0</v>
      </c>
      <c r="Q19" s="10">
        <v>4.0</v>
      </c>
      <c r="R19" s="10">
        <v>2.0</v>
      </c>
      <c r="S19" s="10">
        <v>3.0</v>
      </c>
      <c r="T19" s="10">
        <v>2.0</v>
      </c>
      <c r="U19" s="10">
        <v>3.0</v>
      </c>
      <c r="V19" s="28">
        <f t="shared" si="1"/>
        <v>74</v>
      </c>
      <c r="W19" s="29">
        <f t="shared" si="2"/>
        <v>0.02583490863</v>
      </c>
    </row>
    <row r="20">
      <c r="A20" s="30" t="s">
        <v>51</v>
      </c>
      <c r="B20" s="10">
        <v>5.0</v>
      </c>
      <c r="C20" s="10">
        <v>4.0</v>
      </c>
      <c r="D20" s="10">
        <v>4.0</v>
      </c>
      <c r="E20" s="10">
        <v>5.0</v>
      </c>
      <c r="F20" s="10">
        <v>4.0</v>
      </c>
      <c r="G20" s="10">
        <v>5.0</v>
      </c>
      <c r="H20" s="10">
        <v>4.0</v>
      </c>
      <c r="I20" s="10">
        <v>5.0</v>
      </c>
      <c r="J20" s="10">
        <v>5.0</v>
      </c>
      <c r="K20" s="10">
        <v>5.0</v>
      </c>
      <c r="L20" s="10">
        <v>5.0</v>
      </c>
      <c r="M20" s="10">
        <v>3.0</v>
      </c>
      <c r="N20" s="10">
        <v>5.0</v>
      </c>
      <c r="O20" s="10">
        <v>5.0</v>
      </c>
      <c r="P20" s="10">
        <v>4.0</v>
      </c>
      <c r="Q20" s="10">
        <v>5.0</v>
      </c>
      <c r="R20" s="31">
        <v>1.0</v>
      </c>
      <c r="S20" s="10">
        <v>5.0</v>
      </c>
      <c r="T20" s="10">
        <v>3.0</v>
      </c>
      <c r="U20" s="10">
        <v>4.0</v>
      </c>
      <c r="V20" s="28">
        <f t="shared" si="1"/>
        <v>86</v>
      </c>
      <c r="W20" s="29">
        <f t="shared" si="2"/>
        <v>0.1921865154</v>
      </c>
    </row>
    <row r="21">
      <c r="A21" s="30" t="s">
        <v>52</v>
      </c>
      <c r="B21" s="10">
        <v>4.0</v>
      </c>
      <c r="C21" s="10">
        <v>4.0</v>
      </c>
      <c r="D21" s="10">
        <v>5.0</v>
      </c>
      <c r="E21" s="10">
        <v>3.0</v>
      </c>
      <c r="F21" s="10">
        <v>3.0</v>
      </c>
      <c r="G21" s="10">
        <v>5.0</v>
      </c>
      <c r="H21" s="10">
        <v>4.0</v>
      </c>
      <c r="I21" s="10">
        <v>5.0</v>
      </c>
      <c r="J21" s="10">
        <v>4.0</v>
      </c>
      <c r="K21" s="10">
        <v>5.0</v>
      </c>
      <c r="L21" s="10">
        <v>3.0</v>
      </c>
      <c r="M21" s="10">
        <v>4.0</v>
      </c>
      <c r="N21" s="10">
        <v>5.0</v>
      </c>
      <c r="O21" s="10">
        <v>4.0</v>
      </c>
      <c r="P21" s="10">
        <v>5.0</v>
      </c>
      <c r="Q21" s="10">
        <v>4.0</v>
      </c>
      <c r="R21" s="10">
        <v>3.0</v>
      </c>
      <c r="S21" s="31">
        <v>1.0</v>
      </c>
      <c r="T21" s="10">
        <v>3.0</v>
      </c>
      <c r="U21" s="10">
        <v>3.0</v>
      </c>
      <c r="V21" s="28">
        <f t="shared" si="1"/>
        <v>77</v>
      </c>
      <c r="W21" s="29">
        <f t="shared" si="2"/>
        <v>0.06742281033</v>
      </c>
    </row>
    <row r="22">
      <c r="A22" s="30" t="s">
        <v>53</v>
      </c>
      <c r="B22" s="10">
        <v>4.0</v>
      </c>
      <c r="C22" s="10">
        <v>4.0</v>
      </c>
      <c r="D22" s="10">
        <v>4.0</v>
      </c>
      <c r="E22" s="10">
        <v>4.0</v>
      </c>
      <c r="F22" s="10">
        <v>4.0</v>
      </c>
      <c r="G22" s="10">
        <v>4.0</v>
      </c>
      <c r="H22" s="10">
        <v>4.0</v>
      </c>
      <c r="I22" s="10">
        <v>5.0</v>
      </c>
      <c r="J22" s="10">
        <v>4.0</v>
      </c>
      <c r="K22" s="10">
        <v>5.0</v>
      </c>
      <c r="L22" s="10">
        <v>5.0</v>
      </c>
      <c r="M22" s="10">
        <v>4.0</v>
      </c>
      <c r="N22" s="10">
        <v>4.0</v>
      </c>
      <c r="O22" s="10">
        <v>4.0</v>
      </c>
      <c r="P22" s="10">
        <v>4.0</v>
      </c>
      <c r="Q22" s="10">
        <v>4.0</v>
      </c>
      <c r="R22" s="10">
        <v>4.0</v>
      </c>
      <c r="S22" s="10">
        <v>4.0</v>
      </c>
      <c r="T22" s="31">
        <v>1.0</v>
      </c>
      <c r="U22" s="10">
        <v>4.0</v>
      </c>
      <c r="V22" s="28">
        <f t="shared" si="1"/>
        <v>80</v>
      </c>
      <c r="W22" s="29">
        <f t="shared" si="2"/>
        <v>0.109010712</v>
      </c>
    </row>
    <row r="23">
      <c r="A23" s="30" t="s">
        <v>54</v>
      </c>
      <c r="B23" s="10">
        <v>4.0</v>
      </c>
      <c r="C23" s="10">
        <v>4.0</v>
      </c>
      <c r="D23" s="10">
        <v>4.0</v>
      </c>
      <c r="E23" s="10">
        <v>3.0</v>
      </c>
      <c r="F23" s="10">
        <v>3.0</v>
      </c>
      <c r="G23" s="10">
        <v>4.0</v>
      </c>
      <c r="H23" s="10">
        <v>3.0</v>
      </c>
      <c r="I23" s="10">
        <v>5.0</v>
      </c>
      <c r="J23" s="10">
        <v>4.0</v>
      </c>
      <c r="K23" s="10">
        <v>4.0</v>
      </c>
      <c r="L23" s="10">
        <v>4.0</v>
      </c>
      <c r="M23" s="10">
        <v>3.0</v>
      </c>
      <c r="N23" s="10">
        <v>4.0</v>
      </c>
      <c r="O23" s="10">
        <v>4.0</v>
      </c>
      <c r="P23" s="10">
        <v>4.0</v>
      </c>
      <c r="Q23" s="10">
        <v>4.0</v>
      </c>
      <c r="R23" s="10">
        <v>4.0</v>
      </c>
      <c r="S23" s="10">
        <v>2.0</v>
      </c>
      <c r="T23" s="10">
        <v>3.0</v>
      </c>
      <c r="U23" s="31">
        <v>1.0</v>
      </c>
      <c r="V23" s="28">
        <f t="shared" si="1"/>
        <v>71</v>
      </c>
      <c r="W23" s="29">
        <f t="shared" si="2"/>
        <v>-0.01575299307</v>
      </c>
    </row>
    <row r="24">
      <c r="A24" s="32" t="s">
        <v>1</v>
      </c>
      <c r="B24" s="14">
        <f t="shared" ref="B24:U24" si="3">SUM(B2:B23)</f>
        <v>83</v>
      </c>
      <c r="C24" s="14">
        <f t="shared" si="3"/>
        <v>76</v>
      </c>
      <c r="D24" s="14">
        <f t="shared" si="3"/>
        <v>75</v>
      </c>
      <c r="E24" s="14">
        <f t="shared" si="3"/>
        <v>75</v>
      </c>
      <c r="F24" s="14">
        <f t="shared" si="3"/>
        <v>70</v>
      </c>
      <c r="G24" s="14">
        <f t="shared" si="3"/>
        <v>93</v>
      </c>
      <c r="H24" s="14">
        <f t="shared" si="3"/>
        <v>76</v>
      </c>
      <c r="I24" s="14">
        <f t="shared" si="3"/>
        <v>96</v>
      </c>
      <c r="J24" s="14">
        <f t="shared" si="3"/>
        <v>78</v>
      </c>
      <c r="K24" s="14">
        <f t="shared" si="3"/>
        <v>90</v>
      </c>
      <c r="L24" s="14">
        <f t="shared" si="3"/>
        <v>85</v>
      </c>
      <c r="M24" s="14">
        <f t="shared" si="3"/>
        <v>65</v>
      </c>
      <c r="N24" s="14">
        <f t="shared" si="3"/>
        <v>89</v>
      </c>
      <c r="O24" s="14">
        <f t="shared" si="3"/>
        <v>93</v>
      </c>
      <c r="P24" s="14">
        <f t="shared" si="3"/>
        <v>86</v>
      </c>
      <c r="Q24" s="14">
        <f t="shared" si="3"/>
        <v>79</v>
      </c>
      <c r="R24" s="14">
        <f t="shared" si="3"/>
        <v>70</v>
      </c>
      <c r="S24" s="14">
        <f t="shared" si="3"/>
        <v>76</v>
      </c>
      <c r="T24" s="14">
        <f t="shared" si="3"/>
        <v>60</v>
      </c>
      <c r="U24" s="14">
        <f t="shared" si="3"/>
        <v>72</v>
      </c>
      <c r="V24" s="33" t="s">
        <v>55</v>
      </c>
      <c r="W24" s="25"/>
    </row>
    <row r="25">
      <c r="A25" s="34" t="s">
        <v>2</v>
      </c>
      <c r="B25" s="15">
        <f t="shared" ref="B25:U25" si="4">COUNTIF(B2:B23,5)</f>
        <v>7</v>
      </c>
      <c r="C25" s="15">
        <f t="shared" si="4"/>
        <v>3</v>
      </c>
      <c r="D25" s="15">
        <f t="shared" si="4"/>
        <v>2</v>
      </c>
      <c r="E25" s="15">
        <f t="shared" si="4"/>
        <v>4</v>
      </c>
      <c r="F25" s="15">
        <f t="shared" si="4"/>
        <v>2</v>
      </c>
      <c r="G25" s="15">
        <f t="shared" si="4"/>
        <v>13</v>
      </c>
      <c r="H25" s="15">
        <f t="shared" si="4"/>
        <v>1</v>
      </c>
      <c r="I25" s="15">
        <f t="shared" si="4"/>
        <v>15</v>
      </c>
      <c r="J25" s="15">
        <f t="shared" si="4"/>
        <v>2</v>
      </c>
      <c r="K25" s="15">
        <f t="shared" si="4"/>
        <v>8</v>
      </c>
      <c r="L25" s="15">
        <f t="shared" si="4"/>
        <v>9</v>
      </c>
      <c r="M25" s="15">
        <f t="shared" si="4"/>
        <v>0</v>
      </c>
      <c r="N25" s="15">
        <f t="shared" si="4"/>
        <v>10</v>
      </c>
      <c r="O25" s="15">
        <f t="shared" si="4"/>
        <v>13</v>
      </c>
      <c r="P25" s="15">
        <f t="shared" si="4"/>
        <v>7</v>
      </c>
      <c r="Q25" s="15">
        <f t="shared" si="4"/>
        <v>3</v>
      </c>
      <c r="R25" s="15">
        <f t="shared" si="4"/>
        <v>3</v>
      </c>
      <c r="S25" s="15">
        <f t="shared" si="4"/>
        <v>3</v>
      </c>
      <c r="T25" s="15">
        <f t="shared" si="4"/>
        <v>0</v>
      </c>
      <c r="U25" s="15">
        <f t="shared" si="4"/>
        <v>2</v>
      </c>
      <c r="V25" s="35">
        <f t="shared" ref="V25:V29" si="6">SUM(B25:U25)</f>
        <v>107</v>
      </c>
      <c r="W25" s="36">
        <f t="shared" ref="W25:W30" si="7">V25/$V$30</f>
        <v>0.2547619048</v>
      </c>
    </row>
    <row r="26">
      <c r="A26" s="34" t="s">
        <v>3</v>
      </c>
      <c r="B26" s="15">
        <f t="shared" ref="B26:U26" si="5">COUNTIF(B2:B23,4)</f>
        <v>9</v>
      </c>
      <c r="C26" s="15">
        <f t="shared" si="5"/>
        <v>10</v>
      </c>
      <c r="D26" s="15">
        <f t="shared" si="5"/>
        <v>10</v>
      </c>
      <c r="E26" s="15">
        <f t="shared" si="5"/>
        <v>6</v>
      </c>
      <c r="F26" s="15">
        <f t="shared" si="5"/>
        <v>6</v>
      </c>
      <c r="G26" s="15">
        <f t="shared" si="5"/>
        <v>6</v>
      </c>
      <c r="H26" s="15">
        <f t="shared" si="5"/>
        <v>13</v>
      </c>
      <c r="I26" s="15">
        <f t="shared" si="5"/>
        <v>5</v>
      </c>
      <c r="J26" s="15">
        <f t="shared" si="5"/>
        <v>13</v>
      </c>
      <c r="K26" s="15">
        <f t="shared" si="5"/>
        <v>11</v>
      </c>
      <c r="L26" s="15">
        <f t="shared" si="5"/>
        <v>6</v>
      </c>
      <c r="M26" s="15">
        <f t="shared" si="5"/>
        <v>8</v>
      </c>
      <c r="N26" s="15">
        <f t="shared" si="5"/>
        <v>8</v>
      </c>
      <c r="O26" s="15">
        <f t="shared" si="5"/>
        <v>6</v>
      </c>
      <c r="P26" s="15">
        <f t="shared" si="5"/>
        <v>11</v>
      </c>
      <c r="Q26" s="15">
        <f t="shared" si="5"/>
        <v>13</v>
      </c>
      <c r="R26" s="15">
        <f t="shared" si="5"/>
        <v>6</v>
      </c>
      <c r="S26" s="15">
        <f t="shared" si="5"/>
        <v>11</v>
      </c>
      <c r="T26" s="15">
        <f t="shared" si="5"/>
        <v>3</v>
      </c>
      <c r="U26" s="15">
        <f t="shared" si="5"/>
        <v>9</v>
      </c>
      <c r="V26" s="35">
        <f t="shared" si="6"/>
        <v>170</v>
      </c>
      <c r="W26" s="36">
        <f t="shared" si="7"/>
        <v>0.4047619048</v>
      </c>
    </row>
    <row r="27">
      <c r="A27" s="34" t="s">
        <v>4</v>
      </c>
      <c r="B27" s="15">
        <f t="shared" ref="B27:U27" si="8">COUNTIF(B2:B23,3)</f>
        <v>3</v>
      </c>
      <c r="C27" s="15">
        <f t="shared" si="8"/>
        <v>6</v>
      </c>
      <c r="D27" s="15">
        <f t="shared" si="8"/>
        <v>8</v>
      </c>
      <c r="E27" s="15">
        <f t="shared" si="8"/>
        <v>10</v>
      </c>
      <c r="F27" s="15">
        <f t="shared" si="8"/>
        <v>11</v>
      </c>
      <c r="G27" s="15">
        <f t="shared" si="8"/>
        <v>1</v>
      </c>
      <c r="H27" s="15">
        <f t="shared" si="8"/>
        <v>6</v>
      </c>
      <c r="I27" s="15">
        <f t="shared" si="8"/>
        <v>0</v>
      </c>
      <c r="J27" s="15">
        <f t="shared" si="8"/>
        <v>5</v>
      </c>
      <c r="K27" s="15">
        <f t="shared" si="8"/>
        <v>2</v>
      </c>
      <c r="L27" s="15">
        <f t="shared" si="8"/>
        <v>5</v>
      </c>
      <c r="M27" s="15">
        <f t="shared" si="8"/>
        <v>9</v>
      </c>
      <c r="N27" s="15">
        <f t="shared" si="8"/>
        <v>2</v>
      </c>
      <c r="O27" s="15">
        <f t="shared" si="8"/>
        <v>1</v>
      </c>
      <c r="P27" s="15">
        <f t="shared" si="8"/>
        <v>2</v>
      </c>
      <c r="Q27" s="15">
        <f t="shared" si="8"/>
        <v>3</v>
      </c>
      <c r="R27" s="15">
        <f t="shared" si="8"/>
        <v>8</v>
      </c>
      <c r="S27" s="15">
        <f t="shared" si="8"/>
        <v>4</v>
      </c>
      <c r="T27" s="15">
        <f t="shared" si="8"/>
        <v>13</v>
      </c>
      <c r="U27" s="15">
        <f t="shared" si="8"/>
        <v>7</v>
      </c>
      <c r="V27" s="35">
        <f t="shared" si="6"/>
        <v>106</v>
      </c>
      <c r="W27" s="36">
        <f t="shared" si="7"/>
        <v>0.2523809524</v>
      </c>
    </row>
    <row r="28">
      <c r="A28" s="34" t="s">
        <v>5</v>
      </c>
      <c r="B28" s="15">
        <f t="shared" ref="B28:U28" si="9">COUNTIF(B2:B23,2)</f>
        <v>1</v>
      </c>
      <c r="C28" s="15">
        <f t="shared" si="9"/>
        <v>1</v>
      </c>
      <c r="D28" s="15">
        <f t="shared" si="9"/>
        <v>0</v>
      </c>
      <c r="E28" s="15">
        <f t="shared" si="9"/>
        <v>0</v>
      </c>
      <c r="F28" s="15">
        <f t="shared" si="9"/>
        <v>1</v>
      </c>
      <c r="G28" s="15">
        <f t="shared" si="9"/>
        <v>0</v>
      </c>
      <c r="H28" s="15">
        <f t="shared" si="9"/>
        <v>0</v>
      </c>
      <c r="I28" s="15">
        <f t="shared" si="9"/>
        <v>0</v>
      </c>
      <c r="J28" s="15">
        <f t="shared" si="9"/>
        <v>0</v>
      </c>
      <c r="K28" s="15">
        <f t="shared" si="9"/>
        <v>0</v>
      </c>
      <c r="L28" s="15">
        <f t="shared" si="9"/>
        <v>0</v>
      </c>
      <c r="M28" s="15">
        <f t="shared" si="9"/>
        <v>2</v>
      </c>
      <c r="N28" s="15">
        <f t="shared" si="9"/>
        <v>0</v>
      </c>
      <c r="O28" s="15">
        <f t="shared" si="9"/>
        <v>0</v>
      </c>
      <c r="P28" s="15">
        <f t="shared" si="9"/>
        <v>0</v>
      </c>
      <c r="Q28" s="15">
        <f t="shared" si="9"/>
        <v>1</v>
      </c>
      <c r="R28" s="15">
        <f t="shared" si="9"/>
        <v>3</v>
      </c>
      <c r="S28" s="15">
        <f t="shared" si="9"/>
        <v>2</v>
      </c>
      <c r="T28" s="15">
        <f t="shared" si="9"/>
        <v>4</v>
      </c>
      <c r="U28" s="15">
        <f t="shared" si="9"/>
        <v>2</v>
      </c>
      <c r="V28" s="35">
        <f t="shared" si="6"/>
        <v>17</v>
      </c>
      <c r="W28" s="36">
        <f t="shared" si="7"/>
        <v>0.04047619048</v>
      </c>
    </row>
    <row r="29">
      <c r="A29" s="34" t="s">
        <v>6</v>
      </c>
      <c r="B29" s="15">
        <f t="shared" ref="B29:U29" si="10">COUNTIF(B2:B23,1)</f>
        <v>1</v>
      </c>
      <c r="C29" s="15">
        <f t="shared" si="10"/>
        <v>1</v>
      </c>
      <c r="D29" s="15">
        <f t="shared" si="10"/>
        <v>1</v>
      </c>
      <c r="E29" s="15">
        <f t="shared" si="10"/>
        <v>1</v>
      </c>
      <c r="F29" s="15">
        <f t="shared" si="10"/>
        <v>1</v>
      </c>
      <c r="G29" s="15">
        <f t="shared" si="10"/>
        <v>1</v>
      </c>
      <c r="H29" s="15">
        <f t="shared" si="10"/>
        <v>1</v>
      </c>
      <c r="I29" s="15">
        <f t="shared" si="10"/>
        <v>1</v>
      </c>
      <c r="J29" s="15">
        <f t="shared" si="10"/>
        <v>1</v>
      </c>
      <c r="K29" s="15">
        <f t="shared" si="10"/>
        <v>0</v>
      </c>
      <c r="L29" s="15">
        <f t="shared" si="10"/>
        <v>1</v>
      </c>
      <c r="M29" s="15">
        <f t="shared" si="10"/>
        <v>2</v>
      </c>
      <c r="N29" s="15">
        <f t="shared" si="10"/>
        <v>1</v>
      </c>
      <c r="O29" s="15">
        <f t="shared" si="10"/>
        <v>1</v>
      </c>
      <c r="P29" s="15">
        <f t="shared" si="10"/>
        <v>1</v>
      </c>
      <c r="Q29" s="15">
        <f t="shared" si="10"/>
        <v>1</v>
      </c>
      <c r="R29" s="15">
        <f t="shared" si="10"/>
        <v>1</v>
      </c>
      <c r="S29" s="15">
        <f t="shared" si="10"/>
        <v>1</v>
      </c>
      <c r="T29" s="15">
        <f t="shared" si="10"/>
        <v>1</v>
      </c>
      <c r="U29" s="15">
        <f t="shared" si="10"/>
        <v>1</v>
      </c>
      <c r="V29" s="35">
        <f t="shared" si="6"/>
        <v>20</v>
      </c>
      <c r="W29" s="36">
        <f t="shared" si="7"/>
        <v>0.04761904762</v>
      </c>
    </row>
    <row r="30">
      <c r="A30" s="37"/>
      <c r="B30" s="17"/>
      <c r="V30" s="35">
        <f>SUM(V25:V29)</f>
        <v>420</v>
      </c>
      <c r="W30" s="36">
        <f t="shared" si="7"/>
        <v>1</v>
      </c>
    </row>
    <row r="31">
      <c r="A31" s="37"/>
      <c r="B31" s="17"/>
    </row>
    <row r="32">
      <c r="A32" s="17"/>
      <c r="B32" s="17"/>
    </row>
    <row r="33">
      <c r="A33" s="17"/>
      <c r="B33" s="17"/>
    </row>
    <row r="34">
      <c r="A34" s="37"/>
      <c r="B34" s="17"/>
    </row>
    <row r="35">
      <c r="A35" s="38" t="s">
        <v>56</v>
      </c>
      <c r="B35" s="17"/>
    </row>
    <row r="36">
      <c r="A36" s="39" t="s">
        <v>57</v>
      </c>
      <c r="B36" s="40">
        <f>AVERAGE(V2:V23)</f>
        <v>72.13636364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9.75"/>
    <col customWidth="1" min="3" max="3" width="18.25"/>
    <col customWidth="1" min="4" max="4" width="63.75"/>
  </cols>
  <sheetData>
    <row r="1">
      <c r="A1" s="41" t="s">
        <v>58</v>
      </c>
      <c r="B1" s="42" t="s">
        <v>59</v>
      </c>
      <c r="C1" s="42" t="s">
        <v>60</v>
      </c>
      <c r="D1" s="42" t="s">
        <v>61</v>
      </c>
      <c r="E1" s="42" t="s">
        <v>62</v>
      </c>
    </row>
    <row r="2">
      <c r="A2" s="43">
        <v>1.0</v>
      </c>
      <c r="B2" s="30" t="s">
        <v>7</v>
      </c>
      <c r="C2" s="30" t="s">
        <v>63</v>
      </c>
    </row>
    <row r="3">
      <c r="A3" s="43">
        <v>2.0</v>
      </c>
      <c r="B3" s="30" t="s">
        <v>9</v>
      </c>
      <c r="C3" s="30" t="s">
        <v>64</v>
      </c>
    </row>
    <row r="4">
      <c r="A4" s="43">
        <v>3.0</v>
      </c>
      <c r="B4" s="30" t="s">
        <v>11</v>
      </c>
      <c r="C4" s="30" t="s">
        <v>65</v>
      </c>
      <c r="D4" s="30" t="s">
        <v>66</v>
      </c>
    </row>
    <row r="5">
      <c r="A5" s="43">
        <v>4.0</v>
      </c>
      <c r="B5" s="30" t="s">
        <v>14</v>
      </c>
      <c r="C5" s="30" t="s">
        <v>67</v>
      </c>
      <c r="D5" s="30" t="s">
        <v>68</v>
      </c>
    </row>
  </sheetData>
  <drawing r:id="rId1"/>
</worksheet>
</file>
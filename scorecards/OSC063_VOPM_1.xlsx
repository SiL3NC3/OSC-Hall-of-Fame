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cores" sheetId="1" r:id="rId4"/>
    <sheet state="visible" name="Results" sheetId="2" r:id="rId5"/>
  </sheets>
  <definedNames>
    <definedName hidden="1" localSheetId="1" name="_xlnm._FilterDatabase">Results!$A$1:$B$22</definedName>
  </definedNames>
  <calcPr/>
</workbook>
</file>

<file path=xl/sharedStrings.xml><?xml version="1.0" encoding="utf-8"?>
<sst xmlns="http://schemas.openxmlformats.org/spreadsheetml/2006/main" count="84" uniqueCount="72">
  <si>
    <t>Voter Name (KVR nick)</t>
  </si>
  <si>
    <t>Animehaus and H-man - Okawari</t>
  </si>
  <si>
    <t>artao - Fuzzadub - KVR OSC 63: VOPM</t>
  </si>
  <si>
    <t>ballacr75  - once again</t>
  </si>
  <si>
    <t>Shortmanb  - Make It (OSC VOPM Contest)</t>
  </si>
  <si>
    <t>bh9090  - Exposed (VOPM)</t>
  </si>
  <si>
    <t>DoctorBob  - The Greek Gods - (OSC 63 VOPM)</t>
  </si>
  <si>
    <t>DzAH - CounterPHarmonic2 - Pour Out (OSC 63: VOPM)</t>
  </si>
  <si>
    <t>flipm1967  - VOPM - OSC 63 - You Can Run But You Can't Hide</t>
  </si>
  <si>
    <t>J.Ruegg  - Nacht Spaziergang</t>
  </si>
  <si>
    <t>Jasinski - Vel Ocity Party Monster (OSC63 VOPM)</t>
  </si>
  <si>
    <t>Loris DS  - Steamroller</t>
  </si>
  <si>
    <t>Oxebe  - Very Optimistically Played Melody (OSC63)</t>
  </si>
  <si>
    <t>pedalsteeldrummer  - Strawberries and Cream</t>
  </si>
  <si>
    <t>Photonic  - Room Service</t>
  </si>
  <si>
    <t>psmacmur - Modul8 Her (VOPM)</t>
  </si>
  <si>
    <t>Pulse Width Modulation - Algoritmo Cuatro Cha Cha Cha</t>
  </si>
  <si>
    <t>Sizemore0409 - Sizemore0409:     Visions Of Playful Madness</t>
  </si>
  <si>
    <t>Skyzone - Frozen Beauty</t>
  </si>
  <si>
    <t>TED209  - Deadline</t>
  </si>
  <si>
    <t>terebellum - Yellow Cake Submarine</t>
  </si>
  <si>
    <t>Yeager  - Vacation On Planet Mercury</t>
  </si>
  <si>
    <t>z.prime - VisuaLies</t>
  </si>
  <si>
    <t>Sum</t>
  </si>
  <si>
    <t>animehaus</t>
  </si>
  <si>
    <t>artao</t>
  </si>
  <si>
    <t>ballacr75</t>
  </si>
  <si>
    <t>shortmanb</t>
  </si>
  <si>
    <t>bh9090</t>
  </si>
  <si>
    <t>bzur</t>
  </si>
  <si>
    <t>ClaRago</t>
  </si>
  <si>
    <t>doctorbob</t>
  </si>
  <si>
    <t>DzAH</t>
  </si>
  <si>
    <t>flipm1967</t>
  </si>
  <si>
    <t>J.Ruegg</t>
  </si>
  <si>
    <t>jasinski</t>
  </si>
  <si>
    <t>Kraftraum</t>
  </si>
  <si>
    <t>loris</t>
  </si>
  <si>
    <t>marks-a-whybikky</t>
  </si>
  <si>
    <t>oxebe</t>
  </si>
  <si>
    <t>pedalsteeldrummer</t>
  </si>
  <si>
    <t>Photonic</t>
  </si>
  <si>
    <t>psmacmur</t>
  </si>
  <si>
    <t>Pulse Width Modulation</t>
  </si>
  <si>
    <t>Richard Semper</t>
  </si>
  <si>
    <t>RuediRena</t>
  </si>
  <si>
    <t>satYatunes</t>
  </si>
  <si>
    <t>sizemore0409</t>
  </si>
  <si>
    <t>SKYZONE</t>
  </si>
  <si>
    <t>TED209</t>
  </si>
  <si>
    <t>terebellum</t>
  </si>
  <si>
    <t>U-o</t>
  </si>
  <si>
    <t>Yeager</t>
  </si>
  <si>
    <t>z.prime</t>
  </si>
  <si>
    <t>Total Score</t>
  </si>
  <si>
    <t># One's</t>
  </si>
  <si>
    <t># Two's</t>
  </si>
  <si>
    <t># Three's</t>
  </si>
  <si>
    <t># Four</t>
  </si>
  <si>
    <t># Five</t>
  </si>
  <si>
    <t>NAME</t>
  </si>
  <si>
    <t>SCORE</t>
  </si>
  <si>
    <t>Jasinski - Vel Ocity Party Monster</t>
  </si>
  <si>
    <t>bh9090  - Exposed</t>
  </si>
  <si>
    <t xml:space="preserve">Oxebe  - Very Optimistically Played Melody </t>
  </si>
  <si>
    <t>BBlunt Productions (formerly Shortmanb)  - Make It</t>
  </si>
  <si>
    <t>flipm1967  - You Can Run But You Can't Hide</t>
  </si>
  <si>
    <t xml:space="preserve">DzAH - CounterPHarmonic2 - Pour Out </t>
  </si>
  <si>
    <t>psmacmur - Modul8 Her</t>
  </si>
  <si>
    <t>DoctorBob  - The Greek Gods</t>
  </si>
  <si>
    <t>Sizemore0409 - Visions Of Playful Madness</t>
  </si>
  <si>
    <t>artao - Fuzzadub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</si>
</sst>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7">
    <font>
      <sz val="10.0"/>
      <color rgb="FF000000"/>
      <name val="Arial"/>
    </font>
    <font>
      <sz val="11.0"/>
      <color rgb="FF000000"/>
      <name val="Calibri"/>
    </font>
    <font>
      <sz val="11.0"/>
      <color rgb="FF7F7F7F"/>
      <name val="Calibri"/>
    </font>
    <font>
      <color rgb="FFB7B7B7"/>
    </font>
    <font>
      <sz val="11.0"/>
      <color rgb="FFB7B7B7"/>
      <name val="Calibri"/>
    </font>
    <font>
      <sz val="11.0"/>
      <color rgb="FFA5A5A5"/>
      <name val="Calibri"/>
    </font>
    <font>
      <b/>
      <sz val="11.0"/>
      <color rgb="FFFFFFFF"/>
      <name val="Calibri"/>
    </font>
  </fonts>
  <fills count="4">
    <fill>
      <patternFill patternType="none"/>
    </fill>
    <fill>
      <patternFill patternType="lightGray"/>
    </fill>
    <fill>
      <patternFill patternType="solid">
        <fgColor rgb="FFFFFF00"/>
        <bgColor rgb="FFFFFF00"/>
      </patternFill>
    </fill>
    <fill>
      <patternFill patternType="solid">
        <fgColor rgb="FF3F3F3F"/>
        <bgColor rgb="FF3F3F3F"/>
      </patternFill>
    </fill>
  </fills>
  <borders count="2">
    <border/>
    <border>
      <left/>
      <right/>
      <top/>
      <bottom/>
    </border>
  </borders>
  <cellStyleXfs count="1">
    <xf borderId="0" fillId="0" fontId="0" numFmtId="0" applyAlignment="1" applyFont="1"/>
  </cellStyleXfs>
  <cellXfs count="10">
    <xf borderId="0" fillId="0" fontId="0" numFmtId="0" xfId="0" applyAlignment="1" applyFont="1">
      <alignment readingOrder="0" shrinkToFit="0" vertical="bottom" wrapText="1"/>
    </xf>
    <xf borderId="0" fillId="0" fontId="1" numFmtId="0" xfId="0" applyAlignment="1" applyFont="1">
      <alignment shrinkToFit="0" wrapText="0"/>
    </xf>
    <xf borderId="0" fillId="0" fontId="1" numFmtId="0" xfId="0" applyAlignment="1" applyFont="1">
      <alignment readingOrder="0" shrinkToFit="0" wrapText="0"/>
    </xf>
    <xf borderId="0" fillId="0" fontId="2" numFmtId="0" xfId="0" applyAlignment="1" applyFont="1">
      <alignment shrinkToFit="0" wrapText="0"/>
    </xf>
    <xf borderId="1" fillId="2" fontId="1" numFmtId="0" xfId="0" applyAlignment="1" applyBorder="1" applyFill="1" applyFont="1">
      <alignment readingOrder="0" shrinkToFit="0" wrapText="0"/>
    </xf>
    <xf borderId="0" fillId="2" fontId="1" numFmtId="0" xfId="0" applyAlignment="1" applyFont="1">
      <alignment readingOrder="0" shrinkToFit="0" wrapText="0"/>
    </xf>
    <xf borderId="0" fillId="0" fontId="3" numFmtId="0" xfId="0" applyAlignment="1" applyFont="1">
      <alignment readingOrder="0" shrinkToFit="0" wrapText="1"/>
    </xf>
    <xf borderId="0" fillId="0" fontId="4" numFmtId="0" xfId="0" applyAlignment="1" applyFont="1">
      <alignment readingOrder="0" shrinkToFit="0" wrapText="0"/>
    </xf>
    <xf borderId="0" fillId="0" fontId="5" numFmtId="0" xfId="0" applyAlignment="1" applyFont="1">
      <alignment shrinkToFit="0" wrapText="0"/>
    </xf>
    <xf borderId="1" fillId="3" fontId="6" numFmtId="0" xfId="0" applyAlignment="1" applyBorder="1" applyFill="1" applyFont="1">
      <alignment shrinkToFit="0" wrapText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sharedStrings" Target="sharedStrings.xml"/><Relationship Id="rId3" Type="http://schemas.microsoft.com/office/2017/10/relationships/person" Target="persons/person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75"/>
  <cols>
    <col customWidth="1" min="1" max="1" width="19.38"/>
    <col customWidth="1" min="2" max="23" width="7.63"/>
    <col customWidth="1" min="24" max="24" width="4.75"/>
  </cols>
  <sheetData>
    <row r="1" ht="15.0" customHeight="1">
      <c r="A1" s="1" t="s">
        <v>0</v>
      </c>
      <c r="B1" s="2" t="s">
        <v>1</v>
      </c>
      <c r="C1" s="1" t="s">
        <v>2</v>
      </c>
      <c r="D1" s="1" t="s">
        <v>3</v>
      </c>
      <c r="E1" s="2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3" t="s">
        <v>23</v>
      </c>
    </row>
    <row r="2" ht="15.0" customHeight="1">
      <c r="A2" s="1" t="s">
        <v>24</v>
      </c>
      <c r="B2" s="4">
        <v>1.0</v>
      </c>
      <c r="C2" s="2">
        <v>3.0</v>
      </c>
      <c r="D2" s="2">
        <v>2.0</v>
      </c>
      <c r="E2" s="2">
        <v>4.0</v>
      </c>
      <c r="F2" s="2">
        <v>5.0</v>
      </c>
      <c r="G2" s="2">
        <v>4.0</v>
      </c>
      <c r="H2" s="2">
        <v>4.0</v>
      </c>
      <c r="I2" s="2">
        <v>4.0</v>
      </c>
      <c r="J2" s="2">
        <v>5.0</v>
      </c>
      <c r="K2" s="2">
        <v>5.0</v>
      </c>
      <c r="L2" s="2">
        <v>4.0</v>
      </c>
      <c r="M2" s="2">
        <v>4.0</v>
      </c>
      <c r="N2" s="2">
        <v>4.0</v>
      </c>
      <c r="O2" s="2">
        <v>5.0</v>
      </c>
      <c r="P2" s="2">
        <v>4.0</v>
      </c>
      <c r="Q2" s="2">
        <v>4.0</v>
      </c>
      <c r="R2" s="2">
        <v>3.0</v>
      </c>
      <c r="S2" s="2">
        <v>3.0</v>
      </c>
      <c r="T2" s="2">
        <v>3.0</v>
      </c>
      <c r="U2" s="2">
        <v>5.0</v>
      </c>
      <c r="V2" s="2">
        <v>4.0</v>
      </c>
      <c r="W2" s="2">
        <v>4.0</v>
      </c>
      <c r="X2" s="3">
        <f t="shared" ref="X2:X31" si="1">SUM(B2:W2)</f>
        <v>84</v>
      </c>
    </row>
    <row r="3" ht="15.0" customHeight="1">
      <c r="A3" s="1" t="s">
        <v>25</v>
      </c>
      <c r="B3" s="2">
        <v>5.0</v>
      </c>
      <c r="C3" s="4">
        <v>1.0</v>
      </c>
      <c r="D3" s="2">
        <v>3.0</v>
      </c>
      <c r="E3" s="2">
        <v>5.0</v>
      </c>
      <c r="F3" s="2">
        <v>4.0</v>
      </c>
      <c r="G3" s="2">
        <v>2.0</v>
      </c>
      <c r="H3" s="2">
        <v>2.0</v>
      </c>
      <c r="I3" s="2">
        <v>3.0</v>
      </c>
      <c r="J3" s="2">
        <v>3.0</v>
      </c>
      <c r="K3" s="2">
        <v>4.0</v>
      </c>
      <c r="L3" s="2">
        <v>4.0</v>
      </c>
      <c r="M3" s="2">
        <v>3.0</v>
      </c>
      <c r="N3" s="2">
        <v>4.0</v>
      </c>
      <c r="O3" s="2">
        <v>3.0</v>
      </c>
      <c r="P3" s="2">
        <v>3.0</v>
      </c>
      <c r="Q3" s="2">
        <v>5.0</v>
      </c>
      <c r="R3" s="2">
        <v>2.0</v>
      </c>
      <c r="S3" s="2">
        <v>3.0</v>
      </c>
      <c r="T3" s="2">
        <v>4.0</v>
      </c>
      <c r="U3" s="2">
        <v>4.0</v>
      </c>
      <c r="V3" s="2">
        <v>3.0</v>
      </c>
      <c r="W3" s="2">
        <v>5.0</v>
      </c>
      <c r="X3" s="3">
        <f t="shared" si="1"/>
        <v>75</v>
      </c>
    </row>
    <row r="4" ht="15.0" customHeight="1">
      <c r="A4" s="1" t="s">
        <v>26</v>
      </c>
      <c r="B4" s="2">
        <v>3.0</v>
      </c>
      <c r="C4" s="2">
        <v>1.0</v>
      </c>
      <c r="D4" s="4">
        <v>1.0</v>
      </c>
      <c r="E4" s="2">
        <v>1.0</v>
      </c>
      <c r="F4" s="2">
        <v>1.0</v>
      </c>
      <c r="G4" s="2">
        <v>1.0</v>
      </c>
      <c r="H4" s="2">
        <v>2.0</v>
      </c>
      <c r="I4" s="2">
        <v>3.0</v>
      </c>
      <c r="J4" s="2">
        <v>2.0</v>
      </c>
      <c r="K4" s="2">
        <v>5.0</v>
      </c>
      <c r="L4" s="2">
        <v>4.0</v>
      </c>
      <c r="M4" s="2">
        <v>3.0</v>
      </c>
      <c r="N4" s="2">
        <v>4.0</v>
      </c>
      <c r="O4" s="2">
        <v>4.0</v>
      </c>
      <c r="P4" s="2">
        <v>2.0</v>
      </c>
      <c r="Q4" s="2">
        <v>1.0</v>
      </c>
      <c r="R4" s="2">
        <v>1.0</v>
      </c>
      <c r="S4" s="2">
        <v>2.0</v>
      </c>
      <c r="T4" s="2">
        <v>5.0</v>
      </c>
      <c r="U4" s="2">
        <v>1.0</v>
      </c>
      <c r="V4" s="2">
        <v>5.0</v>
      </c>
      <c r="W4" s="2">
        <v>5.0</v>
      </c>
      <c r="X4" s="3">
        <f t="shared" si="1"/>
        <v>57</v>
      </c>
    </row>
    <row r="5" ht="15.0" customHeight="1">
      <c r="A5" s="1" t="s">
        <v>27</v>
      </c>
      <c r="B5" s="2">
        <v>3.0</v>
      </c>
      <c r="C5" s="2">
        <v>3.0</v>
      </c>
      <c r="D5" s="2">
        <v>3.0</v>
      </c>
      <c r="E5" s="5">
        <v>1.0</v>
      </c>
      <c r="F5" s="2">
        <v>4.0</v>
      </c>
      <c r="G5" s="2">
        <v>3.0</v>
      </c>
      <c r="H5" s="2">
        <v>4.0</v>
      </c>
      <c r="I5" s="2">
        <v>3.0</v>
      </c>
      <c r="J5" s="2">
        <v>5.0</v>
      </c>
      <c r="K5" s="2">
        <v>4.0</v>
      </c>
      <c r="L5" s="2">
        <v>4.0</v>
      </c>
      <c r="M5" s="2">
        <v>4.0</v>
      </c>
      <c r="N5" s="2">
        <v>4.0</v>
      </c>
      <c r="O5" s="2">
        <v>5.0</v>
      </c>
      <c r="P5" s="2">
        <v>4.0</v>
      </c>
      <c r="Q5" s="2">
        <v>3.0</v>
      </c>
      <c r="R5" s="2">
        <v>3.0</v>
      </c>
      <c r="S5" s="2">
        <v>3.0</v>
      </c>
      <c r="T5" s="2">
        <v>3.0</v>
      </c>
      <c r="U5" s="2">
        <v>2.0</v>
      </c>
      <c r="V5" s="2">
        <v>4.0</v>
      </c>
      <c r="W5" s="2">
        <v>5.0</v>
      </c>
      <c r="X5" s="3">
        <f t="shared" si="1"/>
        <v>77</v>
      </c>
    </row>
    <row r="6" ht="15.0" customHeight="1">
      <c r="A6" s="1" t="s">
        <v>28</v>
      </c>
      <c r="B6" s="2">
        <v>2.0</v>
      </c>
      <c r="C6" s="2">
        <v>3.0</v>
      </c>
      <c r="D6" s="2">
        <v>1.0</v>
      </c>
      <c r="E6" s="2">
        <v>2.0</v>
      </c>
      <c r="F6" s="4">
        <v>1.0</v>
      </c>
      <c r="G6" s="2">
        <v>3.0</v>
      </c>
      <c r="H6" s="2">
        <v>2.0</v>
      </c>
      <c r="I6" s="2">
        <v>2.0</v>
      </c>
      <c r="J6" s="2">
        <v>2.0</v>
      </c>
      <c r="K6" s="2">
        <v>4.0</v>
      </c>
      <c r="L6" s="2">
        <v>3.0</v>
      </c>
      <c r="M6" s="2">
        <v>5.0</v>
      </c>
      <c r="N6" s="2">
        <v>1.0</v>
      </c>
      <c r="O6" s="2">
        <v>3.0</v>
      </c>
      <c r="P6" s="2">
        <v>3.0</v>
      </c>
      <c r="Q6" s="2">
        <v>2.0</v>
      </c>
      <c r="R6" s="2">
        <v>1.0</v>
      </c>
      <c r="S6" s="2">
        <v>2.0</v>
      </c>
      <c r="T6" s="2">
        <v>3.0</v>
      </c>
      <c r="U6" s="2">
        <v>2.0</v>
      </c>
      <c r="V6" s="2">
        <v>1.0</v>
      </c>
      <c r="W6" s="2">
        <v>4.0</v>
      </c>
      <c r="X6" s="3">
        <f t="shared" si="1"/>
        <v>52</v>
      </c>
    </row>
    <row r="7" ht="15.0" customHeight="1">
      <c r="A7" s="1" t="s">
        <v>29</v>
      </c>
      <c r="B7" s="2">
        <v>3.0</v>
      </c>
      <c r="C7" s="2">
        <v>3.0</v>
      </c>
      <c r="D7" s="2">
        <v>3.0</v>
      </c>
      <c r="E7" s="2">
        <v>3.0</v>
      </c>
      <c r="F7" s="2">
        <v>3.0</v>
      </c>
      <c r="G7" s="2">
        <v>2.0</v>
      </c>
      <c r="H7" s="2">
        <v>5.0</v>
      </c>
      <c r="I7" s="2">
        <v>5.0</v>
      </c>
      <c r="J7" s="2">
        <v>5.0</v>
      </c>
      <c r="K7" s="2">
        <v>4.0</v>
      </c>
      <c r="L7" s="2">
        <v>2.0</v>
      </c>
      <c r="M7" s="2">
        <v>4.0</v>
      </c>
      <c r="N7" s="2">
        <v>5.0</v>
      </c>
      <c r="O7" s="2">
        <v>5.0</v>
      </c>
      <c r="P7" s="2">
        <v>2.0</v>
      </c>
      <c r="Q7" s="2">
        <v>3.0</v>
      </c>
      <c r="R7" s="2">
        <v>4.0</v>
      </c>
      <c r="S7" s="2">
        <v>4.0</v>
      </c>
      <c r="T7" s="2">
        <v>4.0</v>
      </c>
      <c r="U7" s="2">
        <v>2.0</v>
      </c>
      <c r="V7" s="2">
        <v>5.0</v>
      </c>
      <c r="W7" s="2">
        <v>3.0</v>
      </c>
      <c r="X7" s="3">
        <f t="shared" si="1"/>
        <v>79</v>
      </c>
    </row>
    <row r="8" ht="15.0" customHeight="1">
      <c r="A8" s="1" t="s">
        <v>30</v>
      </c>
      <c r="B8" s="2">
        <v>3.0</v>
      </c>
      <c r="C8" s="2">
        <v>3.0</v>
      </c>
      <c r="D8" s="2">
        <v>3.0</v>
      </c>
      <c r="E8" s="2">
        <v>3.0</v>
      </c>
      <c r="F8" s="2">
        <v>4.0</v>
      </c>
      <c r="G8" s="2">
        <v>3.0</v>
      </c>
      <c r="H8" s="2">
        <v>3.0</v>
      </c>
      <c r="I8" s="2">
        <v>3.0</v>
      </c>
      <c r="J8" s="2">
        <v>3.0</v>
      </c>
      <c r="K8" s="2">
        <v>4.0</v>
      </c>
      <c r="L8" s="2">
        <v>2.0</v>
      </c>
      <c r="M8" s="2">
        <v>4.0</v>
      </c>
      <c r="N8" s="2">
        <v>4.0</v>
      </c>
      <c r="O8" s="2">
        <v>5.0</v>
      </c>
      <c r="P8" s="2">
        <v>3.0</v>
      </c>
      <c r="Q8" s="2">
        <v>4.0</v>
      </c>
      <c r="R8" s="2">
        <v>5.0</v>
      </c>
      <c r="S8" s="2">
        <v>4.0</v>
      </c>
      <c r="T8" s="2">
        <v>5.0</v>
      </c>
      <c r="U8" s="2">
        <v>2.0</v>
      </c>
      <c r="V8" s="2">
        <v>2.0</v>
      </c>
      <c r="W8" s="2">
        <v>4.0</v>
      </c>
      <c r="X8" s="3">
        <f t="shared" si="1"/>
        <v>76</v>
      </c>
    </row>
    <row r="9" ht="15.0" customHeight="1">
      <c r="A9" s="1" t="s">
        <v>31</v>
      </c>
      <c r="B9" s="2">
        <v>4.0</v>
      </c>
      <c r="C9" s="2">
        <v>1.0</v>
      </c>
      <c r="D9" s="2">
        <v>1.0</v>
      </c>
      <c r="E9" s="2">
        <v>4.0</v>
      </c>
      <c r="F9" s="2">
        <v>3.0</v>
      </c>
      <c r="G9" s="4">
        <v>1.0</v>
      </c>
      <c r="H9" s="2">
        <v>4.0</v>
      </c>
      <c r="I9" s="2">
        <v>3.0</v>
      </c>
      <c r="J9" s="2">
        <v>3.0</v>
      </c>
      <c r="K9" s="2">
        <v>5.0</v>
      </c>
      <c r="L9" s="2">
        <v>3.0</v>
      </c>
      <c r="M9" s="2">
        <v>3.0</v>
      </c>
      <c r="N9" s="2">
        <v>4.0</v>
      </c>
      <c r="O9" s="2">
        <v>5.0</v>
      </c>
      <c r="P9" s="2">
        <v>5.0</v>
      </c>
      <c r="Q9" s="2">
        <v>2.0</v>
      </c>
      <c r="R9" s="2">
        <v>1.0</v>
      </c>
      <c r="S9" s="2">
        <v>4.0</v>
      </c>
      <c r="T9" s="2">
        <v>2.0</v>
      </c>
      <c r="U9" s="2">
        <v>3.0</v>
      </c>
      <c r="V9" s="2">
        <v>4.0</v>
      </c>
      <c r="W9" s="2">
        <v>5.0</v>
      </c>
      <c r="X9" s="3">
        <f t="shared" si="1"/>
        <v>70</v>
      </c>
    </row>
    <row r="10" ht="15.0" customHeight="1">
      <c r="A10" s="1" t="s">
        <v>32</v>
      </c>
      <c r="B10" s="2">
        <v>4.0</v>
      </c>
      <c r="C10" s="2">
        <v>2.0</v>
      </c>
      <c r="D10" s="2">
        <v>3.0</v>
      </c>
      <c r="E10" s="2">
        <v>5.0</v>
      </c>
      <c r="F10" s="2">
        <v>3.0</v>
      </c>
      <c r="G10" s="2">
        <v>2.0</v>
      </c>
      <c r="H10" s="4">
        <v>1.0</v>
      </c>
      <c r="I10" s="2">
        <v>3.0</v>
      </c>
      <c r="J10" s="2">
        <v>3.0</v>
      </c>
      <c r="K10" s="2">
        <v>4.0</v>
      </c>
      <c r="L10" s="2">
        <v>3.0</v>
      </c>
      <c r="M10" s="2">
        <v>3.0</v>
      </c>
      <c r="N10" s="2">
        <v>3.0</v>
      </c>
      <c r="O10" s="2">
        <v>4.0</v>
      </c>
      <c r="P10" s="2">
        <v>3.0</v>
      </c>
      <c r="Q10" s="2">
        <v>3.0</v>
      </c>
      <c r="R10" s="2">
        <v>2.0</v>
      </c>
      <c r="S10" s="2">
        <v>3.0</v>
      </c>
      <c r="T10" s="2">
        <v>3.0</v>
      </c>
      <c r="U10" s="2">
        <v>3.0</v>
      </c>
      <c r="V10" s="2">
        <v>5.0</v>
      </c>
      <c r="W10" s="2">
        <v>4.0</v>
      </c>
      <c r="X10" s="3">
        <f t="shared" si="1"/>
        <v>69</v>
      </c>
    </row>
    <row r="11" ht="15.0" customHeight="1">
      <c r="A11" s="1" t="s">
        <v>33</v>
      </c>
      <c r="B11" s="2">
        <v>5.0</v>
      </c>
      <c r="C11" s="2">
        <v>2.0</v>
      </c>
      <c r="D11" s="2">
        <v>4.0</v>
      </c>
      <c r="E11" s="2">
        <v>4.0</v>
      </c>
      <c r="F11" s="2">
        <v>5.0</v>
      </c>
      <c r="G11" s="2">
        <v>3.0</v>
      </c>
      <c r="H11" s="2">
        <v>3.0</v>
      </c>
      <c r="I11" s="4">
        <v>1.0</v>
      </c>
      <c r="J11" s="2">
        <v>4.0</v>
      </c>
      <c r="K11" s="2">
        <v>5.0</v>
      </c>
      <c r="L11" s="2">
        <v>5.0</v>
      </c>
      <c r="M11" s="2">
        <v>4.0</v>
      </c>
      <c r="N11" s="2">
        <v>5.0</v>
      </c>
      <c r="O11" s="2">
        <v>5.0</v>
      </c>
      <c r="P11" s="2">
        <v>3.0</v>
      </c>
      <c r="Q11" s="2">
        <v>3.0</v>
      </c>
      <c r="R11" s="2">
        <v>2.0</v>
      </c>
      <c r="S11" s="2">
        <v>5.0</v>
      </c>
      <c r="T11" s="2">
        <v>5.0</v>
      </c>
      <c r="U11" s="2">
        <v>3.0</v>
      </c>
      <c r="V11" s="2">
        <v>3.0</v>
      </c>
      <c r="W11" s="2">
        <v>4.0</v>
      </c>
      <c r="X11" s="3">
        <f t="shared" si="1"/>
        <v>83</v>
      </c>
    </row>
    <row r="12" ht="15.0" customHeight="1">
      <c r="A12" s="1" t="s">
        <v>34</v>
      </c>
      <c r="B12" s="2">
        <v>5.0</v>
      </c>
      <c r="C12" s="2">
        <v>1.0</v>
      </c>
      <c r="D12" s="2">
        <v>3.0</v>
      </c>
      <c r="E12" s="2">
        <v>3.0</v>
      </c>
      <c r="F12" s="2">
        <v>4.0</v>
      </c>
      <c r="G12" s="2">
        <v>3.0</v>
      </c>
      <c r="H12" s="2">
        <v>3.0</v>
      </c>
      <c r="I12" s="2">
        <v>4.0</v>
      </c>
      <c r="J12" s="4">
        <v>1.0</v>
      </c>
      <c r="K12" s="2">
        <v>5.0</v>
      </c>
      <c r="L12" s="2">
        <v>3.0</v>
      </c>
      <c r="M12" s="2">
        <v>3.0</v>
      </c>
      <c r="N12" s="2">
        <v>5.0</v>
      </c>
      <c r="O12" s="2">
        <v>5.0</v>
      </c>
      <c r="P12" s="2">
        <v>2.0</v>
      </c>
      <c r="Q12" s="2">
        <v>2.0</v>
      </c>
      <c r="R12" s="2">
        <v>1.0</v>
      </c>
      <c r="S12" s="2">
        <v>4.0</v>
      </c>
      <c r="T12" s="2">
        <v>3.0</v>
      </c>
      <c r="U12" s="2">
        <v>3.0</v>
      </c>
      <c r="V12" s="2">
        <v>3.0</v>
      </c>
      <c r="W12" s="2">
        <v>4.0</v>
      </c>
      <c r="X12" s="3">
        <f t="shared" si="1"/>
        <v>70</v>
      </c>
    </row>
    <row r="13" ht="15.0" customHeight="1">
      <c r="A13" s="1" t="s">
        <v>35</v>
      </c>
      <c r="B13" s="2">
        <v>5.0</v>
      </c>
      <c r="C13" s="2">
        <v>3.0</v>
      </c>
      <c r="D13" s="2">
        <v>3.0</v>
      </c>
      <c r="E13" s="2">
        <v>4.0</v>
      </c>
      <c r="F13" s="2">
        <v>5.0</v>
      </c>
      <c r="G13" s="2">
        <v>3.0</v>
      </c>
      <c r="H13" s="2">
        <v>4.0</v>
      </c>
      <c r="I13" s="2">
        <v>3.0</v>
      </c>
      <c r="J13" s="2">
        <v>5.0</v>
      </c>
      <c r="K13" s="4">
        <v>1.0</v>
      </c>
      <c r="L13" s="2">
        <v>4.0</v>
      </c>
      <c r="M13" s="2">
        <v>5.0</v>
      </c>
      <c r="N13" s="2">
        <v>4.0</v>
      </c>
      <c r="O13" s="2">
        <v>5.0</v>
      </c>
      <c r="P13" s="2">
        <v>3.0</v>
      </c>
      <c r="Q13" s="2">
        <v>3.0</v>
      </c>
      <c r="R13" s="2">
        <v>4.0</v>
      </c>
      <c r="S13" s="2">
        <v>3.0</v>
      </c>
      <c r="T13" s="2">
        <v>3.0</v>
      </c>
      <c r="U13" s="2">
        <v>4.0</v>
      </c>
      <c r="V13" s="2">
        <v>4.0</v>
      </c>
      <c r="W13" s="2">
        <v>5.0</v>
      </c>
      <c r="X13" s="3">
        <f t="shared" si="1"/>
        <v>83</v>
      </c>
    </row>
    <row r="14" ht="15.0" customHeight="1">
      <c r="A14" s="1" t="s">
        <v>36</v>
      </c>
      <c r="B14" s="2">
        <v>5.0</v>
      </c>
      <c r="C14" s="2">
        <v>3.0</v>
      </c>
      <c r="D14" s="2">
        <v>3.0</v>
      </c>
      <c r="E14" s="2">
        <v>4.0</v>
      </c>
      <c r="F14" s="2">
        <v>4.0</v>
      </c>
      <c r="G14" s="2">
        <v>3.0</v>
      </c>
      <c r="H14" s="2">
        <v>3.0</v>
      </c>
      <c r="I14" s="2">
        <v>4.0</v>
      </c>
      <c r="J14" s="2">
        <v>4.0</v>
      </c>
      <c r="K14" s="2">
        <v>5.0</v>
      </c>
      <c r="L14" s="2">
        <v>4.0</v>
      </c>
      <c r="M14" s="2">
        <v>5.0</v>
      </c>
      <c r="N14" s="2">
        <v>3.0</v>
      </c>
      <c r="O14" s="2">
        <v>5.0</v>
      </c>
      <c r="P14" s="2">
        <v>4.0</v>
      </c>
      <c r="Q14" s="2">
        <v>4.0</v>
      </c>
      <c r="R14" s="2">
        <v>3.0</v>
      </c>
      <c r="S14" s="2">
        <v>5.0</v>
      </c>
      <c r="T14" s="2">
        <v>3.0</v>
      </c>
      <c r="U14" s="2">
        <v>3.0</v>
      </c>
      <c r="V14" s="2">
        <v>4.0</v>
      </c>
      <c r="W14" s="2">
        <v>5.0</v>
      </c>
      <c r="X14" s="3">
        <f t="shared" si="1"/>
        <v>86</v>
      </c>
    </row>
    <row r="15" ht="15.0" customHeight="1">
      <c r="A15" s="1" t="s">
        <v>37</v>
      </c>
      <c r="B15" s="2">
        <v>3.0</v>
      </c>
      <c r="C15" s="2">
        <v>1.0</v>
      </c>
      <c r="D15" s="2">
        <v>2.0</v>
      </c>
      <c r="E15" s="2">
        <v>2.0</v>
      </c>
      <c r="F15" s="2">
        <v>3.0</v>
      </c>
      <c r="G15" s="2">
        <v>2.0</v>
      </c>
      <c r="H15" s="2">
        <v>2.0</v>
      </c>
      <c r="I15" s="2">
        <v>2.0</v>
      </c>
      <c r="J15" s="2">
        <v>3.0</v>
      </c>
      <c r="K15" s="2">
        <v>3.0</v>
      </c>
      <c r="L15" s="4">
        <v>1.0</v>
      </c>
      <c r="M15" s="2">
        <v>2.0</v>
      </c>
      <c r="N15" s="2">
        <v>3.0</v>
      </c>
      <c r="O15" s="2">
        <v>4.0</v>
      </c>
      <c r="P15" s="2">
        <v>2.0</v>
      </c>
      <c r="Q15" s="2">
        <v>3.0</v>
      </c>
      <c r="R15" s="2">
        <v>2.0</v>
      </c>
      <c r="S15" s="2">
        <v>3.0</v>
      </c>
      <c r="T15" s="2">
        <v>2.0</v>
      </c>
      <c r="U15" s="2">
        <v>2.0</v>
      </c>
      <c r="V15" s="2">
        <v>2.0</v>
      </c>
      <c r="W15" s="2">
        <v>3.0</v>
      </c>
      <c r="X15" s="3">
        <f t="shared" si="1"/>
        <v>52</v>
      </c>
    </row>
    <row r="16" ht="15.0" customHeight="1">
      <c r="A16" s="1" t="s">
        <v>38</v>
      </c>
      <c r="B16" s="2">
        <v>2.0</v>
      </c>
      <c r="C16" s="2">
        <v>4.0</v>
      </c>
      <c r="D16" s="2">
        <v>2.0</v>
      </c>
      <c r="E16" s="2">
        <v>2.0</v>
      </c>
      <c r="F16" s="2">
        <v>1.0</v>
      </c>
      <c r="G16" s="2">
        <v>3.0</v>
      </c>
      <c r="H16" s="2">
        <v>2.0</v>
      </c>
      <c r="I16" s="2">
        <v>3.0</v>
      </c>
      <c r="J16" s="2">
        <v>3.0</v>
      </c>
      <c r="K16" s="2">
        <v>4.0</v>
      </c>
      <c r="L16" s="2">
        <v>4.0</v>
      </c>
      <c r="M16" s="2">
        <v>5.0</v>
      </c>
      <c r="N16" s="2">
        <v>4.0</v>
      </c>
      <c r="O16" s="2">
        <v>2.0</v>
      </c>
      <c r="P16" s="2">
        <v>4.0</v>
      </c>
      <c r="Q16" s="2">
        <v>2.0</v>
      </c>
      <c r="R16" s="2">
        <v>5.0</v>
      </c>
      <c r="S16" s="2">
        <v>3.0</v>
      </c>
      <c r="T16" s="2">
        <v>4.0</v>
      </c>
      <c r="U16" s="2">
        <v>1.0</v>
      </c>
      <c r="V16" s="2">
        <v>3.0</v>
      </c>
      <c r="W16" s="2">
        <v>4.0</v>
      </c>
      <c r="X16" s="3">
        <f t="shared" si="1"/>
        <v>67</v>
      </c>
    </row>
    <row r="17" ht="15.0" customHeight="1">
      <c r="A17" s="1" t="s">
        <v>39</v>
      </c>
      <c r="B17" s="2">
        <v>5.0</v>
      </c>
      <c r="C17" s="2">
        <v>2.0</v>
      </c>
      <c r="D17" s="2">
        <v>3.0</v>
      </c>
      <c r="E17" s="2">
        <v>3.0</v>
      </c>
      <c r="F17" s="2">
        <v>5.0</v>
      </c>
      <c r="G17" s="2">
        <v>3.0</v>
      </c>
      <c r="H17" s="2">
        <v>2.0</v>
      </c>
      <c r="I17" s="2">
        <v>2.0</v>
      </c>
      <c r="J17" s="2">
        <v>4.0</v>
      </c>
      <c r="K17" s="2">
        <v>4.0</v>
      </c>
      <c r="L17" s="2">
        <v>3.0</v>
      </c>
      <c r="M17" s="4">
        <v>1.0</v>
      </c>
      <c r="N17" s="2">
        <v>3.0</v>
      </c>
      <c r="O17" s="2">
        <v>4.0</v>
      </c>
      <c r="P17" s="2">
        <v>2.0</v>
      </c>
      <c r="Q17" s="2">
        <v>2.0</v>
      </c>
      <c r="R17" s="2">
        <v>2.0</v>
      </c>
      <c r="S17" s="2">
        <v>5.0</v>
      </c>
      <c r="T17" s="2">
        <v>3.0</v>
      </c>
      <c r="U17" s="2">
        <v>4.0</v>
      </c>
      <c r="V17" s="2">
        <v>3.0</v>
      </c>
      <c r="W17" s="2">
        <v>4.0</v>
      </c>
      <c r="X17" s="3">
        <f t="shared" si="1"/>
        <v>69</v>
      </c>
    </row>
    <row r="18" ht="15.0" customHeight="1">
      <c r="A18" s="1" t="s">
        <v>40</v>
      </c>
      <c r="B18" s="2">
        <v>4.0</v>
      </c>
      <c r="C18" s="2">
        <v>2.0</v>
      </c>
      <c r="D18" s="2">
        <v>2.0</v>
      </c>
      <c r="E18" s="2">
        <v>3.0</v>
      </c>
      <c r="F18" s="2">
        <v>5.0</v>
      </c>
      <c r="G18" s="2">
        <v>2.0</v>
      </c>
      <c r="H18" s="2">
        <v>2.0</v>
      </c>
      <c r="I18" s="2">
        <v>3.0</v>
      </c>
      <c r="J18" s="2">
        <v>5.0</v>
      </c>
      <c r="K18" s="2">
        <v>5.0</v>
      </c>
      <c r="L18" s="2">
        <v>4.0</v>
      </c>
      <c r="M18" s="2">
        <v>5.0</v>
      </c>
      <c r="N18" s="4">
        <v>1.0</v>
      </c>
      <c r="O18" s="2">
        <v>4.0</v>
      </c>
      <c r="P18" s="2">
        <v>2.0</v>
      </c>
      <c r="Q18" s="2">
        <v>3.0</v>
      </c>
      <c r="R18" s="2">
        <v>3.0</v>
      </c>
      <c r="S18" s="2">
        <v>3.0</v>
      </c>
      <c r="T18" s="2">
        <v>3.0</v>
      </c>
      <c r="U18" s="2">
        <v>4.0</v>
      </c>
      <c r="V18" s="2">
        <v>3.0</v>
      </c>
      <c r="W18" s="2">
        <v>4.0</v>
      </c>
      <c r="X18" s="3">
        <f t="shared" si="1"/>
        <v>72</v>
      </c>
    </row>
    <row r="19" ht="15.0" customHeight="1">
      <c r="A19" s="1" t="s">
        <v>41</v>
      </c>
      <c r="B19" s="2">
        <v>5.0</v>
      </c>
      <c r="C19" s="2">
        <v>3.0</v>
      </c>
      <c r="D19" s="2">
        <v>3.0</v>
      </c>
      <c r="E19" s="2">
        <v>3.0</v>
      </c>
      <c r="F19" s="2">
        <v>2.0</v>
      </c>
      <c r="G19" s="2">
        <v>3.0</v>
      </c>
      <c r="H19" s="2">
        <v>4.0</v>
      </c>
      <c r="I19" s="2">
        <v>3.0</v>
      </c>
      <c r="J19" s="2">
        <v>5.0</v>
      </c>
      <c r="K19" s="2">
        <v>5.0</v>
      </c>
      <c r="L19" s="2">
        <v>2.0</v>
      </c>
      <c r="M19" s="2">
        <v>4.0</v>
      </c>
      <c r="N19" s="2">
        <v>3.0</v>
      </c>
      <c r="O19" s="4">
        <v>1.0</v>
      </c>
      <c r="P19" s="2">
        <v>2.0</v>
      </c>
      <c r="Q19" s="2">
        <v>3.0</v>
      </c>
      <c r="R19" s="2">
        <v>3.0</v>
      </c>
      <c r="S19" s="2">
        <v>5.0</v>
      </c>
      <c r="T19" s="2">
        <v>3.0</v>
      </c>
      <c r="U19" s="2">
        <v>4.0</v>
      </c>
      <c r="V19" s="2">
        <v>4.0</v>
      </c>
      <c r="W19" s="2">
        <v>5.0</v>
      </c>
      <c r="X19" s="3">
        <f t="shared" si="1"/>
        <v>75</v>
      </c>
    </row>
    <row r="20" ht="15.0" customHeight="1">
      <c r="A20" s="1" t="s">
        <v>42</v>
      </c>
      <c r="B20" s="2">
        <v>5.0</v>
      </c>
      <c r="C20" s="2">
        <v>4.0</v>
      </c>
      <c r="D20" s="2">
        <v>3.0</v>
      </c>
      <c r="E20" s="2">
        <v>4.0</v>
      </c>
      <c r="F20" s="2">
        <v>4.0</v>
      </c>
      <c r="G20" s="2">
        <v>4.0</v>
      </c>
      <c r="H20" s="2">
        <v>4.0</v>
      </c>
      <c r="I20" s="2">
        <v>2.0</v>
      </c>
      <c r="J20" s="2">
        <v>5.0</v>
      </c>
      <c r="K20" s="2">
        <v>5.0</v>
      </c>
      <c r="L20" s="2">
        <v>3.0</v>
      </c>
      <c r="M20" s="2">
        <v>4.0</v>
      </c>
      <c r="N20" s="2">
        <v>3.0</v>
      </c>
      <c r="O20" s="2">
        <v>4.0</v>
      </c>
      <c r="P20" s="4">
        <v>1.0</v>
      </c>
      <c r="Q20" s="2">
        <v>3.0</v>
      </c>
      <c r="R20" s="2">
        <v>3.0</v>
      </c>
      <c r="S20" s="2">
        <v>3.0</v>
      </c>
      <c r="T20" s="2">
        <v>2.0</v>
      </c>
      <c r="U20" s="2">
        <v>3.0</v>
      </c>
      <c r="V20" s="2">
        <v>4.0</v>
      </c>
      <c r="W20" s="2">
        <v>4.0</v>
      </c>
      <c r="X20" s="3">
        <f t="shared" si="1"/>
        <v>77</v>
      </c>
    </row>
    <row r="21" ht="15.0" customHeight="1">
      <c r="A21" s="1" t="s">
        <v>43</v>
      </c>
      <c r="B21" s="2">
        <v>5.0</v>
      </c>
      <c r="C21" s="2">
        <v>3.0</v>
      </c>
      <c r="D21" s="2">
        <v>4.0</v>
      </c>
      <c r="E21" s="2">
        <v>5.0</v>
      </c>
      <c r="F21" s="2">
        <v>5.0</v>
      </c>
      <c r="G21" s="2">
        <v>4.0</v>
      </c>
      <c r="H21" s="2">
        <v>4.0</v>
      </c>
      <c r="I21" s="2">
        <v>4.0</v>
      </c>
      <c r="J21" s="2">
        <v>5.0</v>
      </c>
      <c r="K21" s="2">
        <v>5.0</v>
      </c>
      <c r="L21" s="2">
        <v>5.0</v>
      </c>
      <c r="M21" s="2">
        <v>4.0</v>
      </c>
      <c r="N21" s="2">
        <v>5.0</v>
      </c>
      <c r="O21" s="2">
        <v>5.0</v>
      </c>
      <c r="P21" s="2">
        <v>3.0</v>
      </c>
      <c r="Q21" s="4">
        <v>1.0</v>
      </c>
      <c r="R21" s="2">
        <v>3.0</v>
      </c>
      <c r="S21" s="2">
        <v>4.0</v>
      </c>
      <c r="T21" s="2">
        <v>5.0</v>
      </c>
      <c r="U21" s="2">
        <v>4.0</v>
      </c>
      <c r="V21" s="2">
        <v>5.0</v>
      </c>
      <c r="W21" s="2">
        <v>5.0</v>
      </c>
      <c r="X21" s="3">
        <f t="shared" si="1"/>
        <v>93</v>
      </c>
    </row>
    <row r="22" ht="15.0" customHeight="1">
      <c r="A22" s="1" t="s">
        <v>44</v>
      </c>
      <c r="B22" s="2">
        <v>3.0</v>
      </c>
      <c r="C22" s="2">
        <v>2.0</v>
      </c>
      <c r="D22" s="2">
        <v>3.0</v>
      </c>
      <c r="E22" s="2">
        <v>3.0</v>
      </c>
      <c r="F22" s="2">
        <v>2.0</v>
      </c>
      <c r="G22" s="2">
        <v>2.0</v>
      </c>
      <c r="H22" s="2">
        <v>4.0</v>
      </c>
      <c r="I22" s="2">
        <v>3.0</v>
      </c>
      <c r="J22" s="2">
        <v>5.0</v>
      </c>
      <c r="K22" s="2">
        <v>4.0</v>
      </c>
      <c r="L22" s="2">
        <v>4.0</v>
      </c>
      <c r="M22" s="2">
        <v>3.0</v>
      </c>
      <c r="N22" s="2">
        <v>5.0</v>
      </c>
      <c r="O22" s="2">
        <v>4.0</v>
      </c>
      <c r="P22" s="2">
        <v>5.0</v>
      </c>
      <c r="Q22" s="2">
        <v>3.0</v>
      </c>
      <c r="R22" s="2">
        <v>2.0</v>
      </c>
      <c r="S22" s="2">
        <v>4.0</v>
      </c>
      <c r="T22" s="2">
        <v>3.0</v>
      </c>
      <c r="U22" s="2">
        <v>2.0</v>
      </c>
      <c r="V22" s="2">
        <v>5.0</v>
      </c>
      <c r="W22" s="2">
        <v>4.0</v>
      </c>
      <c r="X22" s="3">
        <f t="shared" si="1"/>
        <v>75</v>
      </c>
    </row>
    <row r="23" ht="15.0" customHeight="1">
      <c r="A23" s="1" t="s">
        <v>45</v>
      </c>
      <c r="B23" s="2">
        <v>3.0</v>
      </c>
      <c r="C23" s="2">
        <v>1.0</v>
      </c>
      <c r="D23" s="2">
        <v>2.0</v>
      </c>
      <c r="E23" s="2">
        <v>2.0</v>
      </c>
      <c r="F23" s="2">
        <v>2.0</v>
      </c>
      <c r="G23" s="2">
        <v>1.0</v>
      </c>
      <c r="H23" s="2">
        <v>2.0</v>
      </c>
      <c r="I23" s="2">
        <v>2.0</v>
      </c>
      <c r="J23" s="2">
        <v>3.0</v>
      </c>
      <c r="K23" s="2">
        <v>3.0</v>
      </c>
      <c r="L23" s="2">
        <v>3.0</v>
      </c>
      <c r="M23" s="2">
        <v>1.0</v>
      </c>
      <c r="N23" s="2">
        <v>3.0</v>
      </c>
      <c r="O23" s="2">
        <v>4.0</v>
      </c>
      <c r="P23" s="2">
        <v>2.0</v>
      </c>
      <c r="Q23" s="2">
        <v>3.0</v>
      </c>
      <c r="R23" s="2">
        <v>1.0</v>
      </c>
      <c r="S23" s="2">
        <v>3.0</v>
      </c>
      <c r="T23" s="2">
        <v>2.0</v>
      </c>
      <c r="U23" s="2">
        <v>3.0</v>
      </c>
      <c r="V23" s="2">
        <v>5.0</v>
      </c>
      <c r="W23" s="2">
        <v>3.0</v>
      </c>
      <c r="X23" s="3">
        <f t="shared" si="1"/>
        <v>54</v>
      </c>
    </row>
    <row r="24" ht="15.0" customHeight="1">
      <c r="A24" s="1" t="s">
        <v>46</v>
      </c>
      <c r="B24" s="2">
        <v>4.0</v>
      </c>
      <c r="C24" s="2">
        <v>2.0</v>
      </c>
      <c r="D24" s="2">
        <v>3.0</v>
      </c>
      <c r="E24" s="2">
        <v>3.0</v>
      </c>
      <c r="F24" s="2">
        <v>5.0</v>
      </c>
      <c r="G24" s="2">
        <v>4.0</v>
      </c>
      <c r="H24" s="2">
        <v>3.0</v>
      </c>
      <c r="I24" s="2">
        <v>2.0</v>
      </c>
      <c r="J24" s="2">
        <v>5.0</v>
      </c>
      <c r="K24" s="2">
        <v>4.0</v>
      </c>
      <c r="L24" s="2">
        <v>3.0</v>
      </c>
      <c r="M24" s="2">
        <v>2.0</v>
      </c>
      <c r="N24" s="2">
        <v>3.0</v>
      </c>
      <c r="O24" s="2">
        <v>5.0</v>
      </c>
      <c r="P24" s="2">
        <v>2.0</v>
      </c>
      <c r="Q24" s="2">
        <v>3.0</v>
      </c>
      <c r="R24" s="2">
        <v>2.0</v>
      </c>
      <c r="S24" s="2">
        <v>3.0</v>
      </c>
      <c r="T24" s="2">
        <v>2.0</v>
      </c>
      <c r="U24" s="2">
        <v>2.0</v>
      </c>
      <c r="V24" s="2">
        <v>4.0</v>
      </c>
      <c r="W24" s="2">
        <v>4.0</v>
      </c>
      <c r="X24" s="3">
        <f t="shared" si="1"/>
        <v>70</v>
      </c>
    </row>
    <row r="25" ht="15.0" customHeight="1">
      <c r="A25" s="1" t="s">
        <v>47</v>
      </c>
      <c r="B25" s="2">
        <v>4.0</v>
      </c>
      <c r="C25" s="2">
        <v>3.0</v>
      </c>
      <c r="D25" s="2">
        <v>3.0</v>
      </c>
      <c r="E25" s="2">
        <v>3.0</v>
      </c>
      <c r="F25" s="2">
        <v>3.0</v>
      </c>
      <c r="G25" s="2">
        <v>3.0</v>
      </c>
      <c r="H25" s="2">
        <v>2.0</v>
      </c>
      <c r="I25" s="2">
        <v>3.0</v>
      </c>
      <c r="J25" s="2">
        <v>3.0</v>
      </c>
      <c r="K25" s="2">
        <v>3.0</v>
      </c>
      <c r="L25" s="2">
        <v>2.0</v>
      </c>
      <c r="M25" s="2">
        <v>3.0</v>
      </c>
      <c r="N25" s="2">
        <v>3.0</v>
      </c>
      <c r="O25" s="2">
        <v>4.0</v>
      </c>
      <c r="P25" s="2">
        <v>3.0</v>
      </c>
      <c r="Q25" s="2">
        <v>3.0</v>
      </c>
      <c r="R25" s="4">
        <v>1.0</v>
      </c>
      <c r="S25" s="2">
        <v>3.0</v>
      </c>
      <c r="T25" s="2">
        <v>3.0</v>
      </c>
      <c r="U25" s="2">
        <v>2.0</v>
      </c>
      <c r="V25" s="2">
        <v>3.0</v>
      </c>
      <c r="W25" s="2">
        <v>3.0</v>
      </c>
      <c r="X25" s="3">
        <f t="shared" si="1"/>
        <v>63</v>
      </c>
    </row>
    <row r="26" ht="15.0" customHeight="1">
      <c r="A26" s="1" t="s">
        <v>48</v>
      </c>
      <c r="B26" s="2">
        <v>4.0</v>
      </c>
      <c r="C26" s="2">
        <v>2.0</v>
      </c>
      <c r="D26" s="2">
        <v>2.0</v>
      </c>
      <c r="E26" s="2">
        <v>3.0</v>
      </c>
      <c r="F26" s="2">
        <v>3.0</v>
      </c>
      <c r="G26" s="2">
        <v>3.0</v>
      </c>
      <c r="H26" s="2">
        <v>3.0</v>
      </c>
      <c r="I26" s="2">
        <v>4.0</v>
      </c>
      <c r="J26" s="2">
        <v>5.0</v>
      </c>
      <c r="K26" s="2">
        <v>4.0</v>
      </c>
      <c r="L26" s="2">
        <v>4.0</v>
      </c>
      <c r="M26" s="2">
        <v>3.0</v>
      </c>
      <c r="N26" s="2">
        <v>4.0</v>
      </c>
      <c r="O26" s="2">
        <v>5.0</v>
      </c>
      <c r="P26" s="2">
        <v>3.0</v>
      </c>
      <c r="Q26" s="2">
        <v>3.0</v>
      </c>
      <c r="R26" s="2">
        <v>1.0</v>
      </c>
      <c r="S26" s="4">
        <v>1.0</v>
      </c>
      <c r="T26" s="2">
        <v>3.0</v>
      </c>
      <c r="U26" s="2">
        <v>3.0</v>
      </c>
      <c r="V26" s="2">
        <v>3.0</v>
      </c>
      <c r="W26" s="2">
        <v>4.0</v>
      </c>
      <c r="X26" s="3">
        <f t="shared" si="1"/>
        <v>70</v>
      </c>
    </row>
    <row r="27" ht="15.0" customHeight="1">
      <c r="A27" s="1" t="s">
        <v>49</v>
      </c>
      <c r="B27" s="2">
        <v>4.0</v>
      </c>
      <c r="C27" s="2">
        <v>2.0</v>
      </c>
      <c r="D27" s="2">
        <v>2.0</v>
      </c>
      <c r="E27" s="2">
        <v>4.0</v>
      </c>
      <c r="F27" s="2">
        <v>4.0</v>
      </c>
      <c r="G27" s="2">
        <v>2.0</v>
      </c>
      <c r="H27" s="2">
        <v>3.0</v>
      </c>
      <c r="I27" s="2">
        <v>3.0</v>
      </c>
      <c r="J27" s="2">
        <v>3.0</v>
      </c>
      <c r="K27" s="2">
        <v>5.0</v>
      </c>
      <c r="L27" s="2">
        <v>3.0</v>
      </c>
      <c r="M27" s="2">
        <v>4.0</v>
      </c>
      <c r="N27" s="2">
        <v>5.0</v>
      </c>
      <c r="O27" s="2">
        <v>4.0</v>
      </c>
      <c r="P27" s="2">
        <v>2.0</v>
      </c>
      <c r="Q27" s="2">
        <v>2.0</v>
      </c>
      <c r="R27" s="2">
        <v>2.0</v>
      </c>
      <c r="S27" s="2">
        <v>4.0</v>
      </c>
      <c r="T27" s="4">
        <v>1.0</v>
      </c>
      <c r="U27" s="2">
        <v>2.0</v>
      </c>
      <c r="V27" s="2">
        <v>4.0</v>
      </c>
      <c r="W27" s="2">
        <v>5.0</v>
      </c>
      <c r="X27" s="3">
        <f t="shared" si="1"/>
        <v>70</v>
      </c>
    </row>
    <row r="28" ht="15.0" customHeight="1">
      <c r="A28" s="1" t="s">
        <v>50</v>
      </c>
      <c r="B28" s="2">
        <v>5.0</v>
      </c>
      <c r="C28" s="2">
        <v>2.0</v>
      </c>
      <c r="D28" s="2">
        <v>3.0</v>
      </c>
      <c r="E28" s="2">
        <v>4.0</v>
      </c>
      <c r="F28" s="2">
        <v>5.0</v>
      </c>
      <c r="G28" s="2">
        <v>4.0</v>
      </c>
      <c r="H28" s="2">
        <v>3.0</v>
      </c>
      <c r="I28" s="2">
        <v>3.0</v>
      </c>
      <c r="J28" s="2">
        <v>3.0</v>
      </c>
      <c r="K28" s="2">
        <v>5.0</v>
      </c>
      <c r="L28" s="2">
        <v>3.0</v>
      </c>
      <c r="M28" s="2">
        <v>4.0</v>
      </c>
      <c r="N28" s="2">
        <v>3.0</v>
      </c>
      <c r="O28" s="2">
        <v>4.0</v>
      </c>
      <c r="P28" s="2">
        <v>4.0</v>
      </c>
      <c r="Q28" s="2">
        <v>3.0</v>
      </c>
      <c r="R28" s="2">
        <v>3.0</v>
      </c>
      <c r="S28" s="2">
        <v>4.0</v>
      </c>
      <c r="T28" s="2">
        <v>4.0</v>
      </c>
      <c r="U28" s="4">
        <v>1.0</v>
      </c>
      <c r="V28" s="2">
        <v>3.0</v>
      </c>
      <c r="W28" s="2">
        <v>4.0</v>
      </c>
      <c r="X28" s="3">
        <f t="shared" si="1"/>
        <v>77</v>
      </c>
    </row>
    <row r="29" ht="15.0" customHeight="1">
      <c r="A29" s="1" t="s">
        <v>51</v>
      </c>
      <c r="B29" s="2">
        <v>4.0</v>
      </c>
      <c r="C29" s="2">
        <v>2.0</v>
      </c>
      <c r="D29" s="2">
        <v>2.0</v>
      </c>
      <c r="E29" s="2">
        <v>4.0</v>
      </c>
      <c r="F29" s="2">
        <v>3.0</v>
      </c>
      <c r="G29" s="2">
        <v>3.0</v>
      </c>
      <c r="H29" s="2">
        <v>3.0</v>
      </c>
      <c r="I29" s="2">
        <v>4.0</v>
      </c>
      <c r="J29" s="2">
        <v>3.0</v>
      </c>
      <c r="K29" s="2">
        <v>5.0</v>
      </c>
      <c r="L29" s="2">
        <v>3.0</v>
      </c>
      <c r="M29" s="2">
        <v>4.0</v>
      </c>
      <c r="N29" s="2">
        <v>2.0</v>
      </c>
      <c r="O29" s="2">
        <v>3.0</v>
      </c>
      <c r="P29" s="2">
        <v>3.0</v>
      </c>
      <c r="Q29" s="2">
        <v>3.0</v>
      </c>
      <c r="R29" s="2">
        <v>3.0</v>
      </c>
      <c r="S29" s="2">
        <v>4.0</v>
      </c>
      <c r="T29" s="2">
        <v>3.0</v>
      </c>
      <c r="U29" s="2">
        <v>2.0</v>
      </c>
      <c r="V29" s="2">
        <v>3.0</v>
      </c>
      <c r="W29" s="2">
        <v>4.0</v>
      </c>
      <c r="X29" s="3">
        <f t="shared" si="1"/>
        <v>70</v>
      </c>
    </row>
    <row r="30" ht="15.0" customHeight="1">
      <c r="A30" s="1" t="s">
        <v>52</v>
      </c>
      <c r="B30" s="2">
        <v>5.0</v>
      </c>
      <c r="C30" s="2">
        <v>3.0</v>
      </c>
      <c r="D30" s="2">
        <v>3.0</v>
      </c>
      <c r="E30" s="2">
        <v>4.0</v>
      </c>
      <c r="F30" s="2">
        <v>4.0</v>
      </c>
      <c r="G30" s="2">
        <v>4.0</v>
      </c>
      <c r="H30" s="2">
        <v>3.0</v>
      </c>
      <c r="I30" s="2">
        <v>4.0</v>
      </c>
      <c r="J30" s="2">
        <v>5.0</v>
      </c>
      <c r="K30" s="2">
        <v>4.0</v>
      </c>
      <c r="L30" s="2">
        <v>4.0</v>
      </c>
      <c r="M30" s="2">
        <v>5.0</v>
      </c>
      <c r="N30" s="2">
        <v>3.0</v>
      </c>
      <c r="O30" s="2">
        <v>4.0</v>
      </c>
      <c r="P30" s="2">
        <v>3.0</v>
      </c>
      <c r="Q30" s="2">
        <v>4.0</v>
      </c>
      <c r="R30" s="2">
        <v>2.0</v>
      </c>
      <c r="S30" s="2">
        <v>4.0</v>
      </c>
      <c r="T30" s="2">
        <v>4.0</v>
      </c>
      <c r="U30" s="2">
        <v>2.0</v>
      </c>
      <c r="V30" s="4">
        <v>1.0</v>
      </c>
      <c r="W30" s="2">
        <v>5.0</v>
      </c>
      <c r="X30" s="3">
        <f t="shared" si="1"/>
        <v>80</v>
      </c>
    </row>
    <row r="31" ht="15.0" customHeight="1">
      <c r="A31" s="1" t="s">
        <v>53</v>
      </c>
      <c r="B31" s="2">
        <v>3.0</v>
      </c>
      <c r="C31" s="2">
        <v>3.0</v>
      </c>
      <c r="D31" s="2">
        <v>3.0</v>
      </c>
      <c r="E31" s="2">
        <v>3.0</v>
      </c>
      <c r="F31" s="2">
        <v>5.0</v>
      </c>
      <c r="G31" s="2">
        <v>3.0</v>
      </c>
      <c r="H31" s="2">
        <v>3.0</v>
      </c>
      <c r="I31" s="2">
        <v>3.0</v>
      </c>
      <c r="J31" s="2">
        <v>4.0</v>
      </c>
      <c r="K31" s="2">
        <v>5.0</v>
      </c>
      <c r="L31" s="2">
        <v>4.0</v>
      </c>
      <c r="M31" s="2">
        <v>3.0</v>
      </c>
      <c r="N31" s="2">
        <v>3.0</v>
      </c>
      <c r="O31" s="2">
        <v>5.0</v>
      </c>
      <c r="P31" s="2">
        <v>3.0</v>
      </c>
      <c r="Q31" s="2">
        <v>3.0</v>
      </c>
      <c r="R31" s="2">
        <v>3.0</v>
      </c>
      <c r="S31" s="2">
        <v>3.0</v>
      </c>
      <c r="T31" s="2">
        <v>4.0</v>
      </c>
      <c r="U31" s="2">
        <v>3.0</v>
      </c>
      <c r="V31" s="2">
        <v>3.0</v>
      </c>
      <c r="W31" s="4">
        <v>1.0</v>
      </c>
      <c r="X31" s="3">
        <f t="shared" si="1"/>
        <v>73</v>
      </c>
    </row>
    <row r="32" ht="15.0" customHeight="1">
      <c r="A32" s="6" t="s">
        <v>54</v>
      </c>
      <c r="B32" s="3">
        <f t="shared" ref="B32:W32" si="2">SUM(B2:B31)</f>
        <v>116</v>
      </c>
      <c r="C32" s="3">
        <f t="shared" si="2"/>
        <v>70</v>
      </c>
      <c r="D32" s="3">
        <f t="shared" si="2"/>
        <v>78</v>
      </c>
      <c r="E32" s="3">
        <f t="shared" si="2"/>
        <v>98</v>
      </c>
      <c r="F32" s="3">
        <f t="shared" si="2"/>
        <v>107</v>
      </c>
      <c r="G32" s="3">
        <f t="shared" si="2"/>
        <v>83</v>
      </c>
      <c r="H32" s="3">
        <f t="shared" si="2"/>
        <v>89</v>
      </c>
      <c r="I32" s="3">
        <f t="shared" si="2"/>
        <v>91</v>
      </c>
      <c r="J32" s="3">
        <f t="shared" si="2"/>
        <v>114</v>
      </c>
      <c r="K32" s="3">
        <f t="shared" si="2"/>
        <v>128</v>
      </c>
      <c r="L32" s="3">
        <f t="shared" si="2"/>
        <v>100</v>
      </c>
      <c r="M32" s="3">
        <f t="shared" si="2"/>
        <v>107</v>
      </c>
      <c r="N32" s="3">
        <f t="shared" si="2"/>
        <v>106</v>
      </c>
      <c r="O32" s="3">
        <f t="shared" si="2"/>
        <v>125</v>
      </c>
      <c r="P32" s="3">
        <f t="shared" si="2"/>
        <v>87</v>
      </c>
      <c r="Q32" s="3">
        <f t="shared" si="2"/>
        <v>86</v>
      </c>
      <c r="R32" s="3">
        <f t="shared" si="2"/>
        <v>73</v>
      </c>
      <c r="S32" s="3">
        <f t="shared" si="2"/>
        <v>104</v>
      </c>
      <c r="T32" s="3">
        <f t="shared" si="2"/>
        <v>97</v>
      </c>
      <c r="U32" s="3">
        <f t="shared" si="2"/>
        <v>81</v>
      </c>
      <c r="V32" s="3">
        <f t="shared" si="2"/>
        <v>105</v>
      </c>
      <c r="W32" s="3">
        <f t="shared" si="2"/>
        <v>123</v>
      </c>
      <c r="X32" s="1"/>
    </row>
    <row r="33" ht="15.0" customHeight="1">
      <c r="A33" s="7" t="s">
        <v>55</v>
      </c>
      <c r="B33" s="8">
        <f t="shared" ref="B33:W33" si="3">COUNTIF(B$2:B$31,"1")</f>
        <v>1</v>
      </c>
      <c r="C33" s="8">
        <f t="shared" si="3"/>
        <v>6</v>
      </c>
      <c r="D33" s="8">
        <f t="shared" si="3"/>
        <v>3</v>
      </c>
      <c r="E33" s="8">
        <f t="shared" si="3"/>
        <v>2</v>
      </c>
      <c r="F33" s="8">
        <f t="shared" si="3"/>
        <v>3</v>
      </c>
      <c r="G33" s="8">
        <f t="shared" si="3"/>
        <v>3</v>
      </c>
      <c r="H33" s="8">
        <f t="shared" si="3"/>
        <v>1</v>
      </c>
      <c r="I33" s="8">
        <f t="shared" si="3"/>
        <v>1</v>
      </c>
      <c r="J33" s="8">
        <f t="shared" si="3"/>
        <v>1</v>
      </c>
      <c r="K33" s="8">
        <f t="shared" si="3"/>
        <v>1</v>
      </c>
      <c r="L33" s="8">
        <f t="shared" si="3"/>
        <v>1</v>
      </c>
      <c r="M33" s="8">
        <f t="shared" si="3"/>
        <v>2</v>
      </c>
      <c r="N33" s="8">
        <f t="shared" si="3"/>
        <v>2</v>
      </c>
      <c r="O33" s="8">
        <f t="shared" si="3"/>
        <v>1</v>
      </c>
      <c r="P33" s="8">
        <f t="shared" si="3"/>
        <v>1</v>
      </c>
      <c r="Q33" s="8">
        <f t="shared" si="3"/>
        <v>2</v>
      </c>
      <c r="R33" s="8">
        <f t="shared" si="3"/>
        <v>7</v>
      </c>
      <c r="S33" s="8">
        <f t="shared" si="3"/>
        <v>1</v>
      </c>
      <c r="T33" s="8">
        <f t="shared" si="3"/>
        <v>1</v>
      </c>
      <c r="U33" s="8">
        <f t="shared" si="3"/>
        <v>3</v>
      </c>
      <c r="V33" s="8">
        <f t="shared" si="3"/>
        <v>2</v>
      </c>
      <c r="W33" s="8">
        <f t="shared" si="3"/>
        <v>1</v>
      </c>
      <c r="X33" s="1"/>
    </row>
    <row r="34" ht="15.0" customHeight="1">
      <c r="A34" s="7" t="s">
        <v>56</v>
      </c>
      <c r="B34" s="8">
        <f t="shared" ref="B34:W34" si="4">COUNTIF(B$2:B$31,"2")</f>
        <v>2</v>
      </c>
      <c r="C34" s="8">
        <f t="shared" si="4"/>
        <v>10</v>
      </c>
      <c r="D34" s="8">
        <f t="shared" si="4"/>
        <v>8</v>
      </c>
      <c r="E34" s="8">
        <f t="shared" si="4"/>
        <v>4</v>
      </c>
      <c r="F34" s="8">
        <f t="shared" si="4"/>
        <v>3</v>
      </c>
      <c r="G34" s="8">
        <f t="shared" si="4"/>
        <v>7</v>
      </c>
      <c r="H34" s="8">
        <f t="shared" si="4"/>
        <v>9</v>
      </c>
      <c r="I34" s="8">
        <f t="shared" si="4"/>
        <v>6</v>
      </c>
      <c r="J34" s="8">
        <f t="shared" si="4"/>
        <v>2</v>
      </c>
      <c r="K34" s="8">
        <f t="shared" si="4"/>
        <v>0</v>
      </c>
      <c r="L34" s="8">
        <f t="shared" si="4"/>
        <v>4</v>
      </c>
      <c r="M34" s="8">
        <f t="shared" si="4"/>
        <v>2</v>
      </c>
      <c r="N34" s="8">
        <f t="shared" si="4"/>
        <v>1</v>
      </c>
      <c r="O34" s="8">
        <f t="shared" si="4"/>
        <v>1</v>
      </c>
      <c r="P34" s="8">
        <f t="shared" si="4"/>
        <v>10</v>
      </c>
      <c r="Q34" s="8">
        <f t="shared" si="4"/>
        <v>6</v>
      </c>
      <c r="R34" s="8">
        <f t="shared" si="4"/>
        <v>9</v>
      </c>
      <c r="S34" s="8">
        <f t="shared" si="4"/>
        <v>2</v>
      </c>
      <c r="T34" s="8">
        <f t="shared" si="4"/>
        <v>5</v>
      </c>
      <c r="U34" s="8">
        <f t="shared" si="4"/>
        <v>11</v>
      </c>
      <c r="V34" s="8">
        <f t="shared" si="4"/>
        <v>2</v>
      </c>
      <c r="W34" s="8">
        <f t="shared" si="4"/>
        <v>0</v>
      </c>
      <c r="X34" s="1"/>
    </row>
    <row r="35" ht="15.0" customHeight="1">
      <c r="A35" s="7" t="s">
        <v>57</v>
      </c>
      <c r="B35" s="8">
        <f t="shared" ref="B35:W35" si="5">COUNTIF(B$2:B$31,"3")</f>
        <v>8</v>
      </c>
      <c r="C35" s="8">
        <f t="shared" si="5"/>
        <v>12</v>
      </c>
      <c r="D35" s="8">
        <f t="shared" si="5"/>
        <v>17</v>
      </c>
      <c r="E35" s="8">
        <f t="shared" si="5"/>
        <v>11</v>
      </c>
      <c r="F35" s="8">
        <f t="shared" si="5"/>
        <v>7</v>
      </c>
      <c r="G35" s="8">
        <f t="shared" si="5"/>
        <v>14</v>
      </c>
      <c r="H35" s="8">
        <f t="shared" si="5"/>
        <v>11</v>
      </c>
      <c r="I35" s="8">
        <f t="shared" si="5"/>
        <v>15</v>
      </c>
      <c r="J35" s="8">
        <f t="shared" si="5"/>
        <v>11</v>
      </c>
      <c r="K35" s="8">
        <f t="shared" si="5"/>
        <v>3</v>
      </c>
      <c r="L35" s="8">
        <f t="shared" si="5"/>
        <v>11</v>
      </c>
      <c r="M35" s="8">
        <f t="shared" si="5"/>
        <v>9</v>
      </c>
      <c r="N35" s="8">
        <f t="shared" si="5"/>
        <v>12</v>
      </c>
      <c r="O35" s="8">
        <f t="shared" si="5"/>
        <v>3</v>
      </c>
      <c r="P35" s="8">
        <f t="shared" si="5"/>
        <v>12</v>
      </c>
      <c r="Q35" s="8">
        <f t="shared" si="5"/>
        <v>17</v>
      </c>
      <c r="R35" s="8">
        <f t="shared" si="5"/>
        <v>10</v>
      </c>
      <c r="S35" s="8">
        <f t="shared" si="5"/>
        <v>13</v>
      </c>
      <c r="T35" s="8">
        <f t="shared" si="5"/>
        <v>14</v>
      </c>
      <c r="U35" s="8">
        <f t="shared" si="5"/>
        <v>9</v>
      </c>
      <c r="V35" s="8">
        <f t="shared" si="5"/>
        <v>11</v>
      </c>
      <c r="W35" s="8">
        <f t="shared" si="5"/>
        <v>4</v>
      </c>
      <c r="X35" s="1"/>
    </row>
    <row r="36" ht="15.0" customHeight="1">
      <c r="A36" s="7" t="s">
        <v>58</v>
      </c>
      <c r="B36" s="8">
        <f t="shared" ref="B36:W36" si="6">COUNTIF(B$2:B$31,"4")</f>
        <v>8</v>
      </c>
      <c r="C36" s="8">
        <f t="shared" si="6"/>
        <v>2</v>
      </c>
      <c r="D36" s="8">
        <f t="shared" si="6"/>
        <v>2</v>
      </c>
      <c r="E36" s="8">
        <f t="shared" si="6"/>
        <v>10</v>
      </c>
      <c r="F36" s="8">
        <f t="shared" si="6"/>
        <v>8</v>
      </c>
      <c r="G36" s="8">
        <f t="shared" si="6"/>
        <v>6</v>
      </c>
      <c r="H36" s="8">
        <f t="shared" si="6"/>
        <v>8</v>
      </c>
      <c r="I36" s="8">
        <f t="shared" si="6"/>
        <v>7</v>
      </c>
      <c r="J36" s="8">
        <f t="shared" si="6"/>
        <v>4</v>
      </c>
      <c r="K36" s="8">
        <f t="shared" si="6"/>
        <v>12</v>
      </c>
      <c r="L36" s="8">
        <f t="shared" si="6"/>
        <v>12</v>
      </c>
      <c r="M36" s="8">
        <f t="shared" si="6"/>
        <v>11</v>
      </c>
      <c r="N36" s="8">
        <f t="shared" si="6"/>
        <v>9</v>
      </c>
      <c r="O36" s="8">
        <f t="shared" si="6"/>
        <v>12</v>
      </c>
      <c r="P36" s="8">
        <f t="shared" si="6"/>
        <v>5</v>
      </c>
      <c r="Q36" s="8">
        <f t="shared" si="6"/>
        <v>4</v>
      </c>
      <c r="R36" s="8">
        <f t="shared" si="6"/>
        <v>2</v>
      </c>
      <c r="S36" s="8">
        <f t="shared" si="6"/>
        <v>10</v>
      </c>
      <c r="T36" s="8">
        <f t="shared" si="6"/>
        <v>6</v>
      </c>
      <c r="U36" s="8">
        <f t="shared" si="6"/>
        <v>6</v>
      </c>
      <c r="V36" s="8">
        <f t="shared" si="6"/>
        <v>9</v>
      </c>
      <c r="W36" s="8">
        <f t="shared" si="6"/>
        <v>15</v>
      </c>
      <c r="X36" s="1"/>
    </row>
    <row r="37" ht="15.0" customHeight="1">
      <c r="A37" s="7" t="s">
        <v>59</v>
      </c>
      <c r="B37" s="8">
        <f t="shared" ref="B37:W37" si="7">COUNTIF(B$2:B$31,"5")</f>
        <v>11</v>
      </c>
      <c r="C37" s="8">
        <f t="shared" si="7"/>
        <v>0</v>
      </c>
      <c r="D37" s="8">
        <f t="shared" si="7"/>
        <v>0</v>
      </c>
      <c r="E37" s="8">
        <f t="shared" si="7"/>
        <v>3</v>
      </c>
      <c r="F37" s="8">
        <f t="shared" si="7"/>
        <v>9</v>
      </c>
      <c r="G37" s="8">
        <f t="shared" si="7"/>
        <v>0</v>
      </c>
      <c r="H37" s="8">
        <f t="shared" si="7"/>
        <v>1</v>
      </c>
      <c r="I37" s="8">
        <f t="shared" si="7"/>
        <v>1</v>
      </c>
      <c r="J37" s="8">
        <f t="shared" si="7"/>
        <v>12</v>
      </c>
      <c r="K37" s="8">
        <f t="shared" si="7"/>
        <v>14</v>
      </c>
      <c r="L37" s="8">
        <f t="shared" si="7"/>
        <v>2</v>
      </c>
      <c r="M37" s="8">
        <f t="shared" si="7"/>
        <v>6</v>
      </c>
      <c r="N37" s="8">
        <f t="shared" si="7"/>
        <v>6</v>
      </c>
      <c r="O37" s="8">
        <f t="shared" si="7"/>
        <v>13</v>
      </c>
      <c r="P37" s="8">
        <f t="shared" si="7"/>
        <v>2</v>
      </c>
      <c r="Q37" s="8">
        <f t="shared" si="7"/>
        <v>1</v>
      </c>
      <c r="R37" s="8">
        <f t="shared" si="7"/>
        <v>2</v>
      </c>
      <c r="S37" s="8">
        <f t="shared" si="7"/>
        <v>4</v>
      </c>
      <c r="T37" s="8">
        <f t="shared" si="7"/>
        <v>4</v>
      </c>
      <c r="U37" s="8">
        <f t="shared" si="7"/>
        <v>1</v>
      </c>
      <c r="V37" s="8">
        <f t="shared" si="7"/>
        <v>6</v>
      </c>
      <c r="W37" s="8">
        <f t="shared" si="7"/>
        <v>10</v>
      </c>
      <c r="X37" s="1"/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75"/>
  <cols>
    <col customWidth="1" min="1" max="1" width="47.88"/>
    <col customWidth="1" min="2" max="6" width="7.63"/>
  </cols>
  <sheetData>
    <row r="1" ht="15.0" customHeight="1">
      <c r="A1" s="9" t="s">
        <v>60</v>
      </c>
      <c r="B1" s="9" t="s">
        <v>61</v>
      </c>
      <c r="C1" s="1"/>
      <c r="D1" s="1"/>
      <c r="E1" s="1"/>
      <c r="F1" s="1"/>
    </row>
    <row r="2" ht="15.0" customHeight="1">
      <c r="A2" s="1" t="s">
        <v>62</v>
      </c>
      <c r="B2" s="2">
        <v>128.0</v>
      </c>
      <c r="C2" s="1"/>
      <c r="D2" s="1"/>
      <c r="E2" s="1"/>
      <c r="F2" s="1"/>
    </row>
    <row r="3" ht="15.0" customHeight="1">
      <c r="A3" s="1" t="s">
        <v>14</v>
      </c>
      <c r="B3" s="2">
        <v>125.0</v>
      </c>
      <c r="C3" s="1"/>
      <c r="D3" s="1"/>
      <c r="E3" s="1"/>
      <c r="F3" s="1"/>
    </row>
    <row r="4" ht="15.0" customHeight="1">
      <c r="A4" s="1" t="s">
        <v>22</v>
      </c>
      <c r="B4" s="2">
        <v>123.0</v>
      </c>
      <c r="C4" s="1"/>
      <c r="D4" s="1"/>
      <c r="E4" s="1"/>
      <c r="F4" s="1"/>
    </row>
    <row r="5" ht="15.0" customHeight="1">
      <c r="A5" s="2" t="s">
        <v>1</v>
      </c>
      <c r="B5" s="2">
        <v>116.0</v>
      </c>
      <c r="C5" s="1"/>
      <c r="D5" s="1"/>
      <c r="E5" s="1"/>
      <c r="F5" s="1"/>
    </row>
    <row r="6" ht="15.0" customHeight="1">
      <c r="A6" s="1" t="s">
        <v>9</v>
      </c>
      <c r="B6" s="2">
        <v>114.0</v>
      </c>
      <c r="C6" s="1"/>
      <c r="D6" s="1"/>
      <c r="E6" s="1"/>
      <c r="F6" s="1"/>
    </row>
    <row r="7" ht="15.0" customHeight="1">
      <c r="A7" s="1" t="s">
        <v>63</v>
      </c>
      <c r="B7" s="2">
        <v>107.0</v>
      </c>
      <c r="C7" s="1"/>
      <c r="D7" s="1"/>
      <c r="E7" s="1"/>
      <c r="F7" s="1"/>
    </row>
    <row r="8" ht="15.0" customHeight="1">
      <c r="A8" s="1" t="s">
        <v>64</v>
      </c>
      <c r="B8" s="2">
        <v>107.0</v>
      </c>
      <c r="C8" s="1"/>
      <c r="D8" s="1"/>
      <c r="E8" s="1"/>
      <c r="F8" s="1"/>
    </row>
    <row r="9" ht="15.0" customHeight="1">
      <c r="A9" s="1" t="s">
        <v>13</v>
      </c>
      <c r="B9" s="2">
        <v>106.0</v>
      </c>
      <c r="C9" s="1"/>
      <c r="D9" s="1"/>
      <c r="E9" s="1"/>
      <c r="F9" s="1"/>
    </row>
    <row r="10" ht="15.0" customHeight="1">
      <c r="A10" s="1" t="s">
        <v>21</v>
      </c>
      <c r="B10" s="2">
        <v>105.0</v>
      </c>
      <c r="C10" s="1"/>
      <c r="D10" s="1"/>
      <c r="E10" s="1"/>
      <c r="F10" s="1"/>
    </row>
    <row r="11" ht="15.0" customHeight="1">
      <c r="A11" s="1" t="s">
        <v>18</v>
      </c>
      <c r="B11" s="2">
        <v>104.0</v>
      </c>
      <c r="C11" s="1"/>
      <c r="D11" s="1"/>
      <c r="E11" s="1"/>
      <c r="F11" s="1"/>
    </row>
    <row r="12" ht="15.0" customHeight="1">
      <c r="A12" s="1" t="s">
        <v>11</v>
      </c>
      <c r="B12" s="2">
        <v>100.0</v>
      </c>
      <c r="C12" s="1"/>
      <c r="D12" s="1"/>
      <c r="E12" s="1"/>
      <c r="F12" s="1"/>
    </row>
    <row r="13" ht="15.0" customHeight="1">
      <c r="A13" s="2" t="s">
        <v>65</v>
      </c>
      <c r="B13" s="2">
        <v>98.0</v>
      </c>
      <c r="C13" s="1"/>
      <c r="D13" s="1"/>
      <c r="E13" s="1"/>
      <c r="F13" s="1"/>
    </row>
    <row r="14" ht="15.0" customHeight="1">
      <c r="A14" s="1" t="s">
        <v>19</v>
      </c>
      <c r="B14" s="2">
        <v>97.0</v>
      </c>
      <c r="C14" s="1"/>
      <c r="D14" s="1"/>
      <c r="E14" s="1"/>
      <c r="F14" s="1"/>
    </row>
    <row r="15" ht="15.0" customHeight="1">
      <c r="A15" s="1" t="s">
        <v>66</v>
      </c>
      <c r="B15" s="2">
        <v>91.0</v>
      </c>
      <c r="C15" s="1"/>
      <c r="D15" s="1"/>
      <c r="E15" s="1"/>
      <c r="F15" s="1"/>
    </row>
    <row r="16" ht="15.0" customHeight="1">
      <c r="A16" s="1" t="s">
        <v>67</v>
      </c>
      <c r="B16" s="2">
        <v>89.0</v>
      </c>
      <c r="C16" s="1"/>
      <c r="D16" s="1"/>
      <c r="E16" s="1"/>
      <c r="F16" s="1"/>
    </row>
    <row r="17" ht="15.0" customHeight="1">
      <c r="A17" s="1" t="s">
        <v>68</v>
      </c>
      <c r="B17" s="2">
        <v>87.0</v>
      </c>
      <c r="C17" s="1"/>
      <c r="D17" s="1"/>
      <c r="E17" s="1"/>
      <c r="F17" s="1"/>
    </row>
    <row r="18" ht="15.0" customHeight="1">
      <c r="A18" s="1" t="s">
        <v>16</v>
      </c>
      <c r="B18" s="2">
        <v>86.0</v>
      </c>
      <c r="C18" s="1"/>
      <c r="D18" s="1"/>
      <c r="E18" s="1"/>
      <c r="F18" s="1"/>
    </row>
    <row r="19" ht="15.0" customHeight="1">
      <c r="A19" s="1" t="s">
        <v>69</v>
      </c>
      <c r="B19" s="2">
        <v>83.0</v>
      </c>
      <c r="C19" s="1"/>
      <c r="D19" s="1"/>
      <c r="E19" s="1"/>
      <c r="F19" s="1"/>
    </row>
    <row r="20" ht="15.0" customHeight="1">
      <c r="A20" s="1" t="s">
        <v>20</v>
      </c>
      <c r="B20" s="2">
        <v>81.0</v>
      </c>
      <c r="C20" s="1"/>
      <c r="D20" s="1"/>
      <c r="E20" s="1"/>
      <c r="F20" s="1"/>
    </row>
    <row r="21" ht="15.0" customHeight="1">
      <c r="A21" s="1" t="s">
        <v>3</v>
      </c>
      <c r="B21" s="2">
        <v>78.0</v>
      </c>
      <c r="C21" s="1"/>
      <c r="D21" s="1"/>
      <c r="E21" s="1"/>
      <c r="F21" s="1"/>
    </row>
    <row r="22" ht="15.0" customHeight="1">
      <c r="A22" s="1" t="s">
        <v>70</v>
      </c>
      <c r="B22" s="2">
        <v>73.0</v>
      </c>
      <c r="C22" s="1"/>
      <c r="D22" s="1"/>
      <c r="E22" s="1"/>
      <c r="F22" s="1"/>
    </row>
    <row r="23" ht="15.0" customHeight="1">
      <c r="A23" s="1" t="s">
        <v>71</v>
      </c>
      <c r="B23" s="2">
        <v>70.0</v>
      </c>
      <c r="C23" s="1"/>
      <c r="D23" s="1"/>
      <c r="E23" s="1"/>
      <c r="F23" s="1"/>
    </row>
  </sheetData>
  <autoFilter ref="$A$1:$B$22"/>
  <drawing r:id="rId1"/>
</worksheet>
</file>
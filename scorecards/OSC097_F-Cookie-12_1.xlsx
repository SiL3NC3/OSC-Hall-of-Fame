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Results!$A$1:$D$23</definedName>
  </definedNames>
  <calcPr/>
</workbook>
</file>

<file path=xl/sharedStrings.xml><?xml version="1.0" encoding="utf-8"?>
<sst xmlns="http://schemas.openxmlformats.org/spreadsheetml/2006/main" count="109" uniqueCount="65">
  <si>
    <t>Name</t>
  </si>
  <si>
    <t>Score</t>
  </si>
  <si>
    <t>Bh9090  - Reset</t>
  </si>
  <si>
    <t>pts</t>
  </si>
  <si>
    <t>Taron - Taron-Spaced Teddy</t>
  </si>
  <si>
    <t>574x - Keygen Loops</t>
  </si>
  <si>
    <t>eraze the borders  - Mandarin</t>
  </si>
  <si>
    <t>vitalker  - Dark Kingdom</t>
  </si>
  <si>
    <t>Eauson - HGCookie 2012</t>
  </si>
  <si>
    <t>DoctorBob  - Fun Key Ness VII</t>
  </si>
  <si>
    <t>sfiks  - Fortune cookies</t>
  </si>
  <si>
    <t>psmacmur  - Vulputate</t>
  </si>
  <si>
    <t>zarf  - far better light</t>
  </si>
  <si>
    <t>edwardsm - Spacehouse</t>
  </si>
  <si>
    <t>Peter H - Hellraiser Awakens</t>
  </si>
  <si>
    <t>D34dmeat  - Shallow Osc 97</t>
  </si>
  <si>
    <t>dq</t>
  </si>
  <si>
    <t>petereke  - Abandoned Baking Process</t>
  </si>
  <si>
    <t>Yeager  - Albatross (Metaphor)</t>
  </si>
  <si>
    <t>DenBaum  - Wind Zone</t>
  </si>
  <si>
    <t>FTF - OSC</t>
  </si>
  <si>
    <t>krzysk124i - F-Cookie-2012 mess</t>
  </si>
  <si>
    <t>DFL  - In His Memory</t>
  </si>
  <si>
    <t>Darksynth FX  - No Time</t>
  </si>
  <si>
    <t>Liqih - Gold Rays Dancing</t>
  </si>
  <si>
    <t>Aluode - Aluode Server Room</t>
  </si>
  <si>
    <t>Voter Name (KVR nick)</t>
  </si>
  <si>
    <t>Generosity Score*</t>
  </si>
  <si>
    <t>574X</t>
  </si>
  <si>
    <t>aluode</t>
  </si>
  <si>
    <t>bh9090</t>
  </si>
  <si>
    <t>bjporter</t>
  </si>
  <si>
    <t>d34dmeat</t>
  </si>
  <si>
    <t>Darksynth FX</t>
  </si>
  <si>
    <t>DenBaum</t>
  </si>
  <si>
    <t>DFL</t>
  </si>
  <si>
    <t>doctorbob</t>
  </si>
  <si>
    <t>eauson</t>
  </si>
  <si>
    <t>edwardsm123</t>
  </si>
  <si>
    <t>EnGee</t>
  </si>
  <si>
    <t>eraze the borders</t>
  </si>
  <si>
    <t>freethefumes</t>
  </si>
  <si>
    <t>Frostline</t>
  </si>
  <si>
    <t>krzysk124i</t>
  </si>
  <si>
    <t>Liqih</t>
  </si>
  <si>
    <t>nickamandote</t>
  </si>
  <si>
    <t>PeterH</t>
  </si>
  <si>
    <t>psmacmur</t>
  </si>
  <si>
    <t>Richard Semper</t>
  </si>
  <si>
    <t>RuediRena</t>
  </si>
  <si>
    <t>sfiks</t>
  </si>
  <si>
    <t>Taron</t>
  </si>
  <si>
    <t>TrojakEW</t>
  </si>
  <si>
    <t>vitalker</t>
  </si>
  <si>
    <t>Yeager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</si>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</sst>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sz val="8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9.3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1" t="s">
        <v>2</v>
      </c>
      <c r="C2" s="4">
        <v>110.0</v>
      </c>
      <c r="D2" s="5" t="s">
        <v>3</v>
      </c>
    </row>
    <row r="3">
      <c r="A3" s="3">
        <v>2.0</v>
      </c>
      <c r="B3" s="1" t="s">
        <v>4</v>
      </c>
      <c r="C3" s="4">
        <v>106.0</v>
      </c>
      <c r="D3" s="5" t="s">
        <v>3</v>
      </c>
    </row>
    <row r="4">
      <c r="A4" s="6">
        <v>3.0</v>
      </c>
      <c r="B4" s="1" t="s">
        <v>5</v>
      </c>
      <c r="C4" s="4">
        <v>105.0</v>
      </c>
      <c r="D4" s="5" t="s">
        <v>3</v>
      </c>
    </row>
    <row r="5">
      <c r="A5" s="3">
        <v>4.0</v>
      </c>
      <c r="B5" s="1" t="s">
        <v>6</v>
      </c>
      <c r="C5" s="4">
        <v>102.0</v>
      </c>
      <c r="D5" s="5" t="s">
        <v>3</v>
      </c>
    </row>
    <row r="6">
      <c r="A6" s="3">
        <v>5.0</v>
      </c>
      <c r="B6" s="1" t="s">
        <v>7</v>
      </c>
      <c r="C6" s="4">
        <v>101.0</v>
      </c>
      <c r="D6" s="5" t="s">
        <v>3</v>
      </c>
    </row>
    <row r="7">
      <c r="A7" s="6">
        <v>6.0</v>
      </c>
      <c r="B7" s="1" t="s">
        <v>8</v>
      </c>
      <c r="C7" s="4">
        <v>100.0</v>
      </c>
      <c r="D7" s="5" t="s">
        <v>3</v>
      </c>
    </row>
    <row r="8">
      <c r="A8" s="3">
        <v>7.0</v>
      </c>
      <c r="B8" s="1" t="s">
        <v>9</v>
      </c>
      <c r="C8" s="4">
        <v>100.0</v>
      </c>
      <c r="D8" s="5" t="s">
        <v>3</v>
      </c>
    </row>
    <row r="9">
      <c r="A9" s="3">
        <v>8.0</v>
      </c>
      <c r="B9" s="1" t="s">
        <v>10</v>
      </c>
      <c r="C9" s="4">
        <v>98.0</v>
      </c>
      <c r="D9" s="5" t="s">
        <v>3</v>
      </c>
    </row>
    <row r="10">
      <c r="A10" s="6">
        <v>9.0</v>
      </c>
      <c r="B10" s="1" t="s">
        <v>11</v>
      </c>
      <c r="C10" s="4">
        <v>98.0</v>
      </c>
      <c r="D10" s="5" t="s">
        <v>3</v>
      </c>
    </row>
    <row r="11">
      <c r="A11" s="3">
        <v>10.0</v>
      </c>
      <c r="B11" s="1" t="s">
        <v>12</v>
      </c>
      <c r="C11" s="4">
        <v>98.0</v>
      </c>
      <c r="D11" s="5" t="s">
        <v>3</v>
      </c>
    </row>
    <row r="12">
      <c r="A12" s="3">
        <v>11.0</v>
      </c>
      <c r="B12" s="1" t="s">
        <v>13</v>
      </c>
      <c r="C12" s="4">
        <v>98.0</v>
      </c>
      <c r="D12" s="5" t="s">
        <v>3</v>
      </c>
    </row>
    <row r="13">
      <c r="A13" s="6">
        <v>12.0</v>
      </c>
      <c r="B13" s="1" t="s">
        <v>14</v>
      </c>
      <c r="C13" s="4">
        <v>97.0</v>
      </c>
      <c r="D13" s="5" t="s">
        <v>3</v>
      </c>
    </row>
    <row r="14">
      <c r="A14" s="3">
        <v>13.0</v>
      </c>
      <c r="B14" s="1" t="s">
        <v>15</v>
      </c>
      <c r="C14" s="4">
        <v>94.0</v>
      </c>
      <c r="D14" s="5" t="s">
        <v>3</v>
      </c>
    </row>
    <row r="15">
      <c r="A15" s="7" t="s">
        <v>16</v>
      </c>
      <c r="B15" s="1" t="s">
        <v>17</v>
      </c>
      <c r="C15" s="4">
        <v>94.0</v>
      </c>
      <c r="D15" s="5" t="s">
        <v>3</v>
      </c>
    </row>
    <row r="16">
      <c r="A16" s="6">
        <v>14.0</v>
      </c>
      <c r="B16" s="1" t="s">
        <v>18</v>
      </c>
      <c r="C16" s="4">
        <v>93.0</v>
      </c>
      <c r="D16" s="5" t="s">
        <v>3</v>
      </c>
    </row>
    <row r="17">
      <c r="A17" s="3">
        <v>15.0</v>
      </c>
      <c r="B17" s="1" t="s">
        <v>19</v>
      </c>
      <c r="C17" s="4">
        <v>89.0</v>
      </c>
      <c r="D17" s="5" t="s">
        <v>3</v>
      </c>
    </row>
    <row r="18">
      <c r="A18" s="3">
        <v>16.0</v>
      </c>
      <c r="B18" s="1" t="s">
        <v>20</v>
      </c>
      <c r="C18" s="4">
        <v>88.0</v>
      </c>
      <c r="D18" s="5" t="s">
        <v>3</v>
      </c>
    </row>
    <row r="19">
      <c r="A19" s="6">
        <v>17.0</v>
      </c>
      <c r="B19" s="1" t="s">
        <v>21</v>
      </c>
      <c r="C19" s="4">
        <v>88.0</v>
      </c>
      <c r="D19" s="5" t="s">
        <v>3</v>
      </c>
    </row>
    <row r="20">
      <c r="A20" s="3">
        <v>18.0</v>
      </c>
      <c r="B20" s="1" t="s">
        <v>22</v>
      </c>
      <c r="C20" s="4">
        <v>86.0</v>
      </c>
      <c r="D20" s="5" t="s">
        <v>3</v>
      </c>
    </row>
    <row r="21">
      <c r="A21" s="3">
        <v>19.0</v>
      </c>
      <c r="B21" s="1" t="s">
        <v>23</v>
      </c>
      <c r="C21" s="4">
        <v>83.0</v>
      </c>
      <c r="D21" s="5" t="s">
        <v>3</v>
      </c>
    </row>
    <row r="22">
      <c r="A22" s="6">
        <v>20.0</v>
      </c>
      <c r="B22" s="1" t="s">
        <v>24</v>
      </c>
      <c r="C22" s="4">
        <v>82.0</v>
      </c>
      <c r="D22" s="5" t="s">
        <v>3</v>
      </c>
    </row>
    <row r="23">
      <c r="A23" s="3">
        <v>21.0</v>
      </c>
      <c r="B23" s="1" t="s">
        <v>25</v>
      </c>
      <c r="C23" s="4">
        <v>72.0</v>
      </c>
      <c r="D23" s="5" t="s">
        <v>3</v>
      </c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</sheetData>
  <autoFilter ref="$A$1:$D$23">
    <sortState ref="A1:D23">
      <sortCondition descending="1" ref="C1:C2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6" width="5.5"/>
  </cols>
  <sheetData>
    <row r="1">
      <c r="A1" s="3" t="s">
        <v>26</v>
      </c>
      <c r="B1" s="3" t="s">
        <v>5</v>
      </c>
      <c r="C1" s="3" t="s">
        <v>25</v>
      </c>
      <c r="D1" s="3" t="s">
        <v>2</v>
      </c>
      <c r="E1" s="3" t="s">
        <v>15</v>
      </c>
      <c r="F1" s="3" t="s">
        <v>23</v>
      </c>
      <c r="G1" s="3" t="s">
        <v>19</v>
      </c>
      <c r="H1" s="3" t="s">
        <v>22</v>
      </c>
      <c r="I1" s="3" t="s">
        <v>9</v>
      </c>
      <c r="J1" s="3" t="s">
        <v>8</v>
      </c>
      <c r="K1" s="3" t="s">
        <v>13</v>
      </c>
      <c r="L1" s="3" t="s">
        <v>6</v>
      </c>
      <c r="M1" s="3" t="s">
        <v>20</v>
      </c>
      <c r="N1" s="3" t="s">
        <v>21</v>
      </c>
      <c r="O1" s="3" t="s">
        <v>24</v>
      </c>
      <c r="P1" s="3" t="s">
        <v>14</v>
      </c>
      <c r="Q1" s="8" t="s">
        <v>17</v>
      </c>
      <c r="R1" s="3" t="s">
        <v>11</v>
      </c>
      <c r="S1" s="3" t="s">
        <v>10</v>
      </c>
      <c r="T1" s="3" t="s">
        <v>4</v>
      </c>
      <c r="U1" s="3" t="s">
        <v>7</v>
      </c>
      <c r="V1" s="3" t="s">
        <v>18</v>
      </c>
      <c r="W1" s="3" t="s">
        <v>12</v>
      </c>
      <c r="X1" s="9" t="s">
        <v>27</v>
      </c>
      <c r="Y1" s="1"/>
    </row>
    <row r="2">
      <c r="A2" s="3" t="s">
        <v>28</v>
      </c>
      <c r="B2" s="10">
        <v>1.0</v>
      </c>
      <c r="C2" s="3">
        <v>5.0</v>
      </c>
      <c r="D2" s="3">
        <v>4.0</v>
      </c>
      <c r="E2" s="3">
        <v>4.0</v>
      </c>
      <c r="F2" s="3">
        <v>4.0</v>
      </c>
      <c r="G2" s="3">
        <v>5.0</v>
      </c>
      <c r="H2" s="3">
        <v>3.0</v>
      </c>
      <c r="I2" s="3">
        <v>5.0</v>
      </c>
      <c r="J2" s="3">
        <v>5.0</v>
      </c>
      <c r="K2" s="3">
        <v>4.0</v>
      </c>
      <c r="L2" s="3">
        <v>5.0</v>
      </c>
      <c r="M2" s="3">
        <v>3.0</v>
      </c>
      <c r="N2" s="3">
        <v>4.0</v>
      </c>
      <c r="O2" s="3">
        <v>4.0</v>
      </c>
      <c r="P2" s="3">
        <v>4.0</v>
      </c>
      <c r="Q2" s="3">
        <v>4.0</v>
      </c>
      <c r="R2" s="3">
        <v>5.0</v>
      </c>
      <c r="S2" s="3">
        <v>4.0</v>
      </c>
      <c r="T2" s="3">
        <v>5.0</v>
      </c>
      <c r="U2" s="3">
        <v>5.0</v>
      </c>
      <c r="V2" s="3">
        <v>4.0</v>
      </c>
      <c r="W2" s="3">
        <v>4.0</v>
      </c>
      <c r="X2" s="11">
        <f t="shared" ref="X2:X29" si="1">SUM(B2:W2)</f>
        <v>91</v>
      </c>
      <c r="Y2" s="12">
        <f t="shared" ref="Y2:Y29" si="2">(X2-B$40)/X2</f>
        <v>0.18288854</v>
      </c>
    </row>
    <row r="3">
      <c r="A3" s="3" t="s">
        <v>29</v>
      </c>
      <c r="B3" s="3">
        <v>4.0</v>
      </c>
      <c r="C3" s="10">
        <v>1.0</v>
      </c>
      <c r="D3" s="3">
        <v>4.0</v>
      </c>
      <c r="E3" s="3">
        <v>4.0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4.0</v>
      </c>
      <c r="N3" s="3">
        <v>4.0</v>
      </c>
      <c r="O3" s="3">
        <v>4.0</v>
      </c>
      <c r="P3" s="3">
        <v>4.0</v>
      </c>
      <c r="Q3" s="3">
        <v>4.0</v>
      </c>
      <c r="R3" s="3">
        <v>4.0</v>
      </c>
      <c r="S3" s="3">
        <v>4.0</v>
      </c>
      <c r="T3" s="3">
        <v>4.0</v>
      </c>
      <c r="U3" s="3">
        <v>4.0</v>
      </c>
      <c r="V3" s="3">
        <v>4.0</v>
      </c>
      <c r="W3" s="3">
        <v>4.0</v>
      </c>
      <c r="X3" s="11">
        <f t="shared" si="1"/>
        <v>85</v>
      </c>
      <c r="Y3" s="12">
        <f t="shared" si="2"/>
        <v>0.125210084</v>
      </c>
    </row>
    <row r="4">
      <c r="A4" s="3" t="s">
        <v>30</v>
      </c>
      <c r="B4" s="3">
        <v>5.0</v>
      </c>
      <c r="C4" s="3">
        <v>4.0</v>
      </c>
      <c r="D4" s="10">
        <v>1.0</v>
      </c>
      <c r="E4" s="3">
        <v>3.0</v>
      </c>
      <c r="F4" s="3">
        <v>3.0</v>
      </c>
      <c r="G4" s="3">
        <v>3.0</v>
      </c>
      <c r="H4" s="3">
        <v>4.0</v>
      </c>
      <c r="I4" s="3">
        <v>4.0</v>
      </c>
      <c r="J4" s="3">
        <v>4.0</v>
      </c>
      <c r="K4" s="3">
        <v>4.0</v>
      </c>
      <c r="L4" s="3">
        <v>3.0</v>
      </c>
      <c r="M4" s="3">
        <v>3.0</v>
      </c>
      <c r="N4" s="3">
        <v>4.0</v>
      </c>
      <c r="O4" s="3">
        <v>4.0</v>
      </c>
      <c r="P4" s="3">
        <v>4.0</v>
      </c>
      <c r="Q4" s="3">
        <v>3.0</v>
      </c>
      <c r="R4" s="3">
        <v>4.0</v>
      </c>
      <c r="S4" s="3">
        <v>3.0</v>
      </c>
      <c r="T4" s="3">
        <v>4.0</v>
      </c>
      <c r="U4" s="3">
        <v>3.0</v>
      </c>
      <c r="V4" s="3">
        <v>4.0</v>
      </c>
      <c r="W4" s="3">
        <v>4.0</v>
      </c>
      <c r="X4" s="11">
        <f t="shared" si="1"/>
        <v>78</v>
      </c>
      <c r="Y4" s="12">
        <f t="shared" si="2"/>
        <v>0.0467032967</v>
      </c>
    </row>
    <row r="5">
      <c r="A5" s="13" t="s">
        <v>31</v>
      </c>
      <c r="B5" s="3">
        <v>3.0</v>
      </c>
      <c r="C5" s="3">
        <v>3.0</v>
      </c>
      <c r="D5" s="3">
        <v>4.0</v>
      </c>
      <c r="E5" s="3">
        <v>4.0</v>
      </c>
      <c r="F5" s="3">
        <v>3.0</v>
      </c>
      <c r="G5" s="3">
        <v>3.0</v>
      </c>
      <c r="H5" s="3">
        <v>3.0</v>
      </c>
      <c r="I5" s="3">
        <v>5.0</v>
      </c>
      <c r="J5" s="3">
        <v>3.0</v>
      </c>
      <c r="K5" s="3">
        <v>5.0</v>
      </c>
      <c r="L5" s="3">
        <v>4.0</v>
      </c>
      <c r="M5" s="3">
        <v>3.0</v>
      </c>
      <c r="N5" s="3">
        <v>4.0</v>
      </c>
      <c r="O5" s="3">
        <v>3.0</v>
      </c>
      <c r="P5" s="3">
        <v>3.0</v>
      </c>
      <c r="Q5" s="3">
        <v>3.0</v>
      </c>
      <c r="R5" s="3">
        <v>3.0</v>
      </c>
      <c r="S5" s="3">
        <v>3.0</v>
      </c>
      <c r="T5" s="3">
        <v>3.0</v>
      </c>
      <c r="U5" s="3">
        <v>5.0</v>
      </c>
      <c r="V5" s="3">
        <v>3.0</v>
      </c>
      <c r="W5" s="3">
        <v>4.0</v>
      </c>
      <c r="X5" s="11">
        <f t="shared" si="1"/>
        <v>77</v>
      </c>
      <c r="Y5" s="12">
        <f t="shared" si="2"/>
        <v>0.03432282004</v>
      </c>
    </row>
    <row r="6">
      <c r="A6" s="3" t="s">
        <v>32</v>
      </c>
      <c r="B6" s="3">
        <v>4.0</v>
      </c>
      <c r="C6" s="3">
        <v>3.0</v>
      </c>
      <c r="D6" s="3">
        <v>4.0</v>
      </c>
      <c r="E6" s="10">
        <v>1.0</v>
      </c>
      <c r="F6" s="3">
        <v>4.0</v>
      </c>
      <c r="G6" s="3">
        <v>4.0</v>
      </c>
      <c r="H6" s="3">
        <v>4.0</v>
      </c>
      <c r="I6" s="3">
        <v>2.0</v>
      </c>
      <c r="J6" s="3">
        <v>4.0</v>
      </c>
      <c r="K6" s="3">
        <v>3.0</v>
      </c>
      <c r="L6" s="3">
        <v>5.0</v>
      </c>
      <c r="M6" s="3">
        <v>5.0</v>
      </c>
      <c r="N6" s="3">
        <v>5.0</v>
      </c>
      <c r="O6" s="3">
        <v>3.0</v>
      </c>
      <c r="P6" s="3">
        <v>4.0</v>
      </c>
      <c r="Q6" s="3">
        <v>5.0</v>
      </c>
      <c r="R6" s="3">
        <v>4.0</v>
      </c>
      <c r="S6" s="3">
        <v>3.0</v>
      </c>
      <c r="T6" s="3">
        <v>5.0</v>
      </c>
      <c r="U6" s="3">
        <v>5.0</v>
      </c>
      <c r="V6" s="3">
        <v>3.0</v>
      </c>
      <c r="W6" s="3">
        <v>4.0</v>
      </c>
      <c r="X6" s="11">
        <f t="shared" si="1"/>
        <v>84</v>
      </c>
      <c r="Y6" s="12">
        <f t="shared" si="2"/>
        <v>0.1147959184</v>
      </c>
    </row>
    <row r="7">
      <c r="A7" s="3" t="s">
        <v>33</v>
      </c>
      <c r="B7" s="3">
        <v>3.0</v>
      </c>
      <c r="C7" s="3">
        <v>3.0</v>
      </c>
      <c r="D7" s="3">
        <v>4.0</v>
      </c>
      <c r="E7" s="3">
        <v>4.0</v>
      </c>
      <c r="F7" s="10">
        <v>1.0</v>
      </c>
      <c r="G7" s="3">
        <v>3.0</v>
      </c>
      <c r="H7" s="3">
        <v>4.0</v>
      </c>
      <c r="I7" s="3">
        <v>4.0</v>
      </c>
      <c r="J7" s="3">
        <v>3.0</v>
      </c>
      <c r="K7" s="3">
        <v>3.0</v>
      </c>
      <c r="L7" s="3">
        <v>5.0</v>
      </c>
      <c r="M7" s="3">
        <v>3.0</v>
      </c>
      <c r="N7" s="3">
        <v>4.0</v>
      </c>
      <c r="O7" s="3">
        <v>3.0</v>
      </c>
      <c r="P7" s="3">
        <v>4.0</v>
      </c>
      <c r="Q7" s="3">
        <v>5.0</v>
      </c>
      <c r="R7" s="3">
        <v>3.0</v>
      </c>
      <c r="S7" s="3">
        <v>3.0</v>
      </c>
      <c r="T7" s="3">
        <v>4.0</v>
      </c>
      <c r="U7" s="3">
        <v>4.0</v>
      </c>
      <c r="V7" s="3">
        <v>3.0</v>
      </c>
      <c r="W7" s="3">
        <v>3.0</v>
      </c>
      <c r="X7" s="11">
        <f t="shared" si="1"/>
        <v>76</v>
      </c>
      <c r="Y7" s="12">
        <f t="shared" si="2"/>
        <v>0.02161654135</v>
      </c>
    </row>
    <row r="8">
      <c r="A8" s="3" t="s">
        <v>34</v>
      </c>
      <c r="B8" s="3">
        <v>4.0</v>
      </c>
      <c r="C8" s="3">
        <v>1.0</v>
      </c>
      <c r="D8" s="3">
        <v>3.0</v>
      </c>
      <c r="E8" s="3">
        <v>5.0</v>
      </c>
      <c r="F8" s="3">
        <v>1.0</v>
      </c>
      <c r="G8" s="10">
        <v>1.0</v>
      </c>
      <c r="H8" s="3">
        <v>2.0</v>
      </c>
      <c r="I8" s="3">
        <v>2.0</v>
      </c>
      <c r="J8" s="3">
        <v>5.0</v>
      </c>
      <c r="K8" s="3">
        <v>3.0</v>
      </c>
      <c r="L8" s="3">
        <v>4.0</v>
      </c>
      <c r="M8" s="3">
        <v>1.0</v>
      </c>
      <c r="N8" s="3">
        <v>3.0</v>
      </c>
      <c r="O8" s="3">
        <v>2.0</v>
      </c>
      <c r="P8" s="3">
        <v>4.0</v>
      </c>
      <c r="Q8" s="3">
        <v>2.0</v>
      </c>
      <c r="R8" s="3">
        <v>3.0</v>
      </c>
      <c r="S8" s="3">
        <v>2.0</v>
      </c>
      <c r="T8" s="3">
        <v>3.0</v>
      </c>
      <c r="U8" s="3">
        <v>5.0</v>
      </c>
      <c r="V8" s="3">
        <v>2.0</v>
      </c>
      <c r="W8" s="3">
        <v>3.0</v>
      </c>
      <c r="X8" s="11">
        <f t="shared" si="1"/>
        <v>61</v>
      </c>
      <c r="Y8" s="12">
        <f t="shared" si="2"/>
        <v>-0.218969555</v>
      </c>
    </row>
    <row r="9">
      <c r="A9" s="3" t="s">
        <v>35</v>
      </c>
      <c r="B9" s="3">
        <v>2.0</v>
      </c>
      <c r="C9" s="3">
        <v>2.0</v>
      </c>
      <c r="D9" s="3">
        <v>2.0</v>
      </c>
      <c r="E9" s="3">
        <v>2.0</v>
      </c>
      <c r="F9" s="3">
        <v>3.0</v>
      </c>
      <c r="G9" s="3">
        <v>3.0</v>
      </c>
      <c r="H9" s="10">
        <v>1.0</v>
      </c>
      <c r="I9" s="3">
        <v>3.0</v>
      </c>
      <c r="J9" s="3">
        <v>2.0</v>
      </c>
      <c r="K9" s="3">
        <v>3.0</v>
      </c>
      <c r="L9" s="3">
        <v>2.0</v>
      </c>
      <c r="M9" s="3">
        <v>3.0</v>
      </c>
      <c r="N9" s="3">
        <v>3.0</v>
      </c>
      <c r="O9" s="3">
        <v>2.0</v>
      </c>
      <c r="P9" s="3">
        <v>2.0</v>
      </c>
      <c r="Q9" s="3">
        <v>3.0</v>
      </c>
      <c r="R9" s="3">
        <v>3.0</v>
      </c>
      <c r="S9" s="3">
        <v>3.0</v>
      </c>
      <c r="T9" s="3">
        <v>2.0</v>
      </c>
      <c r="U9" s="3">
        <v>3.0</v>
      </c>
      <c r="V9" s="3">
        <v>3.0</v>
      </c>
      <c r="W9" s="3">
        <v>2.0</v>
      </c>
      <c r="X9" s="11">
        <f t="shared" si="1"/>
        <v>54</v>
      </c>
      <c r="Y9" s="12">
        <f t="shared" si="2"/>
        <v>-0.376984127</v>
      </c>
    </row>
    <row r="10">
      <c r="A10" s="3" t="s">
        <v>36</v>
      </c>
      <c r="B10" s="3">
        <v>4.0</v>
      </c>
      <c r="C10" s="3">
        <v>2.0</v>
      </c>
      <c r="D10" s="3">
        <v>4.0</v>
      </c>
      <c r="E10" s="3">
        <v>4.0</v>
      </c>
      <c r="F10" s="3">
        <v>3.0</v>
      </c>
      <c r="G10" s="3">
        <v>2.0</v>
      </c>
      <c r="H10" s="3">
        <v>3.0</v>
      </c>
      <c r="I10" s="10">
        <v>1.0</v>
      </c>
      <c r="J10" s="3">
        <v>4.0</v>
      </c>
      <c r="K10" s="3">
        <v>3.0</v>
      </c>
      <c r="L10" s="3">
        <v>3.0</v>
      </c>
      <c r="M10" s="3">
        <v>2.0</v>
      </c>
      <c r="N10" s="3">
        <v>2.0</v>
      </c>
      <c r="O10" s="3">
        <v>3.0</v>
      </c>
      <c r="P10" s="3">
        <v>3.0</v>
      </c>
      <c r="Q10" s="3">
        <v>3.0</v>
      </c>
      <c r="R10" s="3">
        <v>3.0</v>
      </c>
      <c r="S10" s="3">
        <v>5.0</v>
      </c>
      <c r="T10" s="3">
        <v>4.0</v>
      </c>
      <c r="U10" s="3">
        <v>3.0</v>
      </c>
      <c r="V10" s="3">
        <v>5.0</v>
      </c>
      <c r="W10" s="3">
        <v>3.0</v>
      </c>
      <c r="X10" s="11">
        <f t="shared" si="1"/>
        <v>69</v>
      </c>
      <c r="Y10" s="12">
        <f t="shared" si="2"/>
        <v>-0.07763975155</v>
      </c>
    </row>
    <row r="11">
      <c r="A11" s="3" t="s">
        <v>37</v>
      </c>
      <c r="B11" s="3">
        <v>5.0</v>
      </c>
      <c r="C11" s="3">
        <v>3.0</v>
      </c>
      <c r="D11" s="3">
        <v>5.0</v>
      </c>
      <c r="E11" s="3">
        <v>4.0</v>
      </c>
      <c r="F11" s="3">
        <v>2.0</v>
      </c>
      <c r="G11" s="3">
        <v>4.0</v>
      </c>
      <c r="H11" s="3">
        <v>4.0</v>
      </c>
      <c r="I11" s="3">
        <v>4.0</v>
      </c>
      <c r="J11" s="10">
        <v>1.0</v>
      </c>
      <c r="K11" s="3">
        <v>5.0</v>
      </c>
      <c r="L11" s="3">
        <v>4.0</v>
      </c>
      <c r="M11" s="3">
        <v>4.0</v>
      </c>
      <c r="N11" s="3">
        <v>5.0</v>
      </c>
      <c r="O11" s="3">
        <v>3.0</v>
      </c>
      <c r="P11" s="3">
        <v>5.0</v>
      </c>
      <c r="Q11" s="3">
        <v>4.0</v>
      </c>
      <c r="R11" s="3">
        <v>4.0</v>
      </c>
      <c r="S11" s="3">
        <v>4.0</v>
      </c>
      <c r="T11" s="3">
        <v>5.0</v>
      </c>
      <c r="U11" s="3">
        <v>5.0</v>
      </c>
      <c r="V11" s="3">
        <v>4.0</v>
      </c>
      <c r="W11" s="3">
        <v>4.0</v>
      </c>
      <c r="X11" s="11">
        <f t="shared" si="1"/>
        <v>88</v>
      </c>
      <c r="Y11" s="12">
        <f t="shared" si="2"/>
        <v>0.1550324675</v>
      </c>
    </row>
    <row r="12">
      <c r="A12" s="3" t="s">
        <v>38</v>
      </c>
      <c r="B12" s="3">
        <v>2.0</v>
      </c>
      <c r="C12" s="3">
        <v>1.0</v>
      </c>
      <c r="D12" s="3">
        <v>2.0</v>
      </c>
      <c r="E12" s="3">
        <v>2.0</v>
      </c>
      <c r="F12" s="3">
        <v>1.0</v>
      </c>
      <c r="G12" s="3">
        <v>1.0</v>
      </c>
      <c r="H12" s="3">
        <v>2.0</v>
      </c>
      <c r="I12" s="3">
        <v>1.0</v>
      </c>
      <c r="J12" s="3">
        <v>2.0</v>
      </c>
      <c r="K12" s="10">
        <v>1.0</v>
      </c>
      <c r="L12" s="3">
        <v>1.0</v>
      </c>
      <c r="M12" s="3">
        <v>2.0</v>
      </c>
      <c r="N12" s="3">
        <v>2.0</v>
      </c>
      <c r="O12" s="3">
        <v>2.0</v>
      </c>
      <c r="P12" s="3">
        <v>1.0</v>
      </c>
      <c r="Q12" s="3">
        <v>2.0</v>
      </c>
      <c r="R12" s="3">
        <v>2.0</v>
      </c>
      <c r="S12" s="3">
        <v>2.0</v>
      </c>
      <c r="T12" s="3">
        <v>1.0</v>
      </c>
      <c r="U12" s="3">
        <v>2.0</v>
      </c>
      <c r="V12" s="3">
        <v>1.0</v>
      </c>
      <c r="W12" s="3">
        <v>3.0</v>
      </c>
      <c r="X12" s="11">
        <f t="shared" si="1"/>
        <v>36</v>
      </c>
      <c r="Y12" s="12">
        <f t="shared" si="2"/>
        <v>-1.06547619</v>
      </c>
    </row>
    <row r="13">
      <c r="A13" s="13" t="s">
        <v>39</v>
      </c>
      <c r="B13" s="3">
        <v>3.0</v>
      </c>
      <c r="C13" s="3">
        <v>2.0</v>
      </c>
      <c r="D13" s="3">
        <v>4.0</v>
      </c>
      <c r="E13" s="3">
        <v>2.0</v>
      </c>
      <c r="F13" s="3">
        <v>2.0</v>
      </c>
      <c r="G13" s="3">
        <v>3.0</v>
      </c>
      <c r="H13" s="3">
        <v>3.0</v>
      </c>
      <c r="I13" s="3">
        <v>5.0</v>
      </c>
      <c r="J13" s="3">
        <v>4.0</v>
      </c>
      <c r="K13" s="3">
        <v>3.0</v>
      </c>
      <c r="L13" s="3">
        <v>5.0</v>
      </c>
      <c r="M13" s="3">
        <v>4.0</v>
      </c>
      <c r="N13" s="3">
        <v>3.0</v>
      </c>
      <c r="O13" s="3">
        <v>2.0</v>
      </c>
      <c r="P13" s="3">
        <v>3.0</v>
      </c>
      <c r="Q13" s="3">
        <v>2.0</v>
      </c>
      <c r="R13" s="3">
        <v>5.0</v>
      </c>
      <c r="S13" s="3">
        <v>5.0</v>
      </c>
      <c r="T13" s="3">
        <v>4.0</v>
      </c>
      <c r="U13" s="3">
        <v>3.0</v>
      </c>
      <c r="V13" s="3">
        <v>5.0</v>
      </c>
      <c r="W13" s="3">
        <v>5.0</v>
      </c>
      <c r="X13" s="11">
        <f t="shared" si="1"/>
        <v>77</v>
      </c>
      <c r="Y13" s="12">
        <f t="shared" si="2"/>
        <v>0.03432282004</v>
      </c>
    </row>
    <row r="14">
      <c r="A14" s="3" t="s">
        <v>40</v>
      </c>
      <c r="B14" s="3">
        <v>5.0</v>
      </c>
      <c r="C14" s="3">
        <v>3.0</v>
      </c>
      <c r="D14" s="3">
        <v>5.0</v>
      </c>
      <c r="E14" s="3">
        <v>3.0</v>
      </c>
      <c r="F14" s="3">
        <v>3.0</v>
      </c>
      <c r="G14" s="3">
        <v>3.0</v>
      </c>
      <c r="H14" s="3">
        <v>3.0</v>
      </c>
      <c r="I14" s="3">
        <v>4.0</v>
      </c>
      <c r="J14" s="3">
        <v>4.0</v>
      </c>
      <c r="K14" s="3">
        <v>4.0</v>
      </c>
      <c r="L14" s="10">
        <v>1.0</v>
      </c>
      <c r="M14" s="3">
        <v>3.0</v>
      </c>
      <c r="N14" s="3">
        <v>3.0</v>
      </c>
      <c r="O14" s="3">
        <v>3.0</v>
      </c>
      <c r="P14" s="3">
        <v>3.0</v>
      </c>
      <c r="Q14" s="3">
        <v>3.0</v>
      </c>
      <c r="R14" s="3">
        <v>4.0</v>
      </c>
      <c r="S14" s="3">
        <v>4.0</v>
      </c>
      <c r="T14" s="3">
        <v>4.0</v>
      </c>
      <c r="U14" s="3">
        <v>3.0</v>
      </c>
      <c r="V14" s="3">
        <v>4.0</v>
      </c>
      <c r="W14" s="3">
        <v>4.0</v>
      </c>
      <c r="X14" s="11">
        <f t="shared" si="1"/>
        <v>76</v>
      </c>
      <c r="Y14" s="12">
        <f t="shared" si="2"/>
        <v>0.02161654135</v>
      </c>
    </row>
    <row r="15">
      <c r="A15" s="3" t="s">
        <v>41</v>
      </c>
      <c r="B15" s="3">
        <v>4.0</v>
      </c>
      <c r="C15" s="3">
        <v>4.0</v>
      </c>
      <c r="D15" s="3">
        <v>4.0</v>
      </c>
      <c r="E15" s="3">
        <v>5.0</v>
      </c>
      <c r="F15" s="3">
        <v>4.0</v>
      </c>
      <c r="G15" s="3">
        <v>4.0</v>
      </c>
      <c r="H15" s="3">
        <v>3.0</v>
      </c>
      <c r="I15" s="3">
        <v>3.0</v>
      </c>
      <c r="J15" s="3">
        <v>5.0</v>
      </c>
      <c r="K15" s="3">
        <v>4.0</v>
      </c>
      <c r="L15" s="3">
        <v>3.0</v>
      </c>
      <c r="M15" s="10">
        <v>1.0</v>
      </c>
      <c r="N15" s="3">
        <v>3.0</v>
      </c>
      <c r="O15" s="3">
        <v>3.0</v>
      </c>
      <c r="P15" s="3">
        <v>5.0</v>
      </c>
      <c r="Q15" s="3">
        <v>4.0</v>
      </c>
      <c r="R15" s="3">
        <v>4.0</v>
      </c>
      <c r="S15" s="3">
        <v>3.0</v>
      </c>
      <c r="T15" s="3">
        <v>3.0</v>
      </c>
      <c r="U15" s="3">
        <v>3.0</v>
      </c>
      <c r="V15" s="3">
        <v>3.0</v>
      </c>
      <c r="W15" s="3">
        <v>4.0</v>
      </c>
      <c r="X15" s="11">
        <f t="shared" si="1"/>
        <v>79</v>
      </c>
      <c r="Y15" s="12">
        <f t="shared" si="2"/>
        <v>0.05877034358</v>
      </c>
    </row>
    <row r="16">
      <c r="A16" s="13" t="s">
        <v>42</v>
      </c>
      <c r="B16" s="3">
        <v>5.0</v>
      </c>
      <c r="C16" s="3">
        <v>3.0</v>
      </c>
      <c r="D16" s="3">
        <v>4.0</v>
      </c>
      <c r="E16" s="3">
        <v>5.0</v>
      </c>
      <c r="F16" s="3">
        <v>3.0</v>
      </c>
      <c r="G16" s="3">
        <v>4.0</v>
      </c>
      <c r="H16" s="3">
        <v>4.0</v>
      </c>
      <c r="I16" s="3">
        <v>4.0</v>
      </c>
      <c r="J16" s="3">
        <v>4.0</v>
      </c>
      <c r="K16" s="3">
        <v>3.0</v>
      </c>
      <c r="L16" s="3">
        <v>3.0</v>
      </c>
      <c r="M16" s="3">
        <v>4.0</v>
      </c>
      <c r="N16" s="3">
        <v>3.0</v>
      </c>
      <c r="O16" s="3">
        <v>4.0</v>
      </c>
      <c r="P16" s="3">
        <v>3.0</v>
      </c>
      <c r="Q16" s="3">
        <v>5.0</v>
      </c>
      <c r="R16" s="3">
        <v>4.0</v>
      </c>
      <c r="S16" s="3">
        <v>4.0</v>
      </c>
      <c r="T16" s="3">
        <v>5.0</v>
      </c>
      <c r="U16" s="3">
        <v>4.0</v>
      </c>
      <c r="V16" s="3">
        <v>4.0</v>
      </c>
      <c r="W16" s="3">
        <v>4.0</v>
      </c>
      <c r="X16" s="11">
        <f t="shared" si="1"/>
        <v>86</v>
      </c>
      <c r="Y16" s="12">
        <f t="shared" si="2"/>
        <v>0.1353820598</v>
      </c>
    </row>
    <row r="17">
      <c r="A17" s="3" t="s">
        <v>43</v>
      </c>
      <c r="B17" s="3">
        <v>3.0</v>
      </c>
      <c r="C17" s="3">
        <v>2.0</v>
      </c>
      <c r="D17" s="3">
        <v>5.0</v>
      </c>
      <c r="E17" s="3">
        <v>2.0</v>
      </c>
      <c r="F17" s="3">
        <v>3.0</v>
      </c>
      <c r="G17" s="3">
        <v>3.0</v>
      </c>
      <c r="H17" s="3">
        <v>3.0</v>
      </c>
      <c r="I17" s="3">
        <v>4.0</v>
      </c>
      <c r="J17" s="3">
        <v>4.0</v>
      </c>
      <c r="K17" s="3">
        <v>4.0</v>
      </c>
      <c r="L17" s="3">
        <v>4.0</v>
      </c>
      <c r="M17" s="3">
        <v>5.0</v>
      </c>
      <c r="N17" s="10">
        <v>1.0</v>
      </c>
      <c r="O17" s="3">
        <v>4.0</v>
      </c>
      <c r="P17" s="3">
        <v>5.0</v>
      </c>
      <c r="Q17" s="3">
        <v>1.0</v>
      </c>
      <c r="R17" s="3">
        <v>4.0</v>
      </c>
      <c r="S17" s="3">
        <v>5.0</v>
      </c>
      <c r="T17" s="3">
        <v>3.0</v>
      </c>
      <c r="U17" s="3">
        <v>5.0</v>
      </c>
      <c r="V17" s="3">
        <v>3.0</v>
      </c>
      <c r="W17" s="3">
        <v>4.0</v>
      </c>
      <c r="X17" s="11">
        <f t="shared" si="1"/>
        <v>77</v>
      </c>
      <c r="Y17" s="12">
        <f t="shared" si="2"/>
        <v>0.03432282004</v>
      </c>
    </row>
    <row r="18">
      <c r="A18" s="3" t="s">
        <v>44</v>
      </c>
      <c r="B18" s="3">
        <v>5.0</v>
      </c>
      <c r="C18" s="3">
        <v>3.0</v>
      </c>
      <c r="D18" s="3">
        <v>3.0</v>
      </c>
      <c r="E18" s="3">
        <v>3.0</v>
      </c>
      <c r="F18" s="3">
        <v>3.0</v>
      </c>
      <c r="G18" s="3">
        <v>3.0</v>
      </c>
      <c r="H18" s="3">
        <v>2.0</v>
      </c>
      <c r="I18" s="3">
        <v>5.0</v>
      </c>
      <c r="J18" s="3">
        <v>5.0</v>
      </c>
      <c r="K18" s="3">
        <v>4.0</v>
      </c>
      <c r="L18" s="3">
        <v>4.0</v>
      </c>
      <c r="M18" s="3">
        <v>5.0</v>
      </c>
      <c r="N18" s="3">
        <v>2.0</v>
      </c>
      <c r="O18" s="10">
        <v>1.0</v>
      </c>
      <c r="P18" s="3">
        <v>2.0</v>
      </c>
      <c r="Q18" s="3">
        <v>2.0</v>
      </c>
      <c r="R18" s="3">
        <v>4.0</v>
      </c>
      <c r="S18" s="3">
        <v>5.0</v>
      </c>
      <c r="T18" s="3">
        <v>4.0</v>
      </c>
      <c r="U18" s="3">
        <v>2.0</v>
      </c>
      <c r="V18" s="3">
        <v>2.0</v>
      </c>
      <c r="W18" s="3">
        <v>4.0</v>
      </c>
      <c r="X18" s="11">
        <f t="shared" si="1"/>
        <v>73</v>
      </c>
      <c r="Y18" s="12">
        <f t="shared" si="2"/>
        <v>-0.01859099804</v>
      </c>
    </row>
    <row r="19">
      <c r="A19" s="3" t="s">
        <v>45</v>
      </c>
      <c r="B19" s="3">
        <v>3.0</v>
      </c>
      <c r="C19" s="3">
        <v>2.0</v>
      </c>
      <c r="D19" s="3">
        <v>2.0</v>
      </c>
      <c r="E19" s="3">
        <v>3.0</v>
      </c>
      <c r="F19" s="3">
        <v>4.0</v>
      </c>
      <c r="G19" s="3">
        <v>4.0</v>
      </c>
      <c r="H19" s="3">
        <v>4.0</v>
      </c>
      <c r="I19" s="3">
        <v>3.0</v>
      </c>
      <c r="J19" s="3">
        <v>2.0</v>
      </c>
      <c r="K19" s="3">
        <v>3.0</v>
      </c>
      <c r="L19" s="3">
        <v>4.0</v>
      </c>
      <c r="M19" s="3">
        <v>2.0</v>
      </c>
      <c r="N19" s="3">
        <v>2.0</v>
      </c>
      <c r="O19" s="3">
        <v>3.0</v>
      </c>
      <c r="P19" s="3">
        <v>3.0</v>
      </c>
      <c r="Q19" s="3">
        <v>4.0</v>
      </c>
      <c r="R19" s="3">
        <v>2.0</v>
      </c>
      <c r="S19" s="3">
        <v>3.0</v>
      </c>
      <c r="T19" s="3">
        <v>5.0</v>
      </c>
      <c r="U19" s="3">
        <v>4.0</v>
      </c>
      <c r="V19" s="3">
        <v>3.0</v>
      </c>
      <c r="W19" s="3">
        <v>4.0</v>
      </c>
      <c r="X19" s="11">
        <f t="shared" si="1"/>
        <v>69</v>
      </c>
      <c r="Y19" s="12">
        <f t="shared" si="2"/>
        <v>-0.07763975155</v>
      </c>
    </row>
    <row r="20">
      <c r="A20" s="3" t="s">
        <v>46</v>
      </c>
      <c r="B20" s="3">
        <v>1.0</v>
      </c>
      <c r="C20" s="3">
        <v>2.0</v>
      </c>
      <c r="D20" s="3">
        <v>4.0</v>
      </c>
      <c r="E20" s="3">
        <v>3.0</v>
      </c>
      <c r="F20" s="3">
        <v>3.0</v>
      </c>
      <c r="G20" s="3">
        <v>4.0</v>
      </c>
      <c r="H20" s="3">
        <v>2.0</v>
      </c>
      <c r="I20" s="3">
        <v>2.0</v>
      </c>
      <c r="J20" s="3">
        <v>1.0</v>
      </c>
      <c r="K20" s="3">
        <v>3.0</v>
      </c>
      <c r="L20" s="3">
        <v>3.0</v>
      </c>
      <c r="M20" s="3">
        <v>4.0</v>
      </c>
      <c r="N20" s="3">
        <v>4.0</v>
      </c>
      <c r="O20" s="3">
        <v>1.0</v>
      </c>
      <c r="P20" s="10">
        <v>1.0</v>
      </c>
      <c r="Q20" s="3">
        <v>4.0</v>
      </c>
      <c r="R20" s="3">
        <v>2.0</v>
      </c>
      <c r="S20" s="3">
        <v>2.0</v>
      </c>
      <c r="T20" s="3">
        <v>2.0</v>
      </c>
      <c r="U20" s="3">
        <v>3.0</v>
      </c>
      <c r="V20" s="3">
        <v>2.0</v>
      </c>
      <c r="W20" s="3">
        <v>3.0</v>
      </c>
      <c r="X20" s="11">
        <f t="shared" si="1"/>
        <v>56</v>
      </c>
      <c r="Y20" s="12">
        <f t="shared" si="2"/>
        <v>-0.3278061224</v>
      </c>
    </row>
    <row r="21">
      <c r="A21" s="3" t="s">
        <v>47</v>
      </c>
      <c r="B21" s="3">
        <v>5.0</v>
      </c>
      <c r="C21" s="3">
        <v>2.0</v>
      </c>
      <c r="D21" s="3">
        <v>5.0</v>
      </c>
      <c r="E21" s="3">
        <v>4.0</v>
      </c>
      <c r="F21" s="3">
        <v>3.0</v>
      </c>
      <c r="G21" s="3">
        <v>3.0</v>
      </c>
      <c r="H21" s="3">
        <v>3.0</v>
      </c>
      <c r="I21" s="3">
        <v>5.0</v>
      </c>
      <c r="J21" s="3">
        <v>5.0</v>
      </c>
      <c r="K21" s="3">
        <v>3.0</v>
      </c>
      <c r="L21" s="3">
        <v>3.0</v>
      </c>
      <c r="M21" s="3">
        <v>3.0</v>
      </c>
      <c r="N21" s="3">
        <v>4.0</v>
      </c>
      <c r="O21" s="3">
        <v>4.0</v>
      </c>
      <c r="P21" s="3">
        <v>4.0</v>
      </c>
      <c r="Q21" s="3">
        <v>2.0</v>
      </c>
      <c r="R21" s="10">
        <v>1.0</v>
      </c>
      <c r="S21" s="3">
        <v>3.0</v>
      </c>
      <c r="T21" s="3">
        <v>4.0</v>
      </c>
      <c r="U21" s="3">
        <v>4.0</v>
      </c>
      <c r="V21" s="3">
        <v>4.0</v>
      </c>
      <c r="W21" s="3">
        <v>2.0</v>
      </c>
      <c r="X21" s="11">
        <f t="shared" si="1"/>
        <v>76</v>
      </c>
      <c r="Y21" s="12">
        <f t="shared" si="2"/>
        <v>0.02161654135</v>
      </c>
    </row>
    <row r="22">
      <c r="A22" s="3" t="s">
        <v>48</v>
      </c>
      <c r="B22" s="3">
        <v>4.0</v>
      </c>
      <c r="C22" s="3">
        <v>2.0</v>
      </c>
      <c r="D22" s="3">
        <v>5.0</v>
      </c>
      <c r="E22" s="3">
        <v>2.0</v>
      </c>
      <c r="F22" s="3">
        <v>5.0</v>
      </c>
      <c r="G22" s="3">
        <v>3.0</v>
      </c>
      <c r="H22" s="3">
        <v>4.0</v>
      </c>
      <c r="I22" s="3">
        <v>5.0</v>
      </c>
      <c r="J22" s="3">
        <v>2.0</v>
      </c>
      <c r="K22" s="3">
        <v>3.0</v>
      </c>
      <c r="L22" s="3">
        <v>4.0</v>
      </c>
      <c r="M22" s="3">
        <v>2.0</v>
      </c>
      <c r="N22" s="3">
        <v>2.0</v>
      </c>
      <c r="O22" s="3">
        <v>2.0</v>
      </c>
      <c r="P22" s="3">
        <v>5.0</v>
      </c>
      <c r="Q22" s="3">
        <v>4.0</v>
      </c>
      <c r="R22" s="3">
        <v>5.0</v>
      </c>
      <c r="S22" s="3">
        <v>3.0</v>
      </c>
      <c r="T22" s="3">
        <v>4.0</v>
      </c>
      <c r="U22" s="3">
        <v>3.0</v>
      </c>
      <c r="V22" s="3">
        <v>3.0</v>
      </c>
      <c r="W22" s="3">
        <v>2.0</v>
      </c>
      <c r="X22" s="11">
        <f t="shared" si="1"/>
        <v>74</v>
      </c>
      <c r="Y22" s="12">
        <f t="shared" si="2"/>
        <v>-0.004826254826</v>
      </c>
    </row>
    <row r="23">
      <c r="A23" s="13" t="s">
        <v>49</v>
      </c>
      <c r="B23" s="3">
        <v>5.0</v>
      </c>
      <c r="C23" s="3">
        <v>2.0</v>
      </c>
      <c r="D23" s="3">
        <v>4.0</v>
      </c>
      <c r="E23" s="3">
        <v>3.0</v>
      </c>
      <c r="F23" s="3">
        <v>2.0</v>
      </c>
      <c r="G23" s="3">
        <v>3.0</v>
      </c>
      <c r="H23" s="3">
        <v>3.0</v>
      </c>
      <c r="I23" s="3">
        <v>3.0</v>
      </c>
      <c r="J23" s="3">
        <v>2.0</v>
      </c>
      <c r="K23" s="3">
        <v>3.0</v>
      </c>
      <c r="L23" s="3">
        <v>3.0</v>
      </c>
      <c r="M23" s="3">
        <v>3.0</v>
      </c>
      <c r="N23" s="3">
        <v>3.0</v>
      </c>
      <c r="O23" s="3">
        <v>2.0</v>
      </c>
      <c r="P23" s="3">
        <v>4.0</v>
      </c>
      <c r="Q23" s="3">
        <v>2.0</v>
      </c>
      <c r="R23" s="3">
        <v>3.0</v>
      </c>
      <c r="S23" s="3">
        <v>3.0</v>
      </c>
      <c r="T23" s="3">
        <v>4.0</v>
      </c>
      <c r="U23" s="3">
        <v>4.0</v>
      </c>
      <c r="V23" s="3">
        <v>4.0</v>
      </c>
      <c r="W23" s="3">
        <v>2.0</v>
      </c>
      <c r="X23" s="11">
        <f t="shared" si="1"/>
        <v>67</v>
      </c>
      <c r="Y23" s="12">
        <f t="shared" si="2"/>
        <v>-0.1098081023</v>
      </c>
    </row>
    <row r="24">
      <c r="A24" s="3" t="s">
        <v>50</v>
      </c>
      <c r="B24" s="3">
        <v>3.0</v>
      </c>
      <c r="C24" s="3">
        <v>2.0</v>
      </c>
      <c r="D24" s="3">
        <v>4.0</v>
      </c>
      <c r="E24" s="3">
        <v>3.0</v>
      </c>
      <c r="F24" s="3">
        <v>2.0</v>
      </c>
      <c r="G24" s="3">
        <v>2.0</v>
      </c>
      <c r="H24" s="3">
        <v>2.0</v>
      </c>
      <c r="I24" s="3">
        <v>3.0</v>
      </c>
      <c r="J24" s="3">
        <v>3.0</v>
      </c>
      <c r="K24" s="3">
        <v>3.0</v>
      </c>
      <c r="L24" s="3">
        <v>3.0</v>
      </c>
      <c r="M24" s="3">
        <v>3.0</v>
      </c>
      <c r="N24" s="3">
        <v>3.0</v>
      </c>
      <c r="O24" s="3">
        <v>3.0</v>
      </c>
      <c r="P24" s="3">
        <v>2.0</v>
      </c>
      <c r="Q24" s="3">
        <v>3.0</v>
      </c>
      <c r="R24" s="3">
        <v>3.0</v>
      </c>
      <c r="S24" s="10">
        <v>1.0</v>
      </c>
      <c r="T24" s="3">
        <v>4.0</v>
      </c>
      <c r="U24" s="3">
        <v>3.0</v>
      </c>
      <c r="V24" s="3">
        <v>3.0</v>
      </c>
      <c r="W24" s="3">
        <v>4.0</v>
      </c>
      <c r="X24" s="11">
        <f t="shared" si="1"/>
        <v>62</v>
      </c>
      <c r="Y24" s="12">
        <f t="shared" si="2"/>
        <v>-0.1993087558</v>
      </c>
    </row>
    <row r="25">
      <c r="A25" s="3" t="s">
        <v>51</v>
      </c>
      <c r="B25" s="3">
        <v>5.0</v>
      </c>
      <c r="C25" s="3">
        <v>3.0</v>
      </c>
      <c r="D25" s="3">
        <v>5.0</v>
      </c>
      <c r="E25" s="3">
        <v>4.0</v>
      </c>
      <c r="F25" s="3">
        <v>3.0</v>
      </c>
      <c r="G25" s="3">
        <v>3.0</v>
      </c>
      <c r="H25" s="3">
        <v>2.0</v>
      </c>
      <c r="I25" s="3">
        <v>3.0</v>
      </c>
      <c r="J25" s="3">
        <v>4.0</v>
      </c>
      <c r="K25" s="3">
        <v>3.0</v>
      </c>
      <c r="L25" s="3">
        <v>4.0</v>
      </c>
      <c r="M25" s="3">
        <v>3.0</v>
      </c>
      <c r="N25" s="3">
        <v>3.0</v>
      </c>
      <c r="O25" s="3">
        <v>3.0</v>
      </c>
      <c r="P25" s="3">
        <v>3.0</v>
      </c>
      <c r="Q25" s="3">
        <v>3.0</v>
      </c>
      <c r="R25" s="3">
        <v>3.0</v>
      </c>
      <c r="S25" s="3">
        <v>5.0</v>
      </c>
      <c r="T25" s="10">
        <v>1.0</v>
      </c>
      <c r="U25" s="3">
        <v>4.0</v>
      </c>
      <c r="V25" s="3">
        <v>3.0</v>
      </c>
      <c r="W25" s="3">
        <v>5.0</v>
      </c>
      <c r="X25" s="11">
        <f t="shared" si="1"/>
        <v>75</v>
      </c>
      <c r="Y25" s="12">
        <f t="shared" si="2"/>
        <v>0.008571428571</v>
      </c>
    </row>
    <row r="26">
      <c r="A26" s="13" t="s">
        <v>52</v>
      </c>
      <c r="B26" s="3">
        <v>5.0</v>
      </c>
      <c r="C26" s="3">
        <v>3.0</v>
      </c>
      <c r="D26" s="3">
        <v>5.0</v>
      </c>
      <c r="E26" s="3">
        <v>4.0</v>
      </c>
      <c r="F26" s="3">
        <v>3.0</v>
      </c>
      <c r="G26" s="3">
        <v>3.0</v>
      </c>
      <c r="H26" s="3">
        <v>4.0</v>
      </c>
      <c r="I26" s="3">
        <v>4.0</v>
      </c>
      <c r="J26" s="3">
        <v>4.0</v>
      </c>
      <c r="K26" s="3">
        <v>5.0</v>
      </c>
      <c r="L26" s="3">
        <v>4.0</v>
      </c>
      <c r="M26" s="3">
        <v>3.0</v>
      </c>
      <c r="N26" s="3">
        <v>3.0</v>
      </c>
      <c r="O26" s="3">
        <v>3.0</v>
      </c>
      <c r="P26" s="3">
        <v>3.0</v>
      </c>
      <c r="Q26" s="3">
        <v>4.0</v>
      </c>
      <c r="R26" s="3">
        <v>4.0</v>
      </c>
      <c r="S26" s="3">
        <v>4.0</v>
      </c>
      <c r="T26" s="3">
        <v>5.0</v>
      </c>
      <c r="U26" s="3">
        <v>4.0</v>
      </c>
      <c r="V26" s="3">
        <v>4.0</v>
      </c>
      <c r="W26" s="3">
        <v>4.0</v>
      </c>
      <c r="X26" s="11">
        <f t="shared" si="1"/>
        <v>85</v>
      </c>
      <c r="Y26" s="12">
        <f t="shared" si="2"/>
        <v>0.125210084</v>
      </c>
    </row>
    <row r="27">
      <c r="A27" s="3" t="s">
        <v>53</v>
      </c>
      <c r="B27" s="3">
        <v>3.0</v>
      </c>
      <c r="C27" s="3">
        <v>3.0</v>
      </c>
      <c r="D27" s="3">
        <v>4.0</v>
      </c>
      <c r="E27" s="3">
        <v>4.0</v>
      </c>
      <c r="F27" s="3">
        <v>4.0</v>
      </c>
      <c r="G27" s="3">
        <v>4.0</v>
      </c>
      <c r="H27" s="3">
        <v>4.0</v>
      </c>
      <c r="I27" s="3">
        <v>3.0</v>
      </c>
      <c r="J27" s="3">
        <v>5.0</v>
      </c>
      <c r="K27" s="3">
        <v>4.0</v>
      </c>
      <c r="L27" s="3">
        <v>5.0</v>
      </c>
      <c r="M27" s="3">
        <v>3.0</v>
      </c>
      <c r="N27" s="3">
        <v>3.0</v>
      </c>
      <c r="O27" s="3">
        <v>4.0</v>
      </c>
      <c r="P27" s="3">
        <v>5.0</v>
      </c>
      <c r="Q27" s="3">
        <v>5.0</v>
      </c>
      <c r="R27" s="3">
        <v>4.0</v>
      </c>
      <c r="S27" s="3">
        <v>3.0</v>
      </c>
      <c r="T27" s="3">
        <v>5.0</v>
      </c>
      <c r="U27" s="10">
        <v>1.0</v>
      </c>
      <c r="V27" s="3">
        <v>5.0</v>
      </c>
      <c r="W27" s="3">
        <v>3.0</v>
      </c>
      <c r="X27" s="11">
        <f t="shared" si="1"/>
        <v>84</v>
      </c>
      <c r="Y27" s="12">
        <f t="shared" si="2"/>
        <v>0.1147959184</v>
      </c>
    </row>
    <row r="28">
      <c r="A28" s="3" t="s">
        <v>54</v>
      </c>
      <c r="B28" s="3">
        <v>5.0</v>
      </c>
      <c r="C28" s="3">
        <v>3.0</v>
      </c>
      <c r="D28" s="3">
        <v>5.0</v>
      </c>
      <c r="E28" s="3">
        <v>4.0</v>
      </c>
      <c r="F28" s="3">
        <v>4.0</v>
      </c>
      <c r="G28" s="3">
        <v>4.0</v>
      </c>
      <c r="H28" s="3">
        <v>3.0</v>
      </c>
      <c r="I28" s="3">
        <v>4.0</v>
      </c>
      <c r="J28" s="3">
        <v>5.0</v>
      </c>
      <c r="K28" s="3">
        <v>4.0</v>
      </c>
      <c r="L28" s="3">
        <v>4.0</v>
      </c>
      <c r="M28" s="3">
        <v>3.0</v>
      </c>
      <c r="N28" s="3">
        <v>3.0</v>
      </c>
      <c r="O28" s="3">
        <v>4.0</v>
      </c>
      <c r="P28" s="3">
        <v>4.0</v>
      </c>
      <c r="Q28" s="3">
        <v>4.0</v>
      </c>
      <c r="R28" s="3">
        <v>5.0</v>
      </c>
      <c r="S28" s="3">
        <v>4.0</v>
      </c>
      <c r="T28" s="3">
        <v>4.0</v>
      </c>
      <c r="U28" s="3">
        <v>4.0</v>
      </c>
      <c r="V28" s="10">
        <v>1.0</v>
      </c>
      <c r="W28" s="3">
        <v>5.0</v>
      </c>
      <c r="X28" s="11">
        <f t="shared" si="1"/>
        <v>86</v>
      </c>
      <c r="Y28" s="12">
        <f t="shared" si="2"/>
        <v>0.1353820598</v>
      </c>
    </row>
    <row r="29">
      <c r="A29" s="3" t="s">
        <v>55</v>
      </c>
      <c r="B29" s="3">
        <v>4.0</v>
      </c>
      <c r="C29" s="3">
        <v>3.0</v>
      </c>
      <c r="D29" s="3">
        <v>5.0</v>
      </c>
      <c r="E29" s="3">
        <v>3.0</v>
      </c>
      <c r="F29" s="3">
        <v>3.0</v>
      </c>
      <c r="G29" s="3">
        <v>3.0</v>
      </c>
      <c r="H29" s="3">
        <v>3.0</v>
      </c>
      <c r="I29" s="3">
        <v>5.0</v>
      </c>
      <c r="J29" s="3">
        <v>4.0</v>
      </c>
      <c r="K29" s="3">
        <v>4.0</v>
      </c>
      <c r="L29" s="3">
        <v>5.0</v>
      </c>
      <c r="M29" s="3">
        <v>4.0</v>
      </c>
      <c r="N29" s="3">
        <v>3.0</v>
      </c>
      <c r="O29" s="3">
        <v>3.0</v>
      </c>
      <c r="P29" s="3">
        <v>4.0</v>
      </c>
      <c r="Q29" s="3">
        <v>4.0</v>
      </c>
      <c r="R29" s="3">
        <v>3.0</v>
      </c>
      <c r="S29" s="3">
        <v>5.0</v>
      </c>
      <c r="T29" s="3">
        <v>5.0</v>
      </c>
      <c r="U29" s="3">
        <v>3.0</v>
      </c>
      <c r="V29" s="3">
        <v>4.0</v>
      </c>
      <c r="W29" s="10">
        <v>1.0</v>
      </c>
      <c r="X29" s="11">
        <f t="shared" si="1"/>
        <v>81</v>
      </c>
      <c r="Y29" s="12">
        <f t="shared" si="2"/>
        <v>0.08201058201</v>
      </c>
    </row>
    <row r="30">
      <c r="A30" s="14" t="s">
        <v>1</v>
      </c>
      <c r="B30" s="15">
        <f t="shared" ref="B30:W30" si="3">SUM(B2:B29)</f>
        <v>105</v>
      </c>
      <c r="C30" s="15">
        <f t="shared" si="3"/>
        <v>72</v>
      </c>
      <c r="D30" s="15">
        <f t="shared" si="3"/>
        <v>110</v>
      </c>
      <c r="E30" s="15">
        <f t="shared" si="3"/>
        <v>94</v>
      </c>
      <c r="F30" s="15">
        <f t="shared" si="3"/>
        <v>83</v>
      </c>
      <c r="G30" s="15">
        <f t="shared" si="3"/>
        <v>89</v>
      </c>
      <c r="H30" s="15">
        <f t="shared" si="3"/>
        <v>86</v>
      </c>
      <c r="I30" s="15">
        <f t="shared" si="3"/>
        <v>100</v>
      </c>
      <c r="J30" s="15">
        <f t="shared" si="3"/>
        <v>100</v>
      </c>
      <c r="K30" s="15">
        <f t="shared" si="3"/>
        <v>98</v>
      </c>
      <c r="L30" s="15">
        <f t="shared" si="3"/>
        <v>102</v>
      </c>
      <c r="M30" s="15">
        <f t="shared" si="3"/>
        <v>88</v>
      </c>
      <c r="N30" s="15">
        <f t="shared" si="3"/>
        <v>88</v>
      </c>
      <c r="O30" s="15">
        <f t="shared" si="3"/>
        <v>82</v>
      </c>
      <c r="P30" s="15">
        <f t="shared" si="3"/>
        <v>97</v>
      </c>
      <c r="Q30" s="15">
        <f t="shared" si="3"/>
        <v>94</v>
      </c>
      <c r="R30" s="15">
        <f t="shared" si="3"/>
        <v>98</v>
      </c>
      <c r="S30" s="15">
        <f t="shared" si="3"/>
        <v>98</v>
      </c>
      <c r="T30" s="15">
        <f t="shared" si="3"/>
        <v>106</v>
      </c>
      <c r="U30" s="15">
        <f t="shared" si="3"/>
        <v>101</v>
      </c>
      <c r="V30" s="15">
        <f t="shared" si="3"/>
        <v>93</v>
      </c>
      <c r="W30" s="15">
        <f t="shared" si="3"/>
        <v>98</v>
      </c>
      <c r="X30" s="16" t="s">
        <v>56</v>
      </c>
      <c r="Y30" s="1"/>
    </row>
    <row r="31">
      <c r="A31" s="17" t="s">
        <v>57</v>
      </c>
      <c r="B31" s="18">
        <f t="shared" ref="B31:W31" si="4">COUNTIF(B2:B29,5)</f>
        <v>10</v>
      </c>
      <c r="C31" s="18">
        <f t="shared" si="4"/>
        <v>1</v>
      </c>
      <c r="D31" s="18">
        <f t="shared" si="4"/>
        <v>9</v>
      </c>
      <c r="E31" s="18">
        <f t="shared" si="4"/>
        <v>3</v>
      </c>
      <c r="F31" s="18">
        <f t="shared" si="4"/>
        <v>1</v>
      </c>
      <c r="G31" s="18">
        <f t="shared" si="4"/>
        <v>1</v>
      </c>
      <c r="H31" s="18">
        <f t="shared" si="4"/>
        <v>0</v>
      </c>
      <c r="I31" s="18">
        <f t="shared" si="4"/>
        <v>7</v>
      </c>
      <c r="J31" s="18">
        <f t="shared" si="4"/>
        <v>7</v>
      </c>
      <c r="K31" s="18">
        <f t="shared" si="4"/>
        <v>3</v>
      </c>
      <c r="L31" s="18">
        <f t="shared" si="4"/>
        <v>6</v>
      </c>
      <c r="M31" s="18">
        <f t="shared" si="4"/>
        <v>3</v>
      </c>
      <c r="N31" s="18">
        <f t="shared" si="4"/>
        <v>2</v>
      </c>
      <c r="O31" s="18">
        <f t="shared" si="4"/>
        <v>0</v>
      </c>
      <c r="P31" s="18">
        <f t="shared" si="4"/>
        <v>5</v>
      </c>
      <c r="Q31" s="18">
        <f t="shared" si="4"/>
        <v>4</v>
      </c>
      <c r="R31" s="18">
        <f t="shared" si="4"/>
        <v>4</v>
      </c>
      <c r="S31" s="18">
        <f t="shared" si="4"/>
        <v>6</v>
      </c>
      <c r="T31" s="18">
        <f t="shared" si="4"/>
        <v>8</v>
      </c>
      <c r="U31" s="18">
        <f t="shared" si="4"/>
        <v>6</v>
      </c>
      <c r="V31" s="18">
        <f t="shared" si="4"/>
        <v>3</v>
      </c>
      <c r="W31" s="18">
        <f t="shared" si="4"/>
        <v>3</v>
      </c>
      <c r="X31" s="19">
        <f t="shared" ref="X31:X35" si="6">SUM(B31:W31)</f>
        <v>92</v>
      </c>
      <c r="Y31" s="20">
        <f t="shared" ref="Y31:Y36" si="7">X31/$X$36</f>
        <v>0.1493506494</v>
      </c>
    </row>
    <row r="32">
      <c r="A32" s="17" t="s">
        <v>58</v>
      </c>
      <c r="B32" s="18">
        <f t="shared" ref="B32:W32" si="5">COUNTIF(B2:B29,4)</f>
        <v>7</v>
      </c>
      <c r="C32" s="18">
        <f t="shared" si="5"/>
        <v>2</v>
      </c>
      <c r="D32" s="18">
        <f t="shared" si="5"/>
        <v>13</v>
      </c>
      <c r="E32" s="18">
        <f t="shared" si="5"/>
        <v>11</v>
      </c>
      <c r="F32" s="18">
        <f t="shared" si="5"/>
        <v>7</v>
      </c>
      <c r="G32" s="18">
        <f t="shared" si="5"/>
        <v>9</v>
      </c>
      <c r="H32" s="18">
        <f t="shared" si="5"/>
        <v>10</v>
      </c>
      <c r="I32" s="18">
        <f t="shared" si="5"/>
        <v>9</v>
      </c>
      <c r="J32" s="18">
        <f t="shared" si="5"/>
        <v>11</v>
      </c>
      <c r="K32" s="18">
        <f t="shared" si="5"/>
        <v>10</v>
      </c>
      <c r="L32" s="18">
        <f t="shared" si="5"/>
        <v>11</v>
      </c>
      <c r="M32" s="18">
        <f t="shared" si="5"/>
        <v>6</v>
      </c>
      <c r="N32" s="18">
        <f t="shared" si="5"/>
        <v>7</v>
      </c>
      <c r="O32" s="18">
        <f t="shared" si="5"/>
        <v>8</v>
      </c>
      <c r="P32" s="18">
        <f t="shared" si="5"/>
        <v>10</v>
      </c>
      <c r="Q32" s="18">
        <f t="shared" si="5"/>
        <v>10</v>
      </c>
      <c r="R32" s="18">
        <f t="shared" si="5"/>
        <v>11</v>
      </c>
      <c r="S32" s="18">
        <f t="shared" si="5"/>
        <v>7</v>
      </c>
      <c r="T32" s="18">
        <f t="shared" si="5"/>
        <v>12</v>
      </c>
      <c r="U32" s="18">
        <f t="shared" si="5"/>
        <v>9</v>
      </c>
      <c r="V32" s="18">
        <f t="shared" si="5"/>
        <v>10</v>
      </c>
      <c r="W32" s="18">
        <f t="shared" si="5"/>
        <v>14</v>
      </c>
      <c r="X32" s="19">
        <f t="shared" si="6"/>
        <v>204</v>
      </c>
      <c r="Y32" s="20">
        <f t="shared" si="7"/>
        <v>0.3311688312</v>
      </c>
    </row>
    <row r="33">
      <c r="A33" s="17" t="s">
        <v>59</v>
      </c>
      <c r="B33" s="18">
        <f t="shared" ref="B33:W33" si="8">COUNTIF(B2:B29,3)</f>
        <v>7</v>
      </c>
      <c r="C33" s="18">
        <f t="shared" si="8"/>
        <v>12</v>
      </c>
      <c r="D33" s="18">
        <f t="shared" si="8"/>
        <v>2</v>
      </c>
      <c r="E33" s="18">
        <f t="shared" si="8"/>
        <v>8</v>
      </c>
      <c r="F33" s="18">
        <f t="shared" si="8"/>
        <v>13</v>
      </c>
      <c r="G33" s="18">
        <f t="shared" si="8"/>
        <v>14</v>
      </c>
      <c r="H33" s="18">
        <f t="shared" si="8"/>
        <v>11</v>
      </c>
      <c r="I33" s="18">
        <f t="shared" si="8"/>
        <v>7</v>
      </c>
      <c r="J33" s="18">
        <f t="shared" si="8"/>
        <v>3</v>
      </c>
      <c r="K33" s="18">
        <f t="shared" si="8"/>
        <v>14</v>
      </c>
      <c r="L33" s="18">
        <f t="shared" si="8"/>
        <v>8</v>
      </c>
      <c r="M33" s="18">
        <f t="shared" si="8"/>
        <v>13</v>
      </c>
      <c r="N33" s="18">
        <f t="shared" si="8"/>
        <v>13</v>
      </c>
      <c r="O33" s="18">
        <f t="shared" si="8"/>
        <v>12</v>
      </c>
      <c r="P33" s="18">
        <f t="shared" si="8"/>
        <v>8</v>
      </c>
      <c r="Q33" s="18">
        <f t="shared" si="8"/>
        <v>7</v>
      </c>
      <c r="R33" s="18">
        <f t="shared" si="8"/>
        <v>9</v>
      </c>
      <c r="S33" s="18">
        <f t="shared" si="8"/>
        <v>11</v>
      </c>
      <c r="T33" s="18">
        <f t="shared" si="8"/>
        <v>4</v>
      </c>
      <c r="U33" s="18">
        <f t="shared" si="8"/>
        <v>10</v>
      </c>
      <c r="V33" s="18">
        <f t="shared" si="8"/>
        <v>10</v>
      </c>
      <c r="W33" s="18">
        <f t="shared" si="8"/>
        <v>6</v>
      </c>
      <c r="X33" s="19">
        <f t="shared" si="6"/>
        <v>202</v>
      </c>
      <c r="Y33" s="20">
        <f t="shared" si="7"/>
        <v>0.3279220779</v>
      </c>
    </row>
    <row r="34">
      <c r="A34" s="17" t="s">
        <v>60</v>
      </c>
      <c r="B34" s="18">
        <f t="shared" ref="B34:W34" si="9">COUNTIF(B2:B29,2)</f>
        <v>2</v>
      </c>
      <c r="C34" s="18">
        <f t="shared" si="9"/>
        <v>10</v>
      </c>
      <c r="D34" s="18">
        <f t="shared" si="9"/>
        <v>3</v>
      </c>
      <c r="E34" s="18">
        <f t="shared" si="9"/>
        <v>5</v>
      </c>
      <c r="F34" s="18">
        <f t="shared" si="9"/>
        <v>4</v>
      </c>
      <c r="G34" s="18">
        <f t="shared" si="9"/>
        <v>2</v>
      </c>
      <c r="H34" s="18">
        <f t="shared" si="9"/>
        <v>6</v>
      </c>
      <c r="I34" s="18">
        <f t="shared" si="9"/>
        <v>3</v>
      </c>
      <c r="J34" s="18">
        <f t="shared" si="9"/>
        <v>5</v>
      </c>
      <c r="K34" s="18">
        <f t="shared" si="9"/>
        <v>0</v>
      </c>
      <c r="L34" s="18">
        <f t="shared" si="9"/>
        <v>1</v>
      </c>
      <c r="M34" s="18">
        <f t="shared" si="9"/>
        <v>4</v>
      </c>
      <c r="N34" s="18">
        <f t="shared" si="9"/>
        <v>5</v>
      </c>
      <c r="O34" s="18">
        <f t="shared" si="9"/>
        <v>6</v>
      </c>
      <c r="P34" s="18">
        <f t="shared" si="9"/>
        <v>3</v>
      </c>
      <c r="Q34" s="18">
        <f t="shared" si="9"/>
        <v>6</v>
      </c>
      <c r="R34" s="18">
        <f t="shared" si="9"/>
        <v>3</v>
      </c>
      <c r="S34" s="18">
        <f t="shared" si="9"/>
        <v>3</v>
      </c>
      <c r="T34" s="18">
        <f t="shared" si="9"/>
        <v>2</v>
      </c>
      <c r="U34" s="18">
        <f t="shared" si="9"/>
        <v>2</v>
      </c>
      <c r="V34" s="18">
        <f t="shared" si="9"/>
        <v>3</v>
      </c>
      <c r="W34" s="18">
        <f t="shared" si="9"/>
        <v>4</v>
      </c>
      <c r="X34" s="19">
        <f t="shared" si="6"/>
        <v>82</v>
      </c>
      <c r="Y34" s="20">
        <f t="shared" si="7"/>
        <v>0.1331168831</v>
      </c>
    </row>
    <row r="35">
      <c r="A35" s="17" t="s">
        <v>61</v>
      </c>
      <c r="B35" s="18">
        <f t="shared" ref="B35:W35" si="10">COUNTIF(B2:B29,1)</f>
        <v>2</v>
      </c>
      <c r="C35" s="18">
        <f t="shared" si="10"/>
        <v>3</v>
      </c>
      <c r="D35" s="18">
        <f t="shared" si="10"/>
        <v>1</v>
      </c>
      <c r="E35" s="18">
        <f t="shared" si="10"/>
        <v>1</v>
      </c>
      <c r="F35" s="18">
        <f t="shared" si="10"/>
        <v>3</v>
      </c>
      <c r="G35" s="18">
        <f t="shared" si="10"/>
        <v>2</v>
      </c>
      <c r="H35" s="18">
        <f t="shared" si="10"/>
        <v>1</v>
      </c>
      <c r="I35" s="18">
        <f t="shared" si="10"/>
        <v>2</v>
      </c>
      <c r="J35" s="18">
        <f t="shared" si="10"/>
        <v>2</v>
      </c>
      <c r="K35" s="18">
        <f t="shared" si="10"/>
        <v>1</v>
      </c>
      <c r="L35" s="18">
        <f t="shared" si="10"/>
        <v>2</v>
      </c>
      <c r="M35" s="18">
        <f t="shared" si="10"/>
        <v>2</v>
      </c>
      <c r="N35" s="18">
        <f t="shared" si="10"/>
        <v>1</v>
      </c>
      <c r="O35" s="18">
        <f t="shared" si="10"/>
        <v>2</v>
      </c>
      <c r="P35" s="18">
        <f t="shared" si="10"/>
        <v>2</v>
      </c>
      <c r="Q35" s="18">
        <f t="shared" si="10"/>
        <v>1</v>
      </c>
      <c r="R35" s="18">
        <f t="shared" si="10"/>
        <v>1</v>
      </c>
      <c r="S35" s="18">
        <f t="shared" si="10"/>
        <v>1</v>
      </c>
      <c r="T35" s="18">
        <f t="shared" si="10"/>
        <v>2</v>
      </c>
      <c r="U35" s="18">
        <f t="shared" si="10"/>
        <v>1</v>
      </c>
      <c r="V35" s="18">
        <f t="shared" si="10"/>
        <v>2</v>
      </c>
      <c r="W35" s="18">
        <f t="shared" si="10"/>
        <v>1</v>
      </c>
      <c r="X35" s="19">
        <f t="shared" si="6"/>
        <v>36</v>
      </c>
      <c r="Y35" s="20">
        <f t="shared" si="7"/>
        <v>0.05844155844</v>
      </c>
    </row>
    <row r="36">
      <c r="A36" s="21"/>
      <c r="B36" s="21"/>
      <c r="C36" s="18"/>
      <c r="X36" s="19">
        <f>SUM(X31:X35)</f>
        <v>616</v>
      </c>
      <c r="Y36" s="20">
        <f t="shared" si="7"/>
        <v>1</v>
      </c>
    </row>
    <row r="37">
      <c r="A37" s="1"/>
      <c r="B37" s="1"/>
      <c r="C37" s="21"/>
    </row>
    <row r="38">
      <c r="A38" s="1"/>
      <c r="B38" s="1"/>
      <c r="C38" s="1"/>
    </row>
    <row r="39">
      <c r="A39" s="22" t="s">
        <v>62</v>
      </c>
      <c r="B39" s="1"/>
      <c r="C39" s="1"/>
    </row>
    <row r="40">
      <c r="A40" s="23" t="s">
        <v>63</v>
      </c>
      <c r="B40" s="24">
        <f>AVERAGE(X2:X29)</f>
        <v>74.35714286</v>
      </c>
      <c r="C40" s="1"/>
    </row>
    <row r="41">
      <c r="C41" s="23" t="s">
        <v>64</v>
      </c>
    </row>
  </sheetData>
  <drawing r:id="rId1"/>
</worksheet>
</file>
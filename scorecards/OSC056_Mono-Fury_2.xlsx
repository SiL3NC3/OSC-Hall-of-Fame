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TAL SCORES" sheetId="1" r:id="rId4"/>
    <sheet state="visible" name="Voting Results" sheetId="2" r:id="rId5"/>
    <sheet state="visible" name="Analysis" sheetId="3" r:id="rId6"/>
  </sheets>
  <definedNames/>
  <calcPr/>
</workbook>
</file>

<file path=xl/sharedStrings.xml><?xml version="1.0" encoding="utf-8"?>
<sst xmlns="http://schemas.openxmlformats.org/spreadsheetml/2006/main" count="61" uniqueCount="61">
  <si>
    <t>Timestamp</t>
  </si>
  <si>
    <t>Voter Name (KVR nick)</t>
  </si>
  <si>
    <t>Abovethoughts - Inter Galactical Rain Storm</t>
  </si>
  <si>
    <t>Ballacr75 - Seven</t>
  </si>
  <si>
    <t>Besh We(rde) - Wings Of Fury</t>
  </si>
  <si>
    <t>Bjporter - Pancake Delorean Invasion</t>
  </si>
  <si>
    <t>Cactoos - Such A Bastard</t>
  </si>
  <si>
    <t>Carl Saved - What a friend</t>
  </si>
  <si>
    <t>Ctx - Courtless Balls</t>
  </si>
  <si>
    <t>Dead Eddy - Furious Restraint</t>
  </si>
  <si>
    <t>Kraftraum - Rotation 17 (Cassini - Saturn Umlauf Nummer 199)</t>
  </si>
  <si>
    <t>Loft Electronics - Furiously Happy Wasp</t>
  </si>
  <si>
    <t>Martin Lueders - Berlin</t>
  </si>
  <si>
    <t>NitroWheels - September</t>
  </si>
  <si>
    <t>Pedalsteeldrummer - They Mostly Come At Night... Mostly</t>
  </si>
  <si>
    <t>Psmacmur - Mono And Missy</t>
  </si>
  <si>
    <t>Quadruplea - Nes Fury</t>
  </si>
  <si>
    <t>Radd - Kelly's Umbrella</t>
  </si>
  <si>
    <t>Ruedirena - Psyclops</t>
  </si>
  <si>
    <t>Saltline - Pierwsze Swiatlo</t>
  </si>
  <si>
    <t>Skyzone - Spectral spiral</t>
  </si>
  <si>
    <t>Stunkit - Furious Mono</t>
  </si>
  <si>
    <t>Thrax - Soundwave Of Fury</t>
  </si>
  <si>
    <t>Xaenima - Fun &amp; Fury</t>
  </si>
  <si>
    <t>Yeager - 10 Grams</t>
  </si>
  <si>
    <t>z.prime</t>
  </si>
  <si>
    <t>psmacmur</t>
  </si>
  <si>
    <t>loft_electronics</t>
  </si>
  <si>
    <t>radd</t>
  </si>
  <si>
    <t>RuediRena</t>
  </si>
  <si>
    <t>tonedef71</t>
  </si>
  <si>
    <t>ballacr75</t>
  </si>
  <si>
    <t>Carl_saved</t>
  </si>
  <si>
    <t>Photonic</t>
  </si>
  <si>
    <t>QuadrupleA</t>
  </si>
  <si>
    <t>nitrowheels</t>
  </si>
  <si>
    <t>Blaakk (Previously-'Xaenima')</t>
  </si>
  <si>
    <t>ClaRago</t>
  </si>
  <si>
    <t>Rob West</t>
  </si>
  <si>
    <t>SKYZONE</t>
  </si>
  <si>
    <t>Stunkit</t>
  </si>
  <si>
    <t>Kraftraum</t>
  </si>
  <si>
    <t>fese</t>
  </si>
  <si>
    <t>Thrax</t>
  </si>
  <si>
    <t>martin_l</t>
  </si>
  <si>
    <t>cactoos_dahoo</t>
  </si>
  <si>
    <t>saltline</t>
  </si>
  <si>
    <t>pedalsteeldrummer</t>
  </si>
  <si>
    <t>besh</t>
  </si>
  <si>
    <t>_ctx</t>
  </si>
  <si>
    <t>Yeager</t>
  </si>
  <si>
    <t>bjporter</t>
  </si>
  <si>
    <t>objectman (deadeddy)</t>
  </si>
  <si>
    <t>Abovethoughts</t>
  </si>
  <si>
    <t>Voter Name</t>
  </si>
  <si>
    <t xml:space="preserve">Sum given
</t>
  </si>
  <si>
    <t>Ones</t>
  </si>
  <si>
    <t>Twos</t>
  </si>
  <si>
    <t>Threes</t>
  </si>
  <si>
    <t>Fours</t>
  </si>
  <si>
    <t>Fives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</si>
</sst>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</font>
    <font>
      <b/>
      <sz val="10.0"/>
      <color rgb="FF000000"/>
    </font>
    <font>
      <b/>
      <sz val="10.0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DDDDD"/>
        <bgColor rgb="FFDDDDDD"/>
      </patternFill>
    </fill>
    <fill>
      <patternFill patternType="solid">
        <fgColor rgb="FFEEEEEE"/>
        <bgColor rgb="FFEEEEEE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2" fontId="1" numFmtId="0" xfId="0" applyAlignment="1" applyFont="1">
      <alignment horizontal="center" shrinkToFit="0" vertical="bottom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vertical="bottom" wrapText="1"/>
    </xf>
    <xf borderId="0" fillId="3" fontId="2" numFmtId="0" xfId="0" applyAlignment="1" applyFill="1" applyFont="1">
      <alignment horizontal="center" readingOrder="0" shrinkToFit="0" vertical="bottom" wrapText="1"/>
    </xf>
    <xf borderId="0" fillId="3" fontId="2" numFmtId="0" xfId="0" applyAlignment="1" applyFont="1">
      <alignment horizontal="left" readingOrder="0" shrinkToFit="0" vertical="bottom" wrapText="1"/>
    </xf>
    <xf borderId="0" fillId="4" fontId="3" numFmtId="164" xfId="0" applyAlignment="1" applyFill="1" applyFont="1" applyNumberFormat="1">
      <alignment horizontal="center" readingOrder="0" shrinkToFit="0" vertical="bottom" wrapText="1"/>
    </xf>
    <xf borderId="0" fillId="4" fontId="3" numFmtId="0" xfId="0" applyAlignment="1" applyFont="1">
      <alignment horizontal="left" readingOrder="0" shrinkToFit="0" vertical="bottom" wrapText="1"/>
    </xf>
    <xf borderId="0" fillId="4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4" fontId="3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58.5"/>
    <col customWidth="1" min="2" max="2" width="12.13"/>
  </cols>
  <sheetData>
    <row r="1">
      <c r="A1" s="1" t="str">
        <f>'Voting Results'!$G$1</f>
        <v>Cactoos - Such A Bastard</v>
      </c>
      <c r="B1" s="2">
        <f>SUM('Voting Results'!F1:F30)</f>
        <v>116</v>
      </c>
    </row>
    <row r="2">
      <c r="A2" s="1" t="str">
        <f>'Voting Results'!$F$1</f>
        <v>Bjporter - Pancake Delorean Invasion</v>
      </c>
      <c r="B2" s="2">
        <f>SUM('Voting Results'!G1:G30)</f>
        <v>116</v>
      </c>
    </row>
    <row r="3">
      <c r="A3" s="1" t="str">
        <f>'Voting Results'!$Y$1</f>
        <v>Yeager - 10 Grams</v>
      </c>
      <c r="B3" s="2">
        <f>SUM('Voting Results'!Y1:Y30)</f>
        <v>112</v>
      </c>
    </row>
    <row r="4">
      <c r="A4" s="1" t="str">
        <f>'Voting Results'!$K$1</f>
        <v>Kraftraum - Rotation 17 (Cassini - Saturn Umlauf Nummer 199)</v>
      </c>
      <c r="B4" s="2">
        <f>SUM('Voting Results'!K1:K30)</f>
        <v>110</v>
      </c>
    </row>
    <row r="5">
      <c r="A5" s="1" t="str">
        <f>'Voting Results'!$I$1</f>
        <v>Ctx - Courtless Balls</v>
      </c>
      <c r="B5" s="2">
        <f>SUM('Voting Results'!I1:I30)</f>
        <v>108</v>
      </c>
    </row>
    <row r="6">
      <c r="A6" s="1" t="str">
        <f>'Voting Results'!$U$1</f>
        <v>Skyzone - Spectral spiral</v>
      </c>
      <c r="B6" s="2">
        <f>SUM('Voting Results'!U1:U30)</f>
        <v>107</v>
      </c>
    </row>
    <row r="7">
      <c r="A7" s="1" t="str">
        <f>'Voting Results'!$Q$1</f>
        <v>Quadruplea - Nes Fury</v>
      </c>
      <c r="B7" s="2">
        <f>SUM('Voting Results'!Q1:Q30)</f>
        <v>104</v>
      </c>
    </row>
    <row r="8">
      <c r="A8" s="1" t="str">
        <f>'Voting Results'!$M$1</f>
        <v>Martin Lueders - Berlin</v>
      </c>
      <c r="B8" s="2">
        <f>SUM('Voting Results'!M1:M30)</f>
        <v>103</v>
      </c>
    </row>
    <row r="9">
      <c r="A9" s="1" t="str">
        <f>'Voting Results'!$H$1</f>
        <v>Carl Saved - What a friend</v>
      </c>
      <c r="B9" s="2">
        <f>SUM('Voting Results'!H1:H33)</f>
        <v>101</v>
      </c>
    </row>
    <row r="10">
      <c r="A10" s="1" t="str">
        <f>'Voting Results'!$T$1</f>
        <v>Saltline - Pierwsze Swiatlo</v>
      </c>
      <c r="B10" s="2">
        <f>SUM('Voting Results'!T1:T30)</f>
        <v>97</v>
      </c>
    </row>
    <row r="11">
      <c r="A11" s="1" t="str">
        <f>'Voting Results'!$O$1</f>
        <v>Pedalsteeldrummer - They Mostly Come At Night... Mostly</v>
      </c>
      <c r="B11" s="2">
        <f>SUM('Voting Results'!O1:O30)</f>
        <v>96</v>
      </c>
    </row>
    <row r="12">
      <c r="A12" s="1" t="str">
        <f>'Voting Results'!$L$1</f>
        <v>Loft Electronics - Furiously Happy Wasp</v>
      </c>
      <c r="B12" s="2">
        <f>SUM('Voting Results'!L1:L32)</f>
        <v>92</v>
      </c>
    </row>
    <row r="13">
      <c r="A13" s="3" t="str">
        <f>'Voting Results'!$W$1</f>
        <v>Thrax - Soundwave Of Fury</v>
      </c>
      <c r="B13" s="4">
        <f>SUM('Voting Results'!W1:W30)</f>
        <v>88</v>
      </c>
    </row>
    <row r="14">
      <c r="A14" s="3" t="str">
        <f>'Voting Results'!$J$1</f>
        <v>Dead Eddy - Furious Restraint</v>
      </c>
      <c r="B14" s="4">
        <f>SUM('Voting Results'!J1:J30)</f>
        <v>87</v>
      </c>
    </row>
    <row r="15">
      <c r="A15" s="3" t="str">
        <f>'Voting Results'!$V$1</f>
        <v>Stunkit - Furious Mono</v>
      </c>
      <c r="B15" s="4">
        <f>SUM('Voting Results'!V1:V33)</f>
        <v>86</v>
      </c>
    </row>
    <row r="16">
      <c r="A16" s="1" t="str">
        <f>'Voting Results'!$R$1</f>
        <v>Radd - Kelly's Umbrella</v>
      </c>
      <c r="B16" s="2">
        <f>SUM('Voting Results'!R1:R33)</f>
        <v>85</v>
      </c>
    </row>
    <row r="17">
      <c r="A17" s="1" t="str">
        <f>'Voting Results'!$X$1</f>
        <v>Xaenima - Fun &amp; Fury</v>
      </c>
      <c r="B17" s="2">
        <f>SUM('Voting Results'!X1:X33)</f>
        <v>84</v>
      </c>
    </row>
    <row r="18">
      <c r="A18" s="1" t="str">
        <f>'Voting Results'!$S$1</f>
        <v>Ruedirena - Psyclops</v>
      </c>
      <c r="B18" s="2">
        <f>SUM('Voting Results'!S1:S34)</f>
        <v>83</v>
      </c>
    </row>
    <row r="19">
      <c r="A19" s="1" t="str">
        <f>'Voting Results'!$N$1</f>
        <v>NitroWheels - September</v>
      </c>
      <c r="B19" s="2">
        <f>SUM('Voting Results'!N1:N40)</f>
        <v>75</v>
      </c>
    </row>
    <row r="20">
      <c r="A20" s="1" t="str">
        <f>'Voting Results'!$E$1</f>
        <v>Besh We(rde) - Wings Of Fury</v>
      </c>
      <c r="B20" s="2">
        <f>SUM('Voting Results'!E1:E50)</f>
        <v>74</v>
      </c>
    </row>
    <row r="21">
      <c r="A21" s="1" t="str">
        <f>'Voting Results'!$D$1</f>
        <v>Ballacr75 - Seven</v>
      </c>
      <c r="B21" s="2">
        <f>SUM('Voting Results'!D1:D52)</f>
        <v>73</v>
      </c>
    </row>
    <row r="22">
      <c r="A22" s="1" t="str">
        <f>'Voting Results'!$C$1</f>
        <v>Abovethoughts - Inter Galactical Rain Storm</v>
      </c>
      <c r="B22" s="2">
        <f>SUM('Voting Results'!C1:C54)</f>
        <v>69</v>
      </c>
    </row>
    <row r="23">
      <c r="A23" s="1" t="str">
        <f>'Voting Results'!$P$1</f>
        <v>Psmacmur - Mono And Missy</v>
      </c>
      <c r="B23" s="2">
        <f>SUM('Voting Results'!P1:P42)</f>
        <v>67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" width="25.5"/>
    <col customWidth="1" min="3" max="25" width="15.13"/>
  </cols>
  <sheetData>
    <row r="1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>
      <c r="A2" s="7">
        <v>41549.81216435185</v>
      </c>
      <c r="B2" s="8" t="s">
        <v>25</v>
      </c>
      <c r="C2" s="9">
        <v>2.0</v>
      </c>
      <c r="D2" s="9">
        <v>2.0</v>
      </c>
      <c r="E2" s="9">
        <v>3.0</v>
      </c>
      <c r="F2" s="9">
        <v>4.0</v>
      </c>
      <c r="G2" s="9">
        <v>4.0</v>
      </c>
      <c r="H2" s="9">
        <v>4.0</v>
      </c>
      <c r="I2" s="9">
        <v>3.0</v>
      </c>
      <c r="J2" s="9">
        <v>2.0</v>
      </c>
      <c r="K2" s="9">
        <v>4.0</v>
      </c>
      <c r="L2" s="9">
        <v>4.0</v>
      </c>
      <c r="M2" s="9">
        <v>4.0</v>
      </c>
      <c r="N2" s="9">
        <v>4.0</v>
      </c>
      <c r="O2" s="9">
        <v>3.0</v>
      </c>
      <c r="P2" s="9">
        <v>2.0</v>
      </c>
      <c r="Q2" s="9">
        <v>5.0</v>
      </c>
      <c r="R2" s="9">
        <v>2.0</v>
      </c>
      <c r="S2" s="9">
        <v>3.0</v>
      </c>
      <c r="T2" s="9">
        <v>4.0</v>
      </c>
      <c r="U2" s="9">
        <v>3.0</v>
      </c>
      <c r="V2" s="9">
        <v>3.0</v>
      </c>
      <c r="W2" s="9">
        <v>3.0</v>
      </c>
      <c r="X2" s="9">
        <v>3.0</v>
      </c>
      <c r="Y2" s="9">
        <v>4.0</v>
      </c>
    </row>
    <row r="3">
      <c r="A3" s="7">
        <v>41549.82361111111</v>
      </c>
      <c r="B3" s="8" t="s">
        <v>26</v>
      </c>
      <c r="C3" s="9">
        <v>2.0</v>
      </c>
      <c r="D3" s="9">
        <v>3.0</v>
      </c>
      <c r="E3" s="9">
        <v>3.0</v>
      </c>
      <c r="F3" s="9">
        <v>4.0</v>
      </c>
      <c r="G3" s="9">
        <v>4.0</v>
      </c>
      <c r="H3" s="9">
        <v>3.0</v>
      </c>
      <c r="I3" s="9">
        <v>4.0</v>
      </c>
      <c r="J3" s="9">
        <v>3.0</v>
      </c>
      <c r="K3" s="9">
        <v>5.0</v>
      </c>
      <c r="L3" s="9">
        <v>4.0</v>
      </c>
      <c r="M3" s="9">
        <v>4.0</v>
      </c>
      <c r="N3" s="9">
        <v>3.0</v>
      </c>
      <c r="O3" s="9">
        <v>3.0</v>
      </c>
      <c r="P3" s="9">
        <v>1.0</v>
      </c>
      <c r="Q3" s="9">
        <v>5.0</v>
      </c>
      <c r="R3" s="9">
        <v>4.0</v>
      </c>
      <c r="S3" s="9">
        <v>2.0</v>
      </c>
      <c r="T3" s="9">
        <v>5.0</v>
      </c>
      <c r="U3" s="9">
        <v>4.0</v>
      </c>
      <c r="V3" s="9">
        <v>2.0</v>
      </c>
      <c r="W3" s="9">
        <v>4.0</v>
      </c>
      <c r="X3" s="9">
        <v>3.0</v>
      </c>
      <c r="Y3" s="9">
        <v>5.0</v>
      </c>
    </row>
    <row r="4">
      <c r="A4" s="7">
        <v>41550.0125462963</v>
      </c>
      <c r="B4" s="8" t="s">
        <v>27</v>
      </c>
      <c r="C4" s="9">
        <v>3.0</v>
      </c>
      <c r="D4" s="9">
        <v>3.0</v>
      </c>
      <c r="E4" s="9">
        <v>3.0</v>
      </c>
      <c r="F4" s="9">
        <v>4.0</v>
      </c>
      <c r="G4" s="9">
        <v>4.0</v>
      </c>
      <c r="H4" s="9">
        <v>5.0</v>
      </c>
      <c r="I4" s="9">
        <v>4.0</v>
      </c>
      <c r="J4" s="9">
        <v>3.0</v>
      </c>
      <c r="K4" s="9">
        <v>4.0</v>
      </c>
      <c r="L4" s="9">
        <v>1.0</v>
      </c>
      <c r="M4" s="9">
        <v>4.0</v>
      </c>
      <c r="N4" s="9">
        <v>3.0</v>
      </c>
      <c r="O4" s="9">
        <v>4.0</v>
      </c>
      <c r="P4" s="9">
        <v>3.0</v>
      </c>
      <c r="Q4" s="9">
        <v>5.0</v>
      </c>
      <c r="R4" s="9">
        <v>4.0</v>
      </c>
      <c r="S4" s="9">
        <v>3.0</v>
      </c>
      <c r="T4" s="9">
        <v>4.0</v>
      </c>
      <c r="U4" s="9">
        <v>3.0</v>
      </c>
      <c r="V4" s="9">
        <v>3.0</v>
      </c>
      <c r="W4" s="9">
        <v>3.0</v>
      </c>
      <c r="X4" s="9">
        <v>3.0</v>
      </c>
      <c r="Y4" s="9">
        <v>4.0</v>
      </c>
    </row>
    <row r="5">
      <c r="A5" s="7">
        <v>41550.69364583334</v>
      </c>
      <c r="B5" s="8" t="s">
        <v>28</v>
      </c>
      <c r="C5" s="9">
        <v>1.0</v>
      </c>
      <c r="D5" s="9">
        <v>2.0</v>
      </c>
      <c r="E5" s="9">
        <v>2.0</v>
      </c>
      <c r="F5" s="9">
        <v>4.0</v>
      </c>
      <c r="G5" s="9">
        <v>5.0</v>
      </c>
      <c r="H5" s="9">
        <v>3.0</v>
      </c>
      <c r="I5" s="9">
        <v>3.0</v>
      </c>
      <c r="J5" s="9">
        <v>2.0</v>
      </c>
      <c r="K5" s="9">
        <v>2.0</v>
      </c>
      <c r="L5" s="9">
        <v>2.0</v>
      </c>
      <c r="M5" s="9">
        <v>3.0</v>
      </c>
      <c r="N5" s="9">
        <v>4.0</v>
      </c>
      <c r="O5" s="9">
        <v>4.0</v>
      </c>
      <c r="P5" s="9">
        <v>3.0</v>
      </c>
      <c r="Q5" s="9">
        <v>3.0</v>
      </c>
      <c r="R5" s="9">
        <v>1.0</v>
      </c>
      <c r="S5" s="9">
        <v>2.0</v>
      </c>
      <c r="T5" s="9">
        <v>2.0</v>
      </c>
      <c r="U5" s="9">
        <v>3.0</v>
      </c>
      <c r="V5" s="9">
        <v>2.0</v>
      </c>
      <c r="W5" s="9">
        <v>2.0</v>
      </c>
      <c r="X5" s="9">
        <v>3.0</v>
      </c>
      <c r="Y5" s="9">
        <v>4.0</v>
      </c>
    </row>
    <row r="6">
      <c r="A6" s="7">
        <v>41550.92490740741</v>
      </c>
      <c r="B6" s="8" t="s">
        <v>29</v>
      </c>
      <c r="C6" s="9">
        <v>4.0</v>
      </c>
      <c r="D6" s="9">
        <v>3.0</v>
      </c>
      <c r="E6" s="9">
        <v>4.0</v>
      </c>
      <c r="F6" s="9">
        <v>4.0</v>
      </c>
      <c r="G6" s="9">
        <v>3.0</v>
      </c>
      <c r="H6" s="9">
        <v>4.0</v>
      </c>
      <c r="I6" s="9">
        <v>5.0</v>
      </c>
      <c r="J6" s="9">
        <v>5.0</v>
      </c>
      <c r="K6" s="9">
        <v>5.0</v>
      </c>
      <c r="L6" s="9">
        <v>4.0</v>
      </c>
      <c r="M6" s="9">
        <v>4.0</v>
      </c>
      <c r="N6" s="9">
        <v>2.0</v>
      </c>
      <c r="O6" s="9">
        <v>5.0</v>
      </c>
      <c r="P6" s="9">
        <v>3.0</v>
      </c>
      <c r="Q6" s="9">
        <v>5.0</v>
      </c>
      <c r="R6" s="9">
        <v>3.0</v>
      </c>
      <c r="S6" s="9">
        <v>1.0</v>
      </c>
      <c r="T6" s="9">
        <v>2.0</v>
      </c>
      <c r="U6" s="9">
        <v>5.0</v>
      </c>
      <c r="V6" s="9">
        <v>3.0</v>
      </c>
      <c r="W6" s="9">
        <v>3.0</v>
      </c>
      <c r="X6" s="9">
        <v>3.0</v>
      </c>
      <c r="Y6" s="9">
        <v>5.0</v>
      </c>
    </row>
    <row r="7">
      <c r="A7" s="7">
        <v>41552.257268518515</v>
      </c>
      <c r="B7" s="8" t="s">
        <v>30</v>
      </c>
      <c r="C7" s="9">
        <v>3.0</v>
      </c>
      <c r="D7" s="9">
        <v>3.0</v>
      </c>
      <c r="E7" s="9">
        <v>3.0</v>
      </c>
      <c r="F7" s="9">
        <v>5.0</v>
      </c>
      <c r="G7" s="9">
        <v>5.0</v>
      </c>
      <c r="H7" s="9">
        <v>5.0</v>
      </c>
      <c r="I7" s="9">
        <v>4.0</v>
      </c>
      <c r="J7" s="9">
        <v>4.0</v>
      </c>
      <c r="K7" s="9">
        <v>5.0</v>
      </c>
      <c r="L7" s="9">
        <v>3.0</v>
      </c>
      <c r="M7" s="9">
        <v>4.0</v>
      </c>
      <c r="N7" s="9">
        <v>4.0</v>
      </c>
      <c r="O7" s="9">
        <v>4.0</v>
      </c>
      <c r="P7" s="9">
        <v>4.0</v>
      </c>
      <c r="Q7" s="9">
        <v>5.0</v>
      </c>
      <c r="R7" s="9">
        <v>4.0</v>
      </c>
      <c r="S7" s="9">
        <v>4.0</v>
      </c>
      <c r="T7" s="9">
        <v>3.0</v>
      </c>
      <c r="U7" s="9">
        <v>5.0</v>
      </c>
      <c r="V7" s="9">
        <v>3.0</v>
      </c>
      <c r="W7" s="9">
        <v>4.0</v>
      </c>
      <c r="X7" s="9">
        <v>4.0</v>
      </c>
      <c r="Y7" s="9">
        <v>4.0</v>
      </c>
    </row>
    <row r="8">
      <c r="A8" s="7">
        <v>41553.67045138889</v>
      </c>
      <c r="B8" s="8" t="s">
        <v>31</v>
      </c>
      <c r="C8" s="9">
        <v>1.0</v>
      </c>
      <c r="D8" s="9">
        <v>1.0</v>
      </c>
      <c r="E8" s="9">
        <v>1.0</v>
      </c>
      <c r="F8" s="9">
        <v>5.0</v>
      </c>
      <c r="G8" s="9">
        <v>4.0</v>
      </c>
      <c r="H8" s="9">
        <v>2.0</v>
      </c>
      <c r="I8" s="9">
        <v>1.0</v>
      </c>
      <c r="J8" s="9">
        <v>1.0</v>
      </c>
      <c r="K8" s="9">
        <v>1.0</v>
      </c>
      <c r="L8" s="9">
        <v>2.0</v>
      </c>
      <c r="M8" s="9">
        <v>4.0</v>
      </c>
      <c r="N8" s="9">
        <v>1.0</v>
      </c>
      <c r="O8" s="9">
        <v>4.0</v>
      </c>
      <c r="P8" s="9">
        <v>1.0</v>
      </c>
      <c r="Q8" s="9">
        <v>1.0</v>
      </c>
      <c r="R8" s="9">
        <v>3.0</v>
      </c>
      <c r="S8" s="9">
        <v>1.0</v>
      </c>
      <c r="T8" s="9">
        <v>1.0</v>
      </c>
      <c r="U8" s="9">
        <v>1.0</v>
      </c>
      <c r="V8" s="9">
        <v>2.0</v>
      </c>
      <c r="W8" s="9">
        <v>1.0</v>
      </c>
      <c r="X8" s="9">
        <v>1.0</v>
      </c>
      <c r="Y8" s="9">
        <v>3.0</v>
      </c>
    </row>
    <row r="9">
      <c r="A9" s="7">
        <v>41553.759039351855</v>
      </c>
      <c r="B9" s="8" t="s">
        <v>32</v>
      </c>
      <c r="C9" s="9">
        <v>2.0</v>
      </c>
      <c r="D9" s="9">
        <v>2.0</v>
      </c>
      <c r="E9" s="9">
        <v>3.0</v>
      </c>
      <c r="F9" s="9">
        <v>5.0</v>
      </c>
      <c r="G9" s="9">
        <v>5.0</v>
      </c>
      <c r="H9" s="9">
        <v>1.0</v>
      </c>
      <c r="I9" s="9">
        <v>5.0</v>
      </c>
      <c r="J9" s="9">
        <v>2.0</v>
      </c>
      <c r="K9" s="9">
        <v>3.0</v>
      </c>
      <c r="L9" s="9">
        <v>4.0</v>
      </c>
      <c r="M9" s="9">
        <v>4.0</v>
      </c>
      <c r="N9" s="9">
        <v>4.0</v>
      </c>
      <c r="O9" s="9">
        <v>4.0</v>
      </c>
      <c r="P9" s="9">
        <v>2.0</v>
      </c>
      <c r="Q9" s="9">
        <v>3.0</v>
      </c>
      <c r="R9" s="9">
        <v>4.0</v>
      </c>
      <c r="S9" s="9">
        <v>3.0</v>
      </c>
      <c r="T9" s="9">
        <v>3.0</v>
      </c>
      <c r="U9" s="9">
        <v>4.0</v>
      </c>
      <c r="V9" s="9">
        <v>4.0</v>
      </c>
      <c r="W9" s="9">
        <v>3.0</v>
      </c>
      <c r="X9" s="9">
        <v>4.0</v>
      </c>
      <c r="Y9" s="9">
        <v>4.0</v>
      </c>
    </row>
    <row r="10">
      <c r="A10" s="7">
        <v>41554.48263888889</v>
      </c>
      <c r="B10" s="8" t="s">
        <v>33</v>
      </c>
      <c r="C10" s="9">
        <v>3.0</v>
      </c>
      <c r="D10" s="9">
        <v>3.0</v>
      </c>
      <c r="E10" s="9">
        <v>3.0</v>
      </c>
      <c r="F10" s="9">
        <v>5.0</v>
      </c>
      <c r="G10" s="9">
        <v>5.0</v>
      </c>
      <c r="H10" s="9">
        <v>4.0</v>
      </c>
      <c r="I10" s="9">
        <v>4.0</v>
      </c>
      <c r="J10" s="9">
        <v>3.0</v>
      </c>
      <c r="K10" s="9">
        <v>4.0</v>
      </c>
      <c r="L10" s="9">
        <v>2.0</v>
      </c>
      <c r="M10" s="9">
        <v>5.0</v>
      </c>
      <c r="N10" s="9">
        <v>4.0</v>
      </c>
      <c r="O10" s="9">
        <v>3.0</v>
      </c>
      <c r="P10" s="9">
        <v>3.0</v>
      </c>
      <c r="Q10" s="9">
        <v>2.0</v>
      </c>
      <c r="R10" s="9">
        <v>3.0</v>
      </c>
      <c r="S10" s="9">
        <v>3.0</v>
      </c>
      <c r="T10" s="9">
        <v>4.0</v>
      </c>
      <c r="U10" s="9">
        <v>5.0</v>
      </c>
      <c r="V10" s="9">
        <v>3.0</v>
      </c>
      <c r="W10" s="9">
        <v>3.0</v>
      </c>
      <c r="X10" s="9">
        <v>3.0</v>
      </c>
      <c r="Y10" s="9">
        <v>5.0</v>
      </c>
    </row>
    <row r="11">
      <c r="A11" s="7">
        <v>41557.863587962966</v>
      </c>
      <c r="B11" s="8" t="s">
        <v>34</v>
      </c>
      <c r="C11" s="9">
        <v>3.0</v>
      </c>
      <c r="D11" s="9">
        <v>2.0</v>
      </c>
      <c r="E11" s="9">
        <v>2.0</v>
      </c>
      <c r="F11" s="9">
        <v>4.0</v>
      </c>
      <c r="G11" s="9">
        <v>4.0</v>
      </c>
      <c r="H11" s="9">
        <v>3.0</v>
      </c>
      <c r="I11" s="9">
        <v>4.0</v>
      </c>
      <c r="J11" s="9">
        <v>3.0</v>
      </c>
      <c r="K11" s="9">
        <v>3.0</v>
      </c>
      <c r="L11" s="9">
        <v>5.0</v>
      </c>
      <c r="M11" s="9">
        <v>3.0</v>
      </c>
      <c r="N11" s="9">
        <v>2.0</v>
      </c>
      <c r="O11" s="9">
        <v>3.0</v>
      </c>
      <c r="P11" s="9">
        <v>2.0</v>
      </c>
      <c r="Q11" s="9">
        <v>1.0</v>
      </c>
      <c r="R11" s="9">
        <v>3.0</v>
      </c>
      <c r="S11" s="9">
        <v>3.0</v>
      </c>
      <c r="T11" s="9">
        <v>3.0</v>
      </c>
      <c r="U11" s="9">
        <v>5.0</v>
      </c>
      <c r="V11" s="9">
        <v>3.0</v>
      </c>
      <c r="W11" s="9">
        <v>3.0</v>
      </c>
      <c r="X11" s="9">
        <v>2.0</v>
      </c>
      <c r="Y11" s="9">
        <v>4.0</v>
      </c>
    </row>
    <row r="12">
      <c r="A12" s="7">
        <v>41557.911469907405</v>
      </c>
      <c r="B12" s="8" t="s">
        <v>35</v>
      </c>
      <c r="C12" s="9">
        <v>2.0</v>
      </c>
      <c r="D12" s="9">
        <v>2.0</v>
      </c>
      <c r="E12" s="9">
        <v>2.0</v>
      </c>
      <c r="F12" s="9">
        <v>4.0</v>
      </c>
      <c r="G12" s="9">
        <v>4.0</v>
      </c>
      <c r="H12" s="9">
        <v>3.0</v>
      </c>
      <c r="I12" s="9">
        <v>3.0</v>
      </c>
      <c r="J12" s="9">
        <v>2.0</v>
      </c>
      <c r="K12" s="9">
        <v>4.0</v>
      </c>
      <c r="L12" s="9">
        <v>3.0</v>
      </c>
      <c r="M12" s="9">
        <v>3.0</v>
      </c>
      <c r="N12" s="9">
        <v>1.0</v>
      </c>
      <c r="O12" s="9">
        <v>2.0</v>
      </c>
      <c r="P12" s="9">
        <v>2.0</v>
      </c>
      <c r="Q12" s="9">
        <v>3.0</v>
      </c>
      <c r="R12" s="9">
        <v>2.0</v>
      </c>
      <c r="S12" s="9">
        <v>2.0</v>
      </c>
      <c r="T12" s="9">
        <v>3.0</v>
      </c>
      <c r="U12" s="9">
        <v>2.0</v>
      </c>
      <c r="V12" s="9">
        <v>2.0</v>
      </c>
      <c r="W12" s="9">
        <v>2.0</v>
      </c>
      <c r="X12" s="9">
        <v>3.0</v>
      </c>
      <c r="Y12" s="9">
        <v>3.0</v>
      </c>
    </row>
    <row r="13">
      <c r="A13" s="7">
        <v>41558.6425</v>
      </c>
      <c r="B13" s="8" t="s">
        <v>36</v>
      </c>
      <c r="C13" s="9">
        <v>3.0</v>
      </c>
      <c r="D13" s="9">
        <v>3.0</v>
      </c>
      <c r="E13" s="9">
        <v>3.0</v>
      </c>
      <c r="F13" s="9">
        <v>5.0</v>
      </c>
      <c r="G13" s="9">
        <v>5.0</v>
      </c>
      <c r="H13" s="9">
        <v>5.0</v>
      </c>
      <c r="I13" s="9">
        <v>5.0</v>
      </c>
      <c r="J13" s="9">
        <v>4.0</v>
      </c>
      <c r="K13" s="9">
        <v>3.0</v>
      </c>
      <c r="L13" s="9">
        <v>3.0</v>
      </c>
      <c r="M13" s="9">
        <v>3.0</v>
      </c>
      <c r="N13" s="9">
        <v>2.0</v>
      </c>
      <c r="O13" s="9">
        <v>2.0</v>
      </c>
      <c r="P13" s="9">
        <v>2.0</v>
      </c>
      <c r="Q13" s="9">
        <v>4.0</v>
      </c>
      <c r="R13" s="9">
        <v>3.0</v>
      </c>
      <c r="S13" s="9">
        <v>3.0</v>
      </c>
      <c r="T13" s="9">
        <v>4.0</v>
      </c>
      <c r="U13" s="9">
        <v>3.0</v>
      </c>
      <c r="V13" s="9">
        <v>4.0</v>
      </c>
      <c r="W13" s="9">
        <v>3.0</v>
      </c>
      <c r="X13" s="9">
        <v>1.0</v>
      </c>
      <c r="Y13" s="9">
        <v>4.0</v>
      </c>
    </row>
    <row r="14">
      <c r="A14" s="7">
        <v>41559.64059027778</v>
      </c>
      <c r="B14" s="8" t="s">
        <v>37</v>
      </c>
      <c r="C14" s="9">
        <v>5.0</v>
      </c>
      <c r="D14" s="9">
        <v>2.0</v>
      </c>
      <c r="E14" s="9">
        <v>3.0</v>
      </c>
      <c r="F14" s="9">
        <v>4.0</v>
      </c>
      <c r="G14" s="9">
        <v>4.0</v>
      </c>
      <c r="H14" s="9">
        <v>4.0</v>
      </c>
      <c r="I14" s="9">
        <v>5.0</v>
      </c>
      <c r="J14" s="9">
        <v>5.0</v>
      </c>
      <c r="K14" s="9">
        <v>5.0</v>
      </c>
      <c r="L14" s="9">
        <v>4.0</v>
      </c>
      <c r="M14" s="9">
        <v>3.0</v>
      </c>
      <c r="N14" s="9">
        <v>2.0</v>
      </c>
      <c r="O14" s="9">
        <v>5.0</v>
      </c>
      <c r="P14" s="9">
        <v>2.0</v>
      </c>
      <c r="Q14" s="9">
        <v>3.0</v>
      </c>
      <c r="R14" s="9">
        <v>4.0</v>
      </c>
      <c r="S14" s="9">
        <v>4.0</v>
      </c>
      <c r="T14" s="9">
        <v>4.0</v>
      </c>
      <c r="U14" s="9">
        <v>4.0</v>
      </c>
      <c r="V14" s="9">
        <v>3.0</v>
      </c>
      <c r="W14" s="9">
        <v>3.0</v>
      </c>
      <c r="X14" s="9">
        <v>3.0</v>
      </c>
      <c r="Y14" s="9">
        <v>3.0</v>
      </c>
    </row>
    <row r="15">
      <c r="A15" s="7">
        <v>41559.92025462963</v>
      </c>
      <c r="B15" s="8" t="s">
        <v>38</v>
      </c>
      <c r="C15" s="9">
        <v>3.0</v>
      </c>
      <c r="D15" s="9">
        <v>1.0</v>
      </c>
      <c r="E15" s="9">
        <v>3.0</v>
      </c>
      <c r="F15" s="9">
        <v>3.0</v>
      </c>
      <c r="G15" s="9">
        <v>4.0</v>
      </c>
      <c r="H15" s="9">
        <v>4.0</v>
      </c>
      <c r="I15" s="9">
        <v>3.0</v>
      </c>
      <c r="J15" s="9">
        <v>4.0</v>
      </c>
      <c r="K15" s="9">
        <v>5.0</v>
      </c>
      <c r="L15" s="9">
        <v>1.0</v>
      </c>
      <c r="M15" s="9">
        <v>5.0</v>
      </c>
      <c r="N15" s="9">
        <v>4.0</v>
      </c>
      <c r="O15" s="9">
        <v>1.0</v>
      </c>
      <c r="P15" s="9">
        <v>3.0</v>
      </c>
      <c r="Q15" s="9">
        <v>3.0</v>
      </c>
      <c r="R15" s="9">
        <v>4.0</v>
      </c>
      <c r="S15" s="9">
        <v>3.0</v>
      </c>
      <c r="T15" s="9">
        <v>5.0</v>
      </c>
      <c r="U15" s="9">
        <v>1.0</v>
      </c>
      <c r="V15" s="9">
        <v>4.0</v>
      </c>
      <c r="W15" s="9">
        <v>4.0</v>
      </c>
      <c r="X15" s="9">
        <v>4.0</v>
      </c>
      <c r="Y15" s="9">
        <v>5.0</v>
      </c>
    </row>
    <row r="16">
      <c r="A16" s="7">
        <v>41560.48050925926</v>
      </c>
      <c r="B16" s="8" t="s">
        <v>39</v>
      </c>
      <c r="C16" s="9">
        <v>1.0</v>
      </c>
      <c r="D16" s="9">
        <v>2.0</v>
      </c>
      <c r="E16" s="9">
        <v>1.0</v>
      </c>
      <c r="F16" s="9">
        <v>3.0</v>
      </c>
      <c r="G16" s="9">
        <v>2.0</v>
      </c>
      <c r="H16" s="9">
        <v>2.0</v>
      </c>
      <c r="I16" s="9">
        <v>3.0</v>
      </c>
      <c r="J16" s="9">
        <v>2.0</v>
      </c>
      <c r="K16" s="9">
        <v>5.0</v>
      </c>
      <c r="L16" s="9">
        <v>2.0</v>
      </c>
      <c r="M16" s="9">
        <v>1.0</v>
      </c>
      <c r="N16" s="9">
        <v>1.0</v>
      </c>
      <c r="O16" s="9">
        <v>4.0</v>
      </c>
      <c r="P16" s="9">
        <v>1.0</v>
      </c>
      <c r="Q16" s="9">
        <v>2.0</v>
      </c>
      <c r="R16" s="9">
        <v>1.0</v>
      </c>
      <c r="S16" s="9">
        <v>4.0</v>
      </c>
      <c r="T16" s="9">
        <v>3.0</v>
      </c>
      <c r="U16" s="9">
        <v>1.0</v>
      </c>
      <c r="V16" s="9">
        <v>1.0</v>
      </c>
      <c r="W16" s="9">
        <v>3.0</v>
      </c>
      <c r="X16" s="9">
        <v>2.0</v>
      </c>
      <c r="Y16" s="9">
        <v>3.0</v>
      </c>
    </row>
    <row r="17">
      <c r="A17" s="7">
        <v>41560.50871527778</v>
      </c>
      <c r="B17" s="8" t="s">
        <v>40</v>
      </c>
      <c r="C17" s="9">
        <v>2.0</v>
      </c>
      <c r="D17" s="9">
        <v>3.0</v>
      </c>
      <c r="E17" s="9">
        <v>3.0</v>
      </c>
      <c r="F17" s="9">
        <v>4.0</v>
      </c>
      <c r="G17" s="9">
        <v>5.0</v>
      </c>
      <c r="H17" s="9">
        <v>3.0</v>
      </c>
      <c r="I17" s="9">
        <v>5.0</v>
      </c>
      <c r="J17" s="9">
        <v>3.0</v>
      </c>
      <c r="K17" s="9">
        <v>3.0</v>
      </c>
      <c r="L17" s="9">
        <v>3.0</v>
      </c>
      <c r="M17" s="9">
        <v>3.0</v>
      </c>
      <c r="N17" s="9">
        <v>3.0</v>
      </c>
      <c r="O17" s="9">
        <v>5.0</v>
      </c>
      <c r="P17" s="9">
        <v>2.0</v>
      </c>
      <c r="Q17" s="9">
        <v>5.0</v>
      </c>
      <c r="R17" s="9">
        <v>5.0</v>
      </c>
      <c r="S17" s="9">
        <v>2.0</v>
      </c>
      <c r="T17" s="9">
        <v>3.0</v>
      </c>
      <c r="U17" s="9">
        <v>3.0</v>
      </c>
      <c r="V17" s="9">
        <v>1.0</v>
      </c>
      <c r="W17" s="9">
        <v>3.0</v>
      </c>
      <c r="X17" s="9">
        <v>4.0</v>
      </c>
      <c r="Y17" s="9">
        <v>4.0</v>
      </c>
    </row>
    <row r="18">
      <c r="A18" s="7">
        <v>41560.5691087963</v>
      </c>
      <c r="B18" s="8" t="s">
        <v>41</v>
      </c>
      <c r="C18" s="9">
        <v>3.0</v>
      </c>
      <c r="D18" s="9">
        <v>3.0</v>
      </c>
      <c r="E18" s="9">
        <v>3.0</v>
      </c>
      <c r="F18" s="9">
        <v>5.0</v>
      </c>
      <c r="G18" s="9">
        <v>4.0</v>
      </c>
      <c r="H18" s="9">
        <v>4.0</v>
      </c>
      <c r="I18" s="9">
        <v>4.0</v>
      </c>
      <c r="J18" s="9">
        <v>4.0</v>
      </c>
      <c r="K18" s="9">
        <v>1.0</v>
      </c>
      <c r="L18" s="9">
        <v>5.0</v>
      </c>
      <c r="M18" s="9">
        <v>5.0</v>
      </c>
      <c r="N18" s="9">
        <v>4.0</v>
      </c>
      <c r="O18" s="9">
        <v>5.0</v>
      </c>
      <c r="P18" s="9">
        <v>5.0</v>
      </c>
      <c r="Q18" s="9">
        <v>4.0</v>
      </c>
      <c r="R18" s="9">
        <v>3.0</v>
      </c>
      <c r="S18" s="9">
        <v>5.0</v>
      </c>
      <c r="T18" s="9">
        <v>5.0</v>
      </c>
      <c r="U18" s="9">
        <v>5.0</v>
      </c>
      <c r="V18" s="9">
        <v>4.0</v>
      </c>
      <c r="W18" s="9">
        <v>4.0</v>
      </c>
      <c r="X18" s="9">
        <v>3.0</v>
      </c>
      <c r="Y18" s="9">
        <v>5.0</v>
      </c>
    </row>
    <row r="19">
      <c r="A19" s="7">
        <v>41560.608819444446</v>
      </c>
      <c r="B19" s="8" t="s">
        <v>42</v>
      </c>
      <c r="C19" s="9">
        <v>3.0</v>
      </c>
      <c r="D19" s="9">
        <v>3.0</v>
      </c>
      <c r="E19" s="9">
        <v>4.0</v>
      </c>
      <c r="F19" s="9">
        <v>4.0</v>
      </c>
      <c r="G19" s="9">
        <v>4.0</v>
      </c>
      <c r="H19" s="9">
        <v>5.0</v>
      </c>
      <c r="I19" s="9">
        <v>3.0</v>
      </c>
      <c r="J19" s="9">
        <v>3.0</v>
      </c>
      <c r="K19" s="9">
        <v>3.0</v>
      </c>
      <c r="L19" s="9">
        <v>4.0</v>
      </c>
      <c r="M19" s="9">
        <v>3.0</v>
      </c>
      <c r="N19" s="9">
        <v>3.0</v>
      </c>
      <c r="O19" s="9">
        <v>2.0</v>
      </c>
      <c r="P19" s="9">
        <v>3.0</v>
      </c>
      <c r="Q19" s="9">
        <v>5.0</v>
      </c>
      <c r="R19" s="9">
        <v>3.0</v>
      </c>
      <c r="S19" s="9">
        <v>3.0</v>
      </c>
      <c r="T19" s="9">
        <v>3.0</v>
      </c>
      <c r="U19" s="9">
        <v>4.0</v>
      </c>
      <c r="V19" s="9">
        <v>3.0</v>
      </c>
      <c r="W19" s="9">
        <v>3.0</v>
      </c>
      <c r="X19" s="9">
        <v>3.0</v>
      </c>
      <c r="Y19" s="9">
        <v>4.0</v>
      </c>
    </row>
    <row r="20">
      <c r="A20" s="7">
        <v>41560.68226851852</v>
      </c>
      <c r="B20" s="8" t="s">
        <v>43</v>
      </c>
      <c r="C20" s="9">
        <v>3.0</v>
      </c>
      <c r="D20" s="9">
        <v>4.0</v>
      </c>
      <c r="E20" s="9">
        <v>2.0</v>
      </c>
      <c r="F20" s="9">
        <v>4.0</v>
      </c>
      <c r="G20" s="9">
        <v>5.0</v>
      </c>
      <c r="H20" s="9">
        <v>3.0</v>
      </c>
      <c r="I20" s="9">
        <v>5.0</v>
      </c>
      <c r="J20" s="9">
        <v>4.0</v>
      </c>
      <c r="K20" s="9">
        <v>5.0</v>
      </c>
      <c r="L20" s="9">
        <v>2.0</v>
      </c>
      <c r="M20" s="9">
        <v>3.0</v>
      </c>
      <c r="N20" s="9">
        <v>1.0</v>
      </c>
      <c r="O20" s="9">
        <v>4.0</v>
      </c>
      <c r="P20" s="9">
        <v>1.0</v>
      </c>
      <c r="Q20" s="9">
        <v>3.0</v>
      </c>
      <c r="R20" s="9">
        <v>2.0</v>
      </c>
      <c r="S20" s="9">
        <v>2.0</v>
      </c>
      <c r="T20" s="9">
        <v>3.0</v>
      </c>
      <c r="U20" s="9">
        <v>4.0</v>
      </c>
      <c r="V20" s="9">
        <v>2.0</v>
      </c>
      <c r="W20" s="9">
        <v>1.0</v>
      </c>
      <c r="X20" s="9">
        <v>1.0</v>
      </c>
      <c r="Y20" s="9">
        <v>5.0</v>
      </c>
    </row>
    <row r="21">
      <c r="A21" s="7">
        <v>41561.102372685185</v>
      </c>
      <c r="B21" s="8" t="s">
        <v>44</v>
      </c>
      <c r="C21" s="9">
        <v>1.0</v>
      </c>
      <c r="D21" s="9">
        <v>2.0</v>
      </c>
      <c r="E21" s="9">
        <v>1.0</v>
      </c>
      <c r="F21" s="9">
        <v>5.0</v>
      </c>
      <c r="G21" s="9">
        <v>4.0</v>
      </c>
      <c r="H21" s="9">
        <v>5.0</v>
      </c>
      <c r="I21" s="9">
        <v>4.0</v>
      </c>
      <c r="J21" s="9">
        <v>3.0</v>
      </c>
      <c r="K21" s="9">
        <v>4.0</v>
      </c>
      <c r="L21" s="9">
        <v>4.0</v>
      </c>
      <c r="M21" s="9">
        <v>1.0</v>
      </c>
      <c r="N21" s="9">
        <v>1.0</v>
      </c>
      <c r="O21" s="9">
        <v>4.0</v>
      </c>
      <c r="P21" s="9">
        <v>1.0</v>
      </c>
      <c r="Q21" s="9">
        <v>3.0</v>
      </c>
      <c r="R21" s="9">
        <v>1.0</v>
      </c>
      <c r="S21" s="9">
        <v>2.0</v>
      </c>
      <c r="T21" s="9">
        <v>2.0</v>
      </c>
      <c r="U21" s="9">
        <v>5.0</v>
      </c>
      <c r="V21" s="9">
        <v>1.0</v>
      </c>
      <c r="W21" s="9">
        <v>3.0</v>
      </c>
      <c r="X21" s="9">
        <v>3.0</v>
      </c>
      <c r="Y21" s="9">
        <v>5.0</v>
      </c>
    </row>
    <row r="22">
      <c r="A22" s="7">
        <v>41561.43204861111</v>
      </c>
      <c r="B22" s="8" t="s">
        <v>45</v>
      </c>
      <c r="C22" s="9">
        <v>1.0</v>
      </c>
      <c r="D22" s="9">
        <v>3.0</v>
      </c>
      <c r="E22" s="9">
        <v>2.0</v>
      </c>
      <c r="F22" s="9">
        <v>5.0</v>
      </c>
      <c r="G22" s="9">
        <v>1.0</v>
      </c>
      <c r="H22" s="9">
        <v>4.0</v>
      </c>
      <c r="I22" s="9">
        <v>4.0</v>
      </c>
      <c r="J22" s="9">
        <v>2.0</v>
      </c>
      <c r="K22" s="9">
        <v>4.0</v>
      </c>
      <c r="L22" s="9">
        <v>3.0</v>
      </c>
      <c r="M22" s="9">
        <v>3.0</v>
      </c>
      <c r="N22" s="9">
        <v>2.0</v>
      </c>
      <c r="O22" s="9">
        <v>3.0</v>
      </c>
      <c r="P22" s="9">
        <v>2.0</v>
      </c>
      <c r="Q22" s="9">
        <v>3.0</v>
      </c>
      <c r="R22" s="9">
        <v>4.0</v>
      </c>
      <c r="S22" s="9">
        <v>3.0</v>
      </c>
      <c r="T22" s="9">
        <v>3.0</v>
      </c>
      <c r="U22" s="9">
        <v>4.0</v>
      </c>
      <c r="V22" s="9">
        <v>3.0</v>
      </c>
      <c r="W22" s="9">
        <v>3.0</v>
      </c>
      <c r="X22" s="9">
        <v>3.0</v>
      </c>
      <c r="Y22" s="9">
        <v>4.0</v>
      </c>
    </row>
    <row r="23">
      <c r="A23" s="7">
        <v>41562.03196759259</v>
      </c>
      <c r="B23" s="8" t="s">
        <v>46</v>
      </c>
      <c r="C23" s="9">
        <v>3.0</v>
      </c>
      <c r="D23" s="9">
        <v>1.0</v>
      </c>
      <c r="E23" s="9">
        <v>1.0</v>
      </c>
      <c r="F23" s="9">
        <v>3.0</v>
      </c>
      <c r="G23" s="9">
        <v>2.0</v>
      </c>
      <c r="H23" s="9">
        <v>3.0</v>
      </c>
      <c r="I23" s="9">
        <v>5.0</v>
      </c>
      <c r="J23" s="9">
        <v>4.0</v>
      </c>
      <c r="K23" s="9">
        <v>3.0</v>
      </c>
      <c r="L23" s="9">
        <v>4.0</v>
      </c>
      <c r="M23" s="9">
        <v>2.0</v>
      </c>
      <c r="N23" s="9">
        <v>1.0</v>
      </c>
      <c r="O23" s="9">
        <v>1.0</v>
      </c>
      <c r="P23" s="9">
        <v>1.0</v>
      </c>
      <c r="Q23" s="9">
        <v>4.0</v>
      </c>
      <c r="R23" s="9">
        <v>2.0</v>
      </c>
      <c r="S23" s="9">
        <v>2.0</v>
      </c>
      <c r="T23" s="9">
        <v>1.0</v>
      </c>
      <c r="U23" s="9">
        <v>5.0</v>
      </c>
      <c r="V23" s="9">
        <v>4.0</v>
      </c>
      <c r="W23" s="9">
        <v>2.0</v>
      </c>
      <c r="X23" s="9">
        <v>3.0</v>
      </c>
      <c r="Y23" s="9">
        <v>3.0</v>
      </c>
    </row>
    <row r="24">
      <c r="A24" s="7">
        <v>41562.04503472222</v>
      </c>
      <c r="B24" s="8" t="s">
        <v>47</v>
      </c>
      <c r="C24" s="9">
        <v>1.0</v>
      </c>
      <c r="D24" s="9">
        <v>1.0</v>
      </c>
      <c r="E24" s="9">
        <v>4.0</v>
      </c>
      <c r="F24" s="9">
        <v>3.0</v>
      </c>
      <c r="G24" s="9">
        <v>5.0</v>
      </c>
      <c r="H24" s="9">
        <v>1.0</v>
      </c>
      <c r="I24" s="9">
        <v>4.0</v>
      </c>
      <c r="J24" s="9">
        <v>1.0</v>
      </c>
      <c r="K24" s="9">
        <v>5.0</v>
      </c>
      <c r="L24" s="9">
        <v>2.0</v>
      </c>
      <c r="M24" s="9">
        <v>1.0</v>
      </c>
      <c r="N24" s="9">
        <v>2.0</v>
      </c>
      <c r="O24" s="9">
        <v>1.0</v>
      </c>
      <c r="P24" s="9">
        <v>1.0</v>
      </c>
      <c r="Q24" s="9">
        <v>2.0</v>
      </c>
      <c r="R24" s="9">
        <v>1.0</v>
      </c>
      <c r="S24" s="9">
        <v>1.0</v>
      </c>
      <c r="T24" s="9">
        <v>3.0</v>
      </c>
      <c r="U24" s="9">
        <v>4.0</v>
      </c>
      <c r="V24" s="9">
        <v>1.0</v>
      </c>
      <c r="W24" s="9">
        <v>3.0</v>
      </c>
      <c r="X24" s="9">
        <v>1.0</v>
      </c>
      <c r="Y24" s="9">
        <v>1.0</v>
      </c>
    </row>
    <row r="25">
      <c r="A25" s="7">
        <v>41562.38009259259</v>
      </c>
      <c r="B25" s="8" t="s">
        <v>48</v>
      </c>
      <c r="C25" s="9">
        <v>3.0</v>
      </c>
      <c r="D25" s="9">
        <v>4.0</v>
      </c>
      <c r="E25" s="9">
        <v>1.0</v>
      </c>
      <c r="F25" s="9">
        <v>3.0</v>
      </c>
      <c r="G25" s="9">
        <v>5.0</v>
      </c>
      <c r="H25" s="9">
        <v>4.0</v>
      </c>
      <c r="I25" s="9">
        <v>4.0</v>
      </c>
      <c r="J25" s="9">
        <v>4.0</v>
      </c>
      <c r="K25" s="9">
        <v>4.0</v>
      </c>
      <c r="L25" s="9">
        <v>4.0</v>
      </c>
      <c r="M25" s="9">
        <v>4.0</v>
      </c>
      <c r="N25" s="9">
        <v>3.0</v>
      </c>
      <c r="O25" s="9">
        <v>4.0</v>
      </c>
      <c r="P25" s="9">
        <v>4.0</v>
      </c>
      <c r="Q25" s="9">
        <v>5.0</v>
      </c>
      <c r="R25" s="9">
        <v>4.0</v>
      </c>
      <c r="S25" s="9">
        <v>4.0</v>
      </c>
      <c r="T25" s="9">
        <v>4.0</v>
      </c>
      <c r="U25" s="9">
        <v>4.0</v>
      </c>
      <c r="V25" s="9">
        <v>5.0</v>
      </c>
      <c r="W25" s="9">
        <v>5.0</v>
      </c>
      <c r="X25" s="9">
        <v>4.0</v>
      </c>
      <c r="Y25" s="9">
        <v>4.0</v>
      </c>
    </row>
    <row r="26">
      <c r="A26" s="7">
        <v>41562.56565972222</v>
      </c>
      <c r="B26" s="8" t="s">
        <v>49</v>
      </c>
      <c r="C26" s="9">
        <v>3.0</v>
      </c>
      <c r="D26" s="9">
        <v>4.0</v>
      </c>
      <c r="E26" s="9">
        <v>3.0</v>
      </c>
      <c r="F26" s="9">
        <v>5.0</v>
      </c>
      <c r="G26" s="9">
        <v>4.0</v>
      </c>
      <c r="H26" s="9">
        <v>4.0</v>
      </c>
      <c r="I26" s="9">
        <v>1.0</v>
      </c>
      <c r="J26" s="9">
        <v>3.0</v>
      </c>
      <c r="K26" s="9">
        <v>4.0</v>
      </c>
      <c r="L26" s="9">
        <v>4.0</v>
      </c>
      <c r="M26" s="9">
        <v>5.0</v>
      </c>
      <c r="N26" s="9">
        <v>3.0</v>
      </c>
      <c r="O26" s="9">
        <v>3.0</v>
      </c>
      <c r="P26" s="9">
        <v>2.0</v>
      </c>
      <c r="Q26" s="9">
        <v>5.0</v>
      </c>
      <c r="R26" s="9">
        <v>3.0</v>
      </c>
      <c r="S26" s="9">
        <v>4.0</v>
      </c>
      <c r="T26" s="9">
        <v>5.0</v>
      </c>
      <c r="U26" s="9">
        <v>5.0</v>
      </c>
      <c r="V26" s="9">
        <v>5.0</v>
      </c>
      <c r="W26" s="9">
        <v>4.0</v>
      </c>
      <c r="X26" s="9">
        <v>5.0</v>
      </c>
      <c r="Y26" s="9">
        <v>4.0</v>
      </c>
    </row>
    <row r="27">
      <c r="A27" s="7">
        <v>41562.877754629626</v>
      </c>
      <c r="B27" s="8" t="s">
        <v>50</v>
      </c>
      <c r="C27" s="9">
        <v>3.0</v>
      </c>
      <c r="D27" s="9">
        <v>4.0</v>
      </c>
      <c r="E27" s="9">
        <v>3.0</v>
      </c>
      <c r="F27" s="9">
        <v>5.0</v>
      </c>
      <c r="G27" s="9">
        <v>4.0</v>
      </c>
      <c r="H27" s="9">
        <v>4.0</v>
      </c>
      <c r="I27" s="9">
        <v>4.0</v>
      </c>
      <c r="J27" s="9">
        <v>3.0</v>
      </c>
      <c r="K27" s="9">
        <v>4.0</v>
      </c>
      <c r="L27" s="9">
        <v>4.0</v>
      </c>
      <c r="M27" s="9">
        <v>5.0</v>
      </c>
      <c r="N27" s="9">
        <v>3.0</v>
      </c>
      <c r="O27" s="9">
        <v>3.0</v>
      </c>
      <c r="P27" s="9">
        <v>3.0</v>
      </c>
      <c r="Q27" s="9">
        <v>4.0</v>
      </c>
      <c r="R27" s="9">
        <v>3.0</v>
      </c>
      <c r="S27" s="9">
        <v>3.0</v>
      </c>
      <c r="T27" s="9">
        <v>4.0</v>
      </c>
      <c r="U27" s="9">
        <v>4.0</v>
      </c>
      <c r="V27" s="9">
        <v>3.0</v>
      </c>
      <c r="W27" s="9">
        <v>4.0</v>
      </c>
      <c r="X27" s="9">
        <v>4.0</v>
      </c>
      <c r="Y27" s="9">
        <v>1.0</v>
      </c>
    </row>
    <row r="28">
      <c r="A28" s="7">
        <v>41563.079780092594</v>
      </c>
      <c r="B28" s="8" t="s">
        <v>51</v>
      </c>
      <c r="C28" s="9">
        <v>2.0</v>
      </c>
      <c r="D28" s="9">
        <v>2.0</v>
      </c>
      <c r="E28" s="9">
        <v>2.0</v>
      </c>
      <c r="F28" s="9">
        <v>1.0</v>
      </c>
      <c r="G28" s="9">
        <v>5.0</v>
      </c>
      <c r="H28" s="9">
        <v>4.0</v>
      </c>
      <c r="I28" s="9">
        <v>3.0</v>
      </c>
      <c r="J28" s="9">
        <v>3.0</v>
      </c>
      <c r="K28" s="9">
        <v>3.0</v>
      </c>
      <c r="L28" s="9">
        <v>2.0</v>
      </c>
      <c r="M28" s="9">
        <v>5.0</v>
      </c>
      <c r="N28" s="9">
        <v>2.0</v>
      </c>
      <c r="O28" s="9">
        <v>3.0</v>
      </c>
      <c r="P28" s="9">
        <v>2.0</v>
      </c>
      <c r="Q28" s="9">
        <v>5.0</v>
      </c>
      <c r="R28" s="9">
        <v>3.0</v>
      </c>
      <c r="S28" s="9">
        <v>3.0</v>
      </c>
      <c r="T28" s="9">
        <v>3.0</v>
      </c>
      <c r="U28" s="9">
        <v>4.0</v>
      </c>
      <c r="V28" s="9">
        <v>3.0</v>
      </c>
      <c r="W28" s="9">
        <v>3.0</v>
      </c>
      <c r="X28" s="9">
        <v>2.0</v>
      </c>
      <c r="Y28" s="9">
        <v>4.0</v>
      </c>
    </row>
    <row r="29">
      <c r="A29" s="7">
        <v>41563.09076388889</v>
      </c>
      <c r="B29" s="8" t="s">
        <v>52</v>
      </c>
      <c r="C29" s="9">
        <v>2.0</v>
      </c>
      <c r="D29" s="9">
        <v>2.0</v>
      </c>
      <c r="E29" s="9">
        <v>3.0</v>
      </c>
      <c r="F29" s="9">
        <v>3.0</v>
      </c>
      <c r="G29" s="9">
        <v>3.0</v>
      </c>
      <c r="H29" s="9">
        <v>2.0</v>
      </c>
      <c r="I29" s="9">
        <v>2.0</v>
      </c>
      <c r="J29" s="9">
        <v>1.0</v>
      </c>
      <c r="K29" s="9">
        <v>4.0</v>
      </c>
      <c r="L29" s="9">
        <v>4.0</v>
      </c>
      <c r="M29" s="9">
        <v>5.0</v>
      </c>
      <c r="N29" s="9">
        <v>3.0</v>
      </c>
      <c r="O29" s="9">
        <v>3.0</v>
      </c>
      <c r="P29" s="9">
        <v>3.0</v>
      </c>
      <c r="Q29" s="9">
        <v>2.0</v>
      </c>
      <c r="R29" s="9">
        <v>2.0</v>
      </c>
      <c r="S29" s="9">
        <v>3.0</v>
      </c>
      <c r="T29" s="9">
        <v>3.0</v>
      </c>
      <c r="U29" s="9">
        <v>3.0</v>
      </c>
      <c r="V29" s="9">
        <v>4.0</v>
      </c>
      <c r="W29" s="9">
        <v>3.0</v>
      </c>
      <c r="X29" s="9">
        <v>3.0</v>
      </c>
      <c r="Y29" s="9">
        <v>4.0</v>
      </c>
    </row>
    <row r="30">
      <c r="A30" s="7">
        <v>41563.18886574074</v>
      </c>
      <c r="B30" s="8" t="s">
        <v>53</v>
      </c>
      <c r="C30" s="9">
        <v>1.0</v>
      </c>
      <c r="D30" s="9">
        <v>3.0</v>
      </c>
      <c r="E30" s="9">
        <v>3.0</v>
      </c>
      <c r="F30" s="9">
        <v>3.0</v>
      </c>
      <c r="G30" s="9">
        <v>3.0</v>
      </c>
      <c r="H30" s="9">
        <v>3.0</v>
      </c>
      <c r="I30" s="9">
        <v>4.0</v>
      </c>
      <c r="J30" s="9">
        <v>4.0</v>
      </c>
      <c r="K30" s="9">
        <v>5.0</v>
      </c>
      <c r="L30" s="9">
        <v>3.0</v>
      </c>
      <c r="M30" s="9">
        <v>4.0</v>
      </c>
      <c r="N30" s="9">
        <v>3.0</v>
      </c>
      <c r="O30" s="9">
        <v>4.0</v>
      </c>
      <c r="P30" s="9">
        <v>3.0</v>
      </c>
      <c r="Q30" s="9">
        <v>4.0</v>
      </c>
      <c r="R30" s="9">
        <v>4.0</v>
      </c>
      <c r="S30" s="9">
        <v>5.0</v>
      </c>
      <c r="T30" s="9">
        <v>5.0</v>
      </c>
      <c r="U30" s="9">
        <v>4.0</v>
      </c>
      <c r="V30" s="9">
        <v>5.0</v>
      </c>
      <c r="W30" s="9">
        <v>3.0</v>
      </c>
      <c r="X30" s="9">
        <v>3.0</v>
      </c>
      <c r="Y30" s="9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3.88"/>
    <col customWidth="1" min="2" max="2" width="9.38"/>
    <col customWidth="1" min="3" max="3" width="5.38"/>
    <col customWidth="1" min="4" max="4" width="6.0"/>
    <col customWidth="1" min="5" max="5" width="6.5"/>
    <col customWidth="1" min="6" max="6" width="6.13"/>
    <col customWidth="1" min="7" max="7" width="5.5"/>
  </cols>
  <sheetData>
    <row r="1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</row>
    <row r="2">
      <c r="A2" s="11" t="str">
        <f>'Voting Results'!B2</f>
        <v>z.prime</v>
      </c>
      <c r="B2" s="12">
        <f>SUM('Voting Results'!B2:XX2)</f>
        <v>75</v>
      </c>
      <c r="C2" s="12">
        <f>COUNTIF('Voting Results'!B2:XX2, 1)</f>
        <v>0</v>
      </c>
      <c r="D2" s="12">
        <f>COUNTIF('Voting Results'!B2:XX2, 2)</f>
        <v>5</v>
      </c>
      <c r="E2" s="12">
        <f>COUNTIF('Voting Results'!B2:XX2, 3)</f>
        <v>8</v>
      </c>
      <c r="F2" s="12">
        <f>COUNTIF('Voting Results'!B2:XX2, 4)</f>
        <v>9</v>
      </c>
      <c r="G2" s="12">
        <f>COUNTIF('Voting Results'!B2:XX2, 5)</f>
        <v>1</v>
      </c>
    </row>
    <row r="3">
      <c r="A3" s="11" t="str">
        <f>'Voting Results'!B3</f>
        <v>psmacmur</v>
      </c>
      <c r="B3" s="12">
        <f>SUM('Voting Results'!B3:XX3)</f>
        <v>80</v>
      </c>
      <c r="C3" s="12">
        <f>COUNTIF('Voting Results'!B3:XX3, 1)</f>
        <v>1</v>
      </c>
      <c r="D3" s="12">
        <f>COUNTIF('Voting Results'!B3:XX3, 2)</f>
        <v>3</v>
      </c>
      <c r="E3" s="12">
        <f>COUNTIF('Voting Results'!B3:XX3, 3)</f>
        <v>7</v>
      </c>
      <c r="F3" s="12">
        <f>COUNTIF('Voting Results'!B3:XX3, 4)</f>
        <v>8</v>
      </c>
      <c r="G3" s="12">
        <f>COUNTIF('Voting Results'!B3:XX3, 5)</f>
        <v>4</v>
      </c>
    </row>
    <row r="4">
      <c r="A4" s="11" t="str">
        <f>'Voting Results'!B4</f>
        <v>loft_electronics</v>
      </c>
      <c r="B4" s="12">
        <f>SUM('Voting Results'!B4:XX4)</f>
        <v>80</v>
      </c>
      <c r="C4" s="12">
        <f>COUNTIF('Voting Results'!B4:XX4, 1)</f>
        <v>1</v>
      </c>
      <c r="D4" s="12">
        <f>COUNTIF('Voting Results'!B4:XX4, 2)</f>
        <v>0</v>
      </c>
      <c r="E4" s="12">
        <f>COUNTIF('Voting Results'!B4:XX4, 3)</f>
        <v>11</v>
      </c>
      <c r="F4" s="12">
        <f>COUNTIF('Voting Results'!B4:XX4, 4)</f>
        <v>9</v>
      </c>
      <c r="G4" s="12">
        <f>COUNTIF('Voting Results'!B4:XX4, 5)</f>
        <v>2</v>
      </c>
    </row>
    <row r="5">
      <c r="A5" s="11" t="str">
        <f>'Voting Results'!B5</f>
        <v>radd</v>
      </c>
      <c r="B5" s="12">
        <f>SUM('Voting Results'!B5:XX5)</f>
        <v>62</v>
      </c>
      <c r="C5" s="12">
        <f>COUNTIF('Voting Results'!B5:XX5, 1)</f>
        <v>2</v>
      </c>
      <c r="D5" s="12">
        <f>COUNTIF('Voting Results'!B5:XX5, 2)</f>
        <v>9</v>
      </c>
      <c r="E5" s="12">
        <f>COUNTIF('Voting Results'!B5:XX5, 3)</f>
        <v>7</v>
      </c>
      <c r="F5" s="12">
        <f>COUNTIF('Voting Results'!B5:XX5, 4)</f>
        <v>4</v>
      </c>
      <c r="G5" s="12">
        <f>COUNTIF('Voting Results'!B5:XX5, 5)</f>
        <v>1</v>
      </c>
    </row>
    <row r="6">
      <c r="A6" s="11" t="str">
        <f>'Voting Results'!B6</f>
        <v>RuediRena</v>
      </c>
      <c r="B6" s="12">
        <f>SUM('Voting Results'!B6:XX6)</f>
        <v>85</v>
      </c>
      <c r="C6" s="12">
        <f>COUNTIF('Voting Results'!B6:XX6, 1)</f>
        <v>1</v>
      </c>
      <c r="D6" s="12">
        <f>COUNTIF('Voting Results'!B6:XX6, 2)</f>
        <v>2</v>
      </c>
      <c r="E6" s="12">
        <f>COUNTIF('Voting Results'!B6:XX6, 3)</f>
        <v>7</v>
      </c>
      <c r="F6" s="12">
        <f>COUNTIF('Voting Results'!B6:XX6, 4)</f>
        <v>6</v>
      </c>
      <c r="G6" s="12">
        <f>COUNTIF('Voting Results'!B6:XX6, 5)</f>
        <v>7</v>
      </c>
    </row>
    <row r="7">
      <c r="A7" s="11" t="str">
        <f>'Voting Results'!B7</f>
        <v>tonedef71</v>
      </c>
      <c r="B7" s="12">
        <f>SUM('Voting Results'!B7:XX7)</f>
        <v>92</v>
      </c>
      <c r="C7" s="12">
        <f>COUNTIF('Voting Results'!B7:XX7, 1)</f>
        <v>0</v>
      </c>
      <c r="D7" s="12">
        <f>COUNTIF('Voting Results'!B7:XX7, 2)</f>
        <v>0</v>
      </c>
      <c r="E7" s="12">
        <f>COUNTIF('Voting Results'!B7:XX7, 3)</f>
        <v>6</v>
      </c>
      <c r="F7" s="12">
        <f>COUNTIF('Voting Results'!B7:XX7, 4)</f>
        <v>11</v>
      </c>
      <c r="G7" s="12">
        <f>COUNTIF('Voting Results'!B7:XX7, 5)</f>
        <v>6</v>
      </c>
    </row>
    <row r="8">
      <c r="A8" s="11" t="str">
        <f>'Voting Results'!B8</f>
        <v>ballacr75</v>
      </c>
      <c r="B8" s="12">
        <f>SUM('Voting Results'!B8:XX8)</f>
        <v>43</v>
      </c>
      <c r="C8" s="12">
        <f>COUNTIF('Voting Results'!B8:XX8, 1)</f>
        <v>14</v>
      </c>
      <c r="D8" s="12">
        <f>COUNTIF('Voting Results'!B8:XX8, 2)</f>
        <v>3</v>
      </c>
      <c r="E8" s="12">
        <f>COUNTIF('Voting Results'!B8:XX8, 3)</f>
        <v>2</v>
      </c>
      <c r="F8" s="12">
        <f>COUNTIF('Voting Results'!B8:XX8, 4)</f>
        <v>3</v>
      </c>
      <c r="G8" s="12">
        <f>COUNTIF('Voting Results'!B8:XX8, 5)</f>
        <v>1</v>
      </c>
    </row>
    <row r="9">
      <c r="A9" s="11" t="str">
        <f>'Voting Results'!B9</f>
        <v>Carl_saved</v>
      </c>
      <c r="B9" s="12">
        <f>SUM('Voting Results'!B9:XX9)</f>
        <v>78</v>
      </c>
      <c r="C9" s="12">
        <f>COUNTIF('Voting Results'!B9:XX9, 1)</f>
        <v>1</v>
      </c>
      <c r="D9" s="12">
        <f>COUNTIF('Voting Results'!B9:XX9, 2)</f>
        <v>4</v>
      </c>
      <c r="E9" s="12">
        <f>COUNTIF('Voting Results'!B9:XX9, 3)</f>
        <v>6</v>
      </c>
      <c r="F9" s="12">
        <f>COUNTIF('Voting Results'!B9:XX9, 4)</f>
        <v>9</v>
      </c>
      <c r="G9" s="12">
        <f>COUNTIF('Voting Results'!B9:XX9, 5)</f>
        <v>3</v>
      </c>
    </row>
    <row r="10">
      <c r="A10" s="11" t="str">
        <f>'Voting Results'!B10</f>
        <v>Photonic</v>
      </c>
      <c r="B10" s="12">
        <f>SUM('Voting Results'!B10:XX10)</f>
        <v>82</v>
      </c>
      <c r="C10" s="12">
        <f>COUNTIF('Voting Results'!B10:XX10, 1)</f>
        <v>0</v>
      </c>
      <c r="D10" s="12">
        <f>COUNTIF('Voting Results'!B10:XX10, 2)</f>
        <v>2</v>
      </c>
      <c r="E10" s="12">
        <f>COUNTIF('Voting Results'!B10:XX10, 3)</f>
        <v>11</v>
      </c>
      <c r="F10" s="12">
        <f>COUNTIF('Voting Results'!B10:XX10, 4)</f>
        <v>5</v>
      </c>
      <c r="G10" s="12">
        <f>COUNTIF('Voting Results'!B10:XX10, 5)</f>
        <v>5</v>
      </c>
    </row>
    <row r="11">
      <c r="A11" s="11" t="str">
        <f>'Voting Results'!B11</f>
        <v>QuadrupleA</v>
      </c>
      <c r="B11" s="12">
        <f>SUM('Voting Results'!B11:XX11)</f>
        <v>70</v>
      </c>
      <c r="C11" s="12">
        <f>COUNTIF('Voting Results'!B11:XX11, 1)</f>
        <v>1</v>
      </c>
      <c r="D11" s="12">
        <f>COUNTIF('Voting Results'!B11:XX11, 2)</f>
        <v>5</v>
      </c>
      <c r="E11" s="12">
        <f>COUNTIF('Voting Results'!B11:XX11, 3)</f>
        <v>11</v>
      </c>
      <c r="F11" s="12">
        <f>COUNTIF('Voting Results'!B11:XX11, 4)</f>
        <v>4</v>
      </c>
      <c r="G11" s="12">
        <f>COUNTIF('Voting Results'!B11:XX11, 5)</f>
        <v>2</v>
      </c>
    </row>
    <row r="12">
      <c r="A12" s="11" t="str">
        <f>'Voting Results'!B12</f>
        <v>nitrowheels</v>
      </c>
      <c r="B12" s="12">
        <f>SUM('Voting Results'!B12:XX12)</f>
        <v>59</v>
      </c>
      <c r="C12" s="12">
        <f>COUNTIF('Voting Results'!B12:XX12, 1)</f>
        <v>1</v>
      </c>
      <c r="D12" s="12">
        <f>COUNTIF('Voting Results'!B12:XX12, 2)</f>
        <v>11</v>
      </c>
      <c r="E12" s="12">
        <f>COUNTIF('Voting Results'!B12:XX12, 3)</f>
        <v>8</v>
      </c>
      <c r="F12" s="12">
        <f>COUNTIF('Voting Results'!B12:XX12, 4)</f>
        <v>3</v>
      </c>
      <c r="G12" s="12">
        <f>COUNTIF('Voting Results'!B12:XX12, 5)</f>
        <v>0</v>
      </c>
    </row>
    <row r="13">
      <c r="A13" s="11" t="str">
        <f>'Voting Results'!B13</f>
        <v>Blaakk (Previously-'Xaenima')</v>
      </c>
      <c r="B13" s="12">
        <f>SUM('Voting Results'!B13:XX13)</f>
        <v>77</v>
      </c>
      <c r="C13" s="12">
        <f>COUNTIF('Voting Results'!B13:XX13, 1)</f>
        <v>1</v>
      </c>
      <c r="D13" s="12">
        <f>COUNTIF('Voting Results'!B13:XX13, 2)</f>
        <v>3</v>
      </c>
      <c r="E13" s="12">
        <f>COUNTIF('Voting Results'!B13:XX13, 3)</f>
        <v>10</v>
      </c>
      <c r="F13" s="12">
        <f>COUNTIF('Voting Results'!B13:XX13, 4)</f>
        <v>5</v>
      </c>
      <c r="G13" s="12">
        <f>COUNTIF('Voting Results'!B13:XX13, 5)</f>
        <v>4</v>
      </c>
    </row>
    <row r="14">
      <c r="A14" s="11" t="str">
        <f>'Voting Results'!B14</f>
        <v>ClaRago</v>
      </c>
      <c r="B14" s="12">
        <f>SUM('Voting Results'!B14:XX14)</f>
        <v>84</v>
      </c>
      <c r="C14" s="12">
        <f>COUNTIF('Voting Results'!B14:XX14, 1)</f>
        <v>0</v>
      </c>
      <c r="D14" s="12">
        <f>COUNTIF('Voting Results'!B14:XX14, 2)</f>
        <v>3</v>
      </c>
      <c r="E14" s="12">
        <f>COUNTIF('Voting Results'!B14:XX14, 3)</f>
        <v>7</v>
      </c>
      <c r="F14" s="12">
        <f>COUNTIF('Voting Results'!B14:XX14, 4)</f>
        <v>8</v>
      </c>
      <c r="G14" s="12">
        <f>COUNTIF('Voting Results'!B14:XX14, 5)</f>
        <v>5</v>
      </c>
    </row>
    <row r="15">
      <c r="A15" s="11" t="str">
        <f>'Voting Results'!B15</f>
        <v>Rob West</v>
      </c>
      <c r="B15" s="12">
        <f>SUM('Voting Results'!B15:XX15)</f>
        <v>77</v>
      </c>
      <c r="C15" s="12">
        <f>COUNTIF('Voting Results'!B15:XX15, 1)</f>
        <v>4</v>
      </c>
      <c r="D15" s="12">
        <f>COUNTIF('Voting Results'!B15:XX15, 2)</f>
        <v>0</v>
      </c>
      <c r="E15" s="12">
        <f>COUNTIF('Voting Results'!B15:XX15, 3)</f>
        <v>7</v>
      </c>
      <c r="F15" s="12">
        <f>COUNTIF('Voting Results'!B15:XX15, 4)</f>
        <v>8</v>
      </c>
      <c r="G15" s="12">
        <f>COUNTIF('Voting Results'!B15:XX15, 5)</f>
        <v>4</v>
      </c>
    </row>
    <row r="16">
      <c r="A16" s="11" t="str">
        <f>'Voting Results'!B16</f>
        <v>SKYZONE</v>
      </c>
      <c r="B16" s="12">
        <f>SUM('Voting Results'!B16:XX16)</f>
        <v>50</v>
      </c>
      <c r="C16" s="12">
        <f>COUNTIF('Voting Results'!B16:XX16, 1)</f>
        <v>8</v>
      </c>
      <c r="D16" s="12">
        <f>COUNTIF('Voting Results'!B16:XX16, 2)</f>
        <v>7</v>
      </c>
      <c r="E16" s="12">
        <f>COUNTIF('Voting Results'!B16:XX16, 3)</f>
        <v>5</v>
      </c>
      <c r="F16" s="12">
        <f>COUNTIF('Voting Results'!B16:XX16, 4)</f>
        <v>2</v>
      </c>
      <c r="G16" s="12">
        <f>COUNTIF('Voting Results'!B16:XX16, 5)</f>
        <v>1</v>
      </c>
    </row>
    <row r="17">
      <c r="A17" s="11" t="str">
        <f>'Voting Results'!B17</f>
        <v>Stunkit</v>
      </c>
      <c r="B17" s="12">
        <f>SUM('Voting Results'!B17:XX17)</f>
        <v>77</v>
      </c>
      <c r="C17" s="12">
        <f>COUNTIF('Voting Results'!B17:XX17, 1)</f>
        <v>1</v>
      </c>
      <c r="D17" s="12">
        <f>COUNTIF('Voting Results'!B17:XX17, 2)</f>
        <v>3</v>
      </c>
      <c r="E17" s="12">
        <f>COUNTIF('Voting Results'!B17:XX17, 3)</f>
        <v>11</v>
      </c>
      <c r="F17" s="12">
        <f>COUNTIF('Voting Results'!B17:XX17, 4)</f>
        <v>3</v>
      </c>
      <c r="G17" s="12">
        <f>COUNTIF('Voting Results'!B17:XX17, 5)</f>
        <v>5</v>
      </c>
    </row>
    <row r="18">
      <c r="A18" s="11" t="str">
        <f>'Voting Results'!B18</f>
        <v>Kraftraum</v>
      </c>
      <c r="B18" s="12">
        <f>SUM('Voting Results'!B18:XX18)</f>
        <v>93</v>
      </c>
      <c r="C18" s="12">
        <f>COUNTIF('Voting Results'!B18:XX18, 1)</f>
        <v>1</v>
      </c>
      <c r="D18" s="12">
        <f>COUNTIF('Voting Results'!B18:XX18, 2)</f>
        <v>0</v>
      </c>
      <c r="E18" s="12">
        <f>COUNTIF('Voting Results'!B18:XX18, 3)</f>
        <v>5</v>
      </c>
      <c r="F18" s="12">
        <f>COUNTIF('Voting Results'!B18:XX18, 4)</f>
        <v>8</v>
      </c>
      <c r="G18" s="12">
        <f>COUNTIF('Voting Results'!B18:XX18, 5)</f>
        <v>9</v>
      </c>
    </row>
    <row r="19">
      <c r="A19" s="11" t="str">
        <f>'Voting Results'!B19</f>
        <v>fese</v>
      </c>
      <c r="B19" s="12">
        <f>SUM('Voting Results'!B19:XX19)</f>
        <v>78</v>
      </c>
      <c r="C19" s="12">
        <f>COUNTIF('Voting Results'!B19:XX19, 1)</f>
        <v>0</v>
      </c>
      <c r="D19" s="12">
        <f>COUNTIF('Voting Results'!B19:XX19, 2)</f>
        <v>1</v>
      </c>
      <c r="E19" s="12">
        <f>COUNTIF('Voting Results'!B19:XX19, 3)</f>
        <v>14</v>
      </c>
      <c r="F19" s="12">
        <f>COUNTIF('Voting Results'!B19:XX19, 4)</f>
        <v>6</v>
      </c>
      <c r="G19" s="12">
        <f>COUNTIF('Voting Results'!B19:XX19, 5)</f>
        <v>2</v>
      </c>
    </row>
    <row r="20">
      <c r="A20" s="11" t="str">
        <f>'Voting Results'!B20</f>
        <v>Thrax</v>
      </c>
      <c r="B20" s="12">
        <f>SUM('Voting Results'!B20:XX20)</f>
        <v>69</v>
      </c>
      <c r="C20" s="12">
        <f>COUNTIF('Voting Results'!B20:XX20, 1)</f>
        <v>4</v>
      </c>
      <c r="D20" s="12">
        <f>COUNTIF('Voting Results'!B20:XX20, 2)</f>
        <v>5</v>
      </c>
      <c r="E20" s="12">
        <f>COUNTIF('Voting Results'!B20:XX20, 3)</f>
        <v>5</v>
      </c>
      <c r="F20" s="12">
        <f>COUNTIF('Voting Results'!B20:XX20, 4)</f>
        <v>5</v>
      </c>
      <c r="G20" s="12">
        <f>COUNTIF('Voting Results'!B20:XX20, 5)</f>
        <v>4</v>
      </c>
    </row>
    <row r="21">
      <c r="A21" s="11" t="str">
        <f>'Voting Results'!B21</f>
        <v>martin_l</v>
      </c>
      <c r="B21" s="12">
        <f>SUM('Voting Results'!B21:XX21)</f>
        <v>65</v>
      </c>
      <c r="C21" s="12">
        <f>COUNTIF('Voting Results'!B21:XX21, 1)</f>
        <v>7</v>
      </c>
      <c r="D21" s="12">
        <f>COUNTIF('Voting Results'!B21:XX21, 2)</f>
        <v>3</v>
      </c>
      <c r="E21" s="12">
        <f>COUNTIF('Voting Results'!B21:XX21, 3)</f>
        <v>4</v>
      </c>
      <c r="F21" s="12">
        <f>COUNTIF('Voting Results'!B21:XX21, 4)</f>
        <v>5</v>
      </c>
      <c r="G21" s="12">
        <f>COUNTIF('Voting Results'!B21:XX21, 5)</f>
        <v>4</v>
      </c>
    </row>
    <row r="22">
      <c r="A22" s="11" t="str">
        <f>'Voting Results'!B22</f>
        <v>cactoos_dahoo</v>
      </c>
      <c r="B22" s="12">
        <f>SUM('Voting Results'!B22:XX22)</f>
        <v>69</v>
      </c>
      <c r="C22" s="12">
        <f>COUNTIF('Voting Results'!B22:XX22, 1)</f>
        <v>2</v>
      </c>
      <c r="D22" s="12">
        <f>COUNTIF('Voting Results'!B22:XX22, 2)</f>
        <v>4</v>
      </c>
      <c r="E22" s="12">
        <f>COUNTIF('Voting Results'!B22:XX22, 3)</f>
        <v>10</v>
      </c>
      <c r="F22" s="12">
        <f>COUNTIF('Voting Results'!B22:XX22, 4)</f>
        <v>6</v>
      </c>
      <c r="G22" s="12">
        <f>COUNTIF('Voting Results'!B22:XX22, 5)</f>
        <v>1</v>
      </c>
    </row>
    <row r="23">
      <c r="A23" s="11" t="str">
        <f>'Voting Results'!B23</f>
        <v>saltline</v>
      </c>
      <c r="B23" s="12">
        <f>SUM('Voting Results'!B23:XX23)</f>
        <v>60</v>
      </c>
      <c r="C23" s="12">
        <f>COUNTIF('Voting Results'!B23:XX23, 1)</f>
        <v>6</v>
      </c>
      <c r="D23" s="12">
        <f>COUNTIF('Voting Results'!B23:XX23, 2)</f>
        <v>5</v>
      </c>
      <c r="E23" s="12">
        <f>COUNTIF('Voting Results'!B23:XX23, 3)</f>
        <v>6</v>
      </c>
      <c r="F23" s="12">
        <f>COUNTIF('Voting Results'!B23:XX23, 4)</f>
        <v>4</v>
      </c>
      <c r="G23" s="12">
        <f>COUNTIF('Voting Results'!B23:XX23, 5)</f>
        <v>2</v>
      </c>
    </row>
    <row r="24">
      <c r="A24" s="11" t="str">
        <f>'Voting Results'!B24</f>
        <v>pedalsteeldrummer</v>
      </c>
      <c r="B24" s="12">
        <f>SUM('Voting Results'!B24:XX24)</f>
        <v>49</v>
      </c>
      <c r="C24" s="12">
        <f>COUNTIF('Voting Results'!B24:XX24, 1)</f>
        <v>12</v>
      </c>
      <c r="D24" s="12">
        <f>COUNTIF('Voting Results'!B24:XX24, 2)</f>
        <v>3</v>
      </c>
      <c r="E24" s="12">
        <f>COUNTIF('Voting Results'!B24:XX24, 3)</f>
        <v>3</v>
      </c>
      <c r="F24" s="12">
        <f>COUNTIF('Voting Results'!B24:XX24, 4)</f>
        <v>3</v>
      </c>
      <c r="G24" s="12">
        <f>COUNTIF('Voting Results'!B24:XX24, 5)</f>
        <v>2</v>
      </c>
    </row>
    <row r="25">
      <c r="A25" s="11" t="str">
        <f>'Voting Results'!B25</f>
        <v>besh</v>
      </c>
      <c r="B25" s="12">
        <f>SUM('Voting Results'!B25:XX25)</f>
        <v>90</v>
      </c>
      <c r="C25" s="12">
        <f>COUNTIF('Voting Results'!B25:XX25, 1)</f>
        <v>1</v>
      </c>
      <c r="D25" s="12">
        <f>COUNTIF('Voting Results'!B25:XX25, 2)</f>
        <v>0</v>
      </c>
      <c r="E25" s="12">
        <f>COUNTIF('Voting Results'!B25:XX25, 3)</f>
        <v>3</v>
      </c>
      <c r="F25" s="12">
        <f>COUNTIF('Voting Results'!B25:XX25, 4)</f>
        <v>15</v>
      </c>
      <c r="G25" s="12">
        <f>COUNTIF('Voting Results'!B25:XX25, 5)</f>
        <v>4</v>
      </c>
    </row>
    <row r="26">
      <c r="A26" s="11" t="str">
        <f>'Voting Results'!B26</f>
        <v>_ctx</v>
      </c>
      <c r="B26" s="12">
        <f>SUM('Voting Results'!B26:XX26)</f>
        <v>88</v>
      </c>
      <c r="C26" s="12">
        <f>COUNTIF('Voting Results'!B26:XX26, 1)</f>
        <v>1</v>
      </c>
      <c r="D26" s="12">
        <f>COUNTIF('Voting Results'!B26:XX26, 2)</f>
        <v>1</v>
      </c>
      <c r="E26" s="12">
        <f>COUNTIF('Voting Results'!B26:XX26, 3)</f>
        <v>6</v>
      </c>
      <c r="F26" s="12">
        <f>COUNTIF('Voting Results'!B26:XX26, 4)</f>
        <v>8</v>
      </c>
      <c r="G26" s="12">
        <f>COUNTIF('Voting Results'!B26:XX26, 5)</f>
        <v>7</v>
      </c>
    </row>
    <row r="27">
      <c r="A27" s="11" t="str">
        <f>'Voting Results'!B27</f>
        <v>Yeager</v>
      </c>
      <c r="B27" s="12">
        <f>SUM('Voting Results'!B27:XX27)</f>
        <v>82</v>
      </c>
      <c r="C27" s="12">
        <f>COUNTIF('Voting Results'!B27:XX27, 1)</f>
        <v>1</v>
      </c>
      <c r="D27" s="12">
        <f>COUNTIF('Voting Results'!B27:XX27, 2)</f>
        <v>0</v>
      </c>
      <c r="E27" s="12">
        <f>COUNTIF('Voting Results'!B27:XX27, 3)</f>
        <v>9</v>
      </c>
      <c r="F27" s="12">
        <f>COUNTIF('Voting Results'!B27:XX27, 4)</f>
        <v>11</v>
      </c>
      <c r="G27" s="12">
        <f>COUNTIF('Voting Results'!B27:XX27, 5)</f>
        <v>2</v>
      </c>
    </row>
    <row r="28">
      <c r="A28" s="11" t="str">
        <f>'Voting Results'!B28</f>
        <v>bjporter</v>
      </c>
      <c r="B28" s="12">
        <f>SUM('Voting Results'!B28:XX28)</f>
        <v>69</v>
      </c>
      <c r="C28" s="12">
        <f>COUNTIF('Voting Results'!B28:XX28, 1)</f>
        <v>1</v>
      </c>
      <c r="D28" s="12">
        <f>COUNTIF('Voting Results'!B28:XX28, 2)</f>
        <v>7</v>
      </c>
      <c r="E28" s="12">
        <f>COUNTIF('Voting Results'!B28:XX28, 3)</f>
        <v>9</v>
      </c>
      <c r="F28" s="12">
        <f>COUNTIF('Voting Results'!B28:XX28, 4)</f>
        <v>3</v>
      </c>
      <c r="G28" s="12">
        <f>COUNTIF('Voting Results'!B28:XX28, 5)</f>
        <v>3</v>
      </c>
    </row>
    <row r="29">
      <c r="A29" s="11" t="str">
        <f>'Voting Results'!B29</f>
        <v>objectman (deadeddy)</v>
      </c>
      <c r="B29" s="12">
        <f>SUM('Voting Results'!B29:XX29)</f>
        <v>67</v>
      </c>
      <c r="C29" s="12">
        <f>COUNTIF('Voting Results'!B29:XX29, 1)</f>
        <v>1</v>
      </c>
      <c r="D29" s="12">
        <f>COUNTIF('Voting Results'!B29:XX29, 2)</f>
        <v>6</v>
      </c>
      <c r="E29" s="12">
        <f>COUNTIF('Voting Results'!B29:XX29, 3)</f>
        <v>11</v>
      </c>
      <c r="F29" s="12">
        <f>COUNTIF('Voting Results'!B29:XX29, 4)</f>
        <v>4</v>
      </c>
      <c r="G29" s="12">
        <f>COUNTIF('Voting Results'!B29:XX29, 5)</f>
        <v>1</v>
      </c>
    </row>
    <row r="30">
      <c r="A30" s="11" t="str">
        <f>'Voting Results'!B30</f>
        <v>Abovethoughts</v>
      </c>
      <c r="B30" s="12">
        <f>SUM('Voting Results'!B30:XX30)</f>
        <v>83</v>
      </c>
      <c r="C30" s="12">
        <f>COUNTIF('Voting Results'!B30:XX30, 1)</f>
        <v>1</v>
      </c>
      <c r="D30" s="12">
        <f>COUNTIF('Voting Results'!B30:XX30, 2)</f>
        <v>0</v>
      </c>
      <c r="E30" s="12">
        <f>COUNTIF('Voting Results'!B30:XX30, 3)</f>
        <v>10</v>
      </c>
      <c r="F30" s="12">
        <f>COUNTIF('Voting Results'!B30:XX30, 4)</f>
        <v>8</v>
      </c>
      <c r="G30" s="12">
        <f>COUNTIF('Voting Results'!B30:XX30, 5)</f>
        <v>4</v>
      </c>
    </row>
  </sheetData>
  <drawing r:id="rId1"/>
</worksheet>
</file>
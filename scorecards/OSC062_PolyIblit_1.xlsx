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hidden" name="Blah" sheetId="2" r:id="rId5"/>
    <sheet state="visible" name="Voting Results" sheetId="3" r:id="rId6"/>
    <sheet state="hidden" name="Statistics" sheetId="4" r:id="rId7"/>
  </sheets>
  <definedNames>
    <definedName hidden="1" localSheetId="1" name="_xlnm._FilterDatabase">Blah!$A$2:$B$28</definedName>
  </definedNames>
  <calcPr/>
</workbook>
</file>

<file path=xl/sharedStrings.xml><?xml version="1.0" encoding="utf-8"?>
<sst xmlns="http://schemas.openxmlformats.org/spreadsheetml/2006/main" count="148" uniqueCount="94">
  <si>
    <t>1st</t>
  </si>
  <si>
    <t>Z.prime - We Can Overcome</t>
  </si>
  <si>
    <t>2nd</t>
  </si>
  <si>
    <t>Pulse Width Modulation - The Spanish Captain</t>
  </si>
  <si>
    <t>3rd Tie</t>
  </si>
  <si>
    <t>Photonic - Calm Down</t>
  </si>
  <si>
    <t>H-man and Animehaus - Os Terr queos (TheEarthlings)</t>
  </si>
  <si>
    <t>4th</t>
  </si>
  <si>
    <t>Kraftraum - Rotation 20 (Rosetta, ready to go)</t>
  </si>
  <si>
    <t>5th</t>
  </si>
  <si>
    <t>Yeager - Close...But No Sitar</t>
  </si>
  <si>
    <t>6th Tie</t>
  </si>
  <si>
    <t>Full Bucket - PolyBlitz</t>
  </si>
  <si>
    <t>Orboscope - Skypiercer</t>
  </si>
  <si>
    <t>7th</t>
  </si>
  <si>
    <t>Pedalsteeldrummer - Superbad</t>
  </si>
  <si>
    <t>8th</t>
  </si>
  <si>
    <t>Skyzone - Electro Flames</t>
  </si>
  <si>
    <t>9th</t>
  </si>
  <si>
    <t>Loft Electronics - Hot In The Loft</t>
  </si>
  <si>
    <t>10th</t>
  </si>
  <si>
    <t>Spidergod - Dark Space</t>
  </si>
  <si>
    <t>11th</t>
  </si>
  <si>
    <t>Loris DS - Usurper</t>
  </si>
  <si>
    <t>12th</t>
  </si>
  <si>
    <t>Ballacr75 - The Game Is Going To Start</t>
  </si>
  <si>
    <t>13th</t>
  </si>
  <si>
    <t>CytoSonic - Fly, Fly</t>
  </si>
  <si>
    <t>14th</t>
  </si>
  <si>
    <t>Shortmanb - Still Going</t>
  </si>
  <si>
    <t>15th</t>
  </si>
  <si>
    <t>terebellum - Rose Mosaic Virus</t>
  </si>
  <si>
    <t>16th</t>
  </si>
  <si>
    <t>BlitBit - Dr. Poly &amp; Mr. Iblit</t>
  </si>
  <si>
    <t>17th</t>
  </si>
  <si>
    <t>Ricler - Echoes Of A Supernova</t>
  </si>
  <si>
    <t>18th</t>
  </si>
  <si>
    <t>DoctorBob - MoreCheezePleeze</t>
  </si>
  <si>
    <t>19th</t>
  </si>
  <si>
    <t>JKF Flashico - Relife</t>
  </si>
  <si>
    <t>20th</t>
  </si>
  <si>
    <t>Flipm1967 - Underwater Dance</t>
  </si>
  <si>
    <t>21st</t>
  </si>
  <si>
    <t>BK1 - It's Raining Again</t>
  </si>
  <si>
    <t>22nd</t>
  </si>
  <si>
    <t>New Kids On The Block - Sarmile</t>
  </si>
  <si>
    <t>dq</t>
  </si>
  <si>
    <t>DzAH - New Old</t>
  </si>
  <si>
    <t>Quaoar - Secret Weapon</t>
  </si>
  <si>
    <t>TinCanTelephone - It's Raining Again</t>
  </si>
  <si>
    <t>Timestamp</t>
  </si>
  <si>
    <t>Voter Name (KVR nick)</t>
  </si>
  <si>
    <t>ThePresent</t>
  </si>
  <si>
    <t>spidergod</t>
  </si>
  <si>
    <t>U-o</t>
  </si>
  <si>
    <t>Full Bucket</t>
  </si>
  <si>
    <t>z.prime</t>
  </si>
  <si>
    <t>new kids on the block</t>
  </si>
  <si>
    <t>Loris DS</t>
  </si>
  <si>
    <t>BK1</t>
  </si>
  <si>
    <t>flipm1967</t>
  </si>
  <si>
    <t>satYatunes</t>
  </si>
  <si>
    <t>DoctorBob</t>
  </si>
  <si>
    <t>cytoSonic</t>
  </si>
  <si>
    <t>Pulse Width Modulation</t>
  </si>
  <si>
    <t>JKF Flashico</t>
  </si>
  <si>
    <t>Photonic</t>
  </si>
  <si>
    <t>psmacmur</t>
  </si>
  <si>
    <t>ballacr75</t>
  </si>
  <si>
    <t>terebellum</t>
  </si>
  <si>
    <t>richardsemper</t>
  </si>
  <si>
    <t>Kraftraum</t>
  </si>
  <si>
    <t>Ricler</t>
  </si>
  <si>
    <t>BlitBit</t>
  </si>
  <si>
    <t>SKYZONE</t>
  </si>
  <si>
    <t>shortmanb</t>
  </si>
  <si>
    <t>pedalsteeldrummer</t>
  </si>
  <si>
    <t>jasinski</t>
  </si>
  <si>
    <t>Loft Electronics</t>
  </si>
  <si>
    <t>H-man</t>
  </si>
  <si>
    <t>Yeager</t>
  </si>
  <si>
    <t>Orboscope</t>
  </si>
  <si>
    <t>5's</t>
  </si>
  <si>
    <t>4's</t>
  </si>
  <si>
    <t>3's</t>
  </si>
  <si>
    <t>2's</t>
  </si>
  <si>
    <t>1's</t>
  </si>
  <si>
    <t>Voter Name</t>
  </si>
  <si>
    <t xml:space="preserve">Sum given
</t>
  </si>
  <si>
    <t>Ones</t>
  </si>
  <si>
    <t>Twos</t>
  </si>
  <si>
    <t>Threes</t>
  </si>
  <si>
    <t>Fours</t>
  </si>
  <si>
    <t>Fives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</si>
</sst>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</font>
    <font>
      <i/>
      <sz val="10.0"/>
    </font>
    <font/>
    <font>
      <sz val="10.0"/>
      <color rgb="FFCCCCCC"/>
    </font>
    <font>
      <b/>
      <sz val="10.0"/>
    </font>
    <font>
      <sz val="10.0"/>
      <color rgb="FF999999"/>
    </font>
    <font>
      <b/>
      <sz val="10.0"/>
      <color rgb="FF999999"/>
    </font>
  </fonts>
  <fills count="7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2CC"/>
        <bgColor rgb="FFFFF2CC"/>
      </patternFill>
    </fill>
    <fill>
      <patternFill patternType="solid">
        <fgColor rgb="FFDDDDDD"/>
        <bgColor rgb="FFDDDDD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2" numFmtId="0" xfId="0" applyAlignment="1" applyFill="1" applyFont="1">
      <alignment shrinkToFit="0" wrapText="1"/>
    </xf>
    <xf borderId="0" fillId="3" fontId="2" numFmtId="0" xfId="0" applyAlignment="1" applyFill="1" applyFont="1">
      <alignment shrinkToFit="0" wrapText="1"/>
    </xf>
    <xf borderId="0" fillId="4" fontId="4" numFmtId="0" xfId="0" applyAlignment="1" applyFill="1" applyFont="1">
      <alignment horizontal="center" readingOrder="0" shrinkToFit="0" vertical="bottom" wrapText="1"/>
    </xf>
    <xf borderId="0" fillId="4" fontId="4" numFmtId="0" xfId="0" applyAlignment="1" applyFont="1">
      <alignment horizontal="center" shrinkToFit="0" vertical="bottom" wrapText="1"/>
    </xf>
    <xf borderId="0" fillId="4" fontId="4" numFmtId="0" xfId="0" applyAlignment="1" applyFont="1">
      <alignment horizontal="center" readingOrder="0" shrinkToFit="0" vertical="bottom" wrapText="1"/>
    </xf>
    <xf borderId="0" fillId="2" fontId="2" numFmtId="164" xfId="0" applyAlignment="1" applyFont="1" applyNumberForma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5" fontId="6" numFmtId="0" xfId="0" applyAlignment="1" applyFill="1" applyFont="1">
      <alignment shrinkToFit="0" wrapText="1"/>
    </xf>
    <xf borderId="0" fillId="6" fontId="6" numFmtId="0" xfId="0" applyAlignment="1" applyFill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8.63"/>
    <col customWidth="1" min="2" max="2" width="74.63"/>
    <col customWidth="1" min="3" max="3" width="12.13"/>
  </cols>
  <sheetData>
    <row r="1">
      <c r="A1" s="1" t="s">
        <v>0</v>
      </c>
      <c r="B1" s="2" t="s">
        <v>1</v>
      </c>
      <c r="C1" s="2">
        <v>134.0</v>
      </c>
    </row>
    <row r="2">
      <c r="A2" s="1" t="s">
        <v>2</v>
      </c>
      <c r="B2" s="2" t="s">
        <v>3</v>
      </c>
      <c r="C2" s="2">
        <v>129.0</v>
      </c>
    </row>
    <row r="3">
      <c r="A3" s="1" t="s">
        <v>4</v>
      </c>
      <c r="B3" s="2" t="s">
        <v>5</v>
      </c>
      <c r="C3" s="2">
        <v>122.0</v>
      </c>
    </row>
    <row r="4">
      <c r="A4" s="1" t="s">
        <v>4</v>
      </c>
      <c r="B4" s="2" t="s">
        <v>6</v>
      </c>
      <c r="C4" s="2">
        <v>122.0</v>
      </c>
    </row>
    <row r="5">
      <c r="A5" s="1" t="s">
        <v>7</v>
      </c>
      <c r="B5" s="2" t="s">
        <v>8</v>
      </c>
      <c r="C5" s="2">
        <v>122.0</v>
      </c>
    </row>
    <row r="6">
      <c r="A6" s="1" t="s">
        <v>9</v>
      </c>
      <c r="B6" s="2" t="s">
        <v>10</v>
      </c>
      <c r="C6" s="2">
        <v>118.0</v>
      </c>
    </row>
    <row r="7">
      <c r="A7" s="1" t="s">
        <v>11</v>
      </c>
      <c r="B7" s="2" t="s">
        <v>12</v>
      </c>
      <c r="C7" s="2">
        <v>116.0</v>
      </c>
    </row>
    <row r="8">
      <c r="A8" s="1" t="s">
        <v>11</v>
      </c>
      <c r="B8" s="2" t="s">
        <v>13</v>
      </c>
      <c r="C8" s="2">
        <v>116.0</v>
      </c>
    </row>
    <row r="9">
      <c r="A9" s="1" t="s">
        <v>14</v>
      </c>
      <c r="B9" s="2" t="s">
        <v>15</v>
      </c>
      <c r="C9" s="2">
        <v>116.0</v>
      </c>
    </row>
    <row r="10">
      <c r="A10" s="1" t="s">
        <v>16</v>
      </c>
      <c r="B10" s="2" t="s">
        <v>17</v>
      </c>
      <c r="C10" s="2">
        <v>114.0</v>
      </c>
    </row>
    <row r="11">
      <c r="A11" s="1" t="s">
        <v>18</v>
      </c>
      <c r="B11" s="2" t="s">
        <v>19</v>
      </c>
      <c r="C11" s="2">
        <v>110.0</v>
      </c>
    </row>
    <row r="12">
      <c r="A12" s="1" t="s">
        <v>20</v>
      </c>
      <c r="B12" s="2" t="s">
        <v>21</v>
      </c>
      <c r="C12" s="2">
        <v>102.0</v>
      </c>
    </row>
    <row r="13">
      <c r="A13" s="1" t="s">
        <v>22</v>
      </c>
      <c r="B13" s="2" t="s">
        <v>23</v>
      </c>
      <c r="C13" s="2">
        <v>101.0</v>
      </c>
    </row>
    <row r="14">
      <c r="A14" s="1" t="s">
        <v>24</v>
      </c>
      <c r="B14" s="2" t="s">
        <v>25</v>
      </c>
      <c r="C14" s="2">
        <v>99.0</v>
      </c>
    </row>
    <row r="15">
      <c r="A15" s="1" t="s">
        <v>26</v>
      </c>
      <c r="B15" s="2" t="s">
        <v>27</v>
      </c>
      <c r="C15" s="2">
        <v>95.0</v>
      </c>
    </row>
    <row r="16">
      <c r="A16" s="1" t="s">
        <v>28</v>
      </c>
      <c r="B16" s="2" t="s">
        <v>29</v>
      </c>
      <c r="C16" s="2">
        <v>95.0</v>
      </c>
    </row>
    <row r="17">
      <c r="A17" s="1" t="s">
        <v>30</v>
      </c>
      <c r="B17" s="2" t="s">
        <v>31</v>
      </c>
      <c r="C17" s="2">
        <v>92.0</v>
      </c>
    </row>
    <row r="18">
      <c r="A18" s="1" t="s">
        <v>32</v>
      </c>
      <c r="B18" s="2" t="s">
        <v>33</v>
      </c>
      <c r="C18" s="2">
        <v>90.0</v>
      </c>
    </row>
    <row r="19">
      <c r="A19" s="1" t="s">
        <v>34</v>
      </c>
      <c r="B19" s="2" t="s">
        <v>35</v>
      </c>
      <c r="C19" s="2">
        <v>88.0</v>
      </c>
    </row>
    <row r="20">
      <c r="A20" s="1" t="s">
        <v>36</v>
      </c>
      <c r="B20" s="2" t="s">
        <v>37</v>
      </c>
      <c r="C20" s="2">
        <v>84.0</v>
      </c>
    </row>
    <row r="21">
      <c r="A21" s="1" t="s">
        <v>38</v>
      </c>
      <c r="B21" s="2" t="s">
        <v>39</v>
      </c>
      <c r="C21" s="2">
        <v>83.0</v>
      </c>
    </row>
    <row r="22">
      <c r="A22" s="1" t="s">
        <v>40</v>
      </c>
      <c r="B22" s="2" t="s">
        <v>41</v>
      </c>
      <c r="C22" s="2">
        <v>82.0</v>
      </c>
    </row>
    <row r="23">
      <c r="A23" s="2" t="s">
        <v>42</v>
      </c>
      <c r="B23" s="2" t="s">
        <v>43</v>
      </c>
      <c r="C23" s="2">
        <v>70.0</v>
      </c>
    </row>
    <row r="24">
      <c r="A24" s="1" t="s">
        <v>44</v>
      </c>
      <c r="B24" s="2" t="s">
        <v>45</v>
      </c>
      <c r="C24" s="2">
        <v>51.0</v>
      </c>
    </row>
    <row r="25">
      <c r="A25" s="3" t="s">
        <v>46</v>
      </c>
      <c r="B25" s="3" t="s">
        <v>47</v>
      </c>
      <c r="C25" s="3">
        <v>92.0</v>
      </c>
    </row>
    <row r="26" ht="15.0" customHeight="1">
      <c r="A26" s="3" t="s">
        <v>46</v>
      </c>
      <c r="B26" s="3" t="s">
        <v>48</v>
      </c>
      <c r="C26" s="3">
        <v>72.0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6" width="37.38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/>
    <row r="3" ht="13.5" customHeight="1">
      <c r="A3" s="2" t="s">
        <v>1</v>
      </c>
      <c r="B3" s="2">
        <v>134.0</v>
      </c>
    </row>
    <row r="4" ht="13.5" customHeight="1">
      <c r="A4" s="2" t="s">
        <v>3</v>
      </c>
      <c r="B4" s="2">
        <v>129.0</v>
      </c>
    </row>
    <row r="5" ht="13.5" customHeight="1">
      <c r="A5" s="2" t="s">
        <v>6</v>
      </c>
      <c r="B5" s="2">
        <v>122.0</v>
      </c>
    </row>
    <row r="6" ht="13.5" customHeight="1">
      <c r="A6" s="2" t="s">
        <v>8</v>
      </c>
      <c r="B6" s="2">
        <v>122.0</v>
      </c>
    </row>
    <row r="7" ht="13.5" customHeight="1">
      <c r="A7" s="2" t="s">
        <v>5</v>
      </c>
      <c r="B7" s="2">
        <v>122.0</v>
      </c>
    </row>
    <row r="8" ht="13.5" customHeight="1">
      <c r="A8" s="2" t="s">
        <v>10</v>
      </c>
      <c r="B8" s="2">
        <v>118.0</v>
      </c>
    </row>
    <row r="9" ht="13.5" customHeight="1">
      <c r="A9" s="2" t="s">
        <v>12</v>
      </c>
      <c r="B9" s="2">
        <v>116.0</v>
      </c>
    </row>
    <row r="10" ht="13.5" customHeight="1">
      <c r="A10" s="2" t="s">
        <v>13</v>
      </c>
      <c r="B10" s="2">
        <v>116.0</v>
      </c>
    </row>
    <row r="11" ht="13.5" customHeight="1">
      <c r="A11" s="2" t="s">
        <v>15</v>
      </c>
      <c r="B11" s="2">
        <v>116.0</v>
      </c>
    </row>
    <row r="12" ht="13.5" customHeight="1">
      <c r="A12" s="2" t="s">
        <v>17</v>
      </c>
      <c r="B12" s="2">
        <v>114.0</v>
      </c>
    </row>
    <row r="13" ht="13.5" customHeight="1">
      <c r="A13" s="2" t="s">
        <v>19</v>
      </c>
      <c r="B13" s="2">
        <v>110.0</v>
      </c>
    </row>
    <row r="14" ht="13.5" customHeight="1">
      <c r="A14" s="2" t="s">
        <v>21</v>
      </c>
      <c r="B14" s="2">
        <v>102.0</v>
      </c>
    </row>
    <row r="15" ht="13.5" customHeight="1">
      <c r="A15" s="2" t="s">
        <v>23</v>
      </c>
      <c r="B15" s="2">
        <v>101.0</v>
      </c>
    </row>
    <row r="16" ht="13.5" customHeight="1">
      <c r="A16" s="2" t="s">
        <v>25</v>
      </c>
      <c r="B16" s="2">
        <v>99.0</v>
      </c>
    </row>
    <row r="17" ht="13.5" customHeight="1">
      <c r="A17" s="2" t="s">
        <v>27</v>
      </c>
      <c r="B17" s="2">
        <v>95.0</v>
      </c>
    </row>
    <row r="18" ht="13.5" customHeight="1">
      <c r="A18" s="2" t="s">
        <v>29</v>
      </c>
      <c r="B18" s="2">
        <v>95.0</v>
      </c>
    </row>
    <row r="19" ht="13.5" customHeight="1">
      <c r="A19" s="2" t="s">
        <v>47</v>
      </c>
      <c r="B19" s="2">
        <v>92.0</v>
      </c>
    </row>
    <row r="20" ht="13.5" customHeight="1">
      <c r="A20" s="2" t="s">
        <v>31</v>
      </c>
      <c r="B20" s="2">
        <v>92.0</v>
      </c>
    </row>
    <row r="21" ht="13.5" customHeight="1">
      <c r="A21" s="2" t="s">
        <v>33</v>
      </c>
      <c r="B21" s="2">
        <v>90.0</v>
      </c>
    </row>
    <row r="22" ht="13.5" customHeight="1">
      <c r="A22" s="2" t="s">
        <v>35</v>
      </c>
      <c r="B22" s="2">
        <v>88.0</v>
      </c>
    </row>
    <row r="23" ht="13.5" customHeight="1">
      <c r="A23" s="2" t="s">
        <v>37</v>
      </c>
      <c r="B23" s="2">
        <v>84.0</v>
      </c>
    </row>
    <row r="24" ht="13.5" customHeight="1">
      <c r="A24" s="2" t="s">
        <v>39</v>
      </c>
      <c r="B24" s="2">
        <v>83.0</v>
      </c>
    </row>
    <row r="25" ht="13.5" customHeight="1">
      <c r="A25" s="2" t="s">
        <v>41</v>
      </c>
      <c r="B25" s="2">
        <v>82.0</v>
      </c>
    </row>
    <row r="26" ht="13.5" customHeight="1">
      <c r="A26" s="2" t="s">
        <v>48</v>
      </c>
      <c r="B26" s="2">
        <v>72.0</v>
      </c>
    </row>
    <row r="27" ht="13.5" customHeight="1">
      <c r="A27" s="2" t="s">
        <v>49</v>
      </c>
      <c r="B27" s="2">
        <v>70.0</v>
      </c>
    </row>
    <row r="28" ht="13.5" customHeight="1">
      <c r="A28" s="2" t="s">
        <v>45</v>
      </c>
      <c r="B28" s="2">
        <v>51.0</v>
      </c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</sheetData>
  <autoFilter ref="$A$2:$B$2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" width="19.13"/>
    <col customWidth="1" min="3" max="3" width="3.88"/>
    <col customWidth="1" min="4" max="4" width="7.0"/>
    <col customWidth="1" min="5" max="8" width="3.88"/>
    <col customWidth="1" min="9" max="10" width="11.5"/>
    <col customWidth="1" min="11" max="12" width="3.88"/>
    <col customWidth="1" min="13" max="13" width="14.0"/>
    <col customWidth="1" min="14" max="20" width="3.88"/>
    <col customWidth="1" min="21" max="21" width="7.0"/>
    <col customWidth="1" min="22" max="26" width="3.88"/>
    <col customWidth="1" min="27" max="27" width="13.5"/>
    <col customWidth="1" min="28" max="29" width="3.88"/>
  </cols>
  <sheetData>
    <row r="1">
      <c r="A1" s="6" t="s">
        <v>50</v>
      </c>
      <c r="B1" s="6" t="s">
        <v>51</v>
      </c>
      <c r="C1" s="7"/>
      <c r="D1" s="6" t="s">
        <v>25</v>
      </c>
      <c r="E1" s="6" t="s">
        <v>33</v>
      </c>
      <c r="F1" s="6" t="s">
        <v>27</v>
      </c>
      <c r="G1" s="6" t="s">
        <v>37</v>
      </c>
      <c r="H1" s="6" t="s">
        <v>47</v>
      </c>
      <c r="I1" s="6" t="s">
        <v>41</v>
      </c>
      <c r="J1" s="6" t="s">
        <v>12</v>
      </c>
      <c r="K1" s="6" t="s">
        <v>6</v>
      </c>
      <c r="L1" s="6" t="s">
        <v>39</v>
      </c>
      <c r="M1" s="6" t="s">
        <v>8</v>
      </c>
      <c r="N1" s="6" t="s">
        <v>19</v>
      </c>
      <c r="O1" s="6" t="s">
        <v>23</v>
      </c>
      <c r="P1" s="6" t="s">
        <v>45</v>
      </c>
      <c r="Q1" s="6" t="s">
        <v>13</v>
      </c>
      <c r="R1" s="6" t="s">
        <v>15</v>
      </c>
      <c r="S1" s="6" t="s">
        <v>5</v>
      </c>
      <c r="T1" s="6" t="s">
        <v>3</v>
      </c>
      <c r="U1" s="6" t="s">
        <v>48</v>
      </c>
      <c r="V1" s="6" t="s">
        <v>35</v>
      </c>
      <c r="W1" s="6" t="s">
        <v>29</v>
      </c>
      <c r="X1" s="6" t="s">
        <v>17</v>
      </c>
      <c r="Y1" s="6" t="s">
        <v>21</v>
      </c>
      <c r="Z1" s="6" t="s">
        <v>31</v>
      </c>
      <c r="AA1" s="8" t="s">
        <v>49</v>
      </c>
      <c r="AB1" s="6" t="s">
        <v>10</v>
      </c>
      <c r="AC1" s="6" t="s">
        <v>1</v>
      </c>
    </row>
    <row r="2">
      <c r="A2" s="9">
        <v>41761.500289351854</v>
      </c>
      <c r="B2" s="10" t="s">
        <v>52</v>
      </c>
      <c r="C2" s="4"/>
      <c r="D2" s="10">
        <v>4.0</v>
      </c>
      <c r="E2" s="10">
        <v>2.0</v>
      </c>
      <c r="F2" s="10">
        <v>3.0</v>
      </c>
      <c r="G2" s="10">
        <v>3.0</v>
      </c>
      <c r="H2" s="10">
        <v>3.0</v>
      </c>
      <c r="I2" s="10">
        <v>3.0</v>
      </c>
      <c r="J2" s="10">
        <v>3.0</v>
      </c>
      <c r="K2" s="10">
        <v>4.0</v>
      </c>
      <c r="L2" s="10">
        <v>3.0</v>
      </c>
      <c r="M2" s="10">
        <v>4.0</v>
      </c>
      <c r="N2" s="10">
        <v>5.0</v>
      </c>
      <c r="O2" s="10">
        <v>3.0</v>
      </c>
      <c r="P2" s="10">
        <v>2.0</v>
      </c>
      <c r="Q2" s="10">
        <v>3.0</v>
      </c>
      <c r="R2" s="10">
        <v>4.0</v>
      </c>
      <c r="S2" s="10">
        <v>5.0</v>
      </c>
      <c r="T2" s="10">
        <v>5.0</v>
      </c>
      <c r="U2" s="10">
        <v>3.0</v>
      </c>
      <c r="V2" s="10">
        <v>4.0</v>
      </c>
      <c r="W2" s="10">
        <v>3.0</v>
      </c>
      <c r="X2" s="10">
        <v>4.0</v>
      </c>
      <c r="Y2" s="10">
        <v>3.0</v>
      </c>
      <c r="Z2" s="10">
        <v>4.0</v>
      </c>
      <c r="AA2" s="10">
        <v>2.0</v>
      </c>
      <c r="AB2" s="10">
        <v>3.0</v>
      </c>
      <c r="AC2" s="10">
        <v>4.0</v>
      </c>
    </row>
    <row r="3">
      <c r="A3" s="9">
        <v>41761.54965277778</v>
      </c>
      <c r="B3" s="10" t="s">
        <v>53</v>
      </c>
      <c r="C3" s="4"/>
      <c r="D3" s="10">
        <v>4.0</v>
      </c>
      <c r="E3" s="10">
        <v>4.0</v>
      </c>
      <c r="F3" s="10">
        <v>3.0</v>
      </c>
      <c r="G3" s="10">
        <v>3.0</v>
      </c>
      <c r="H3" s="10">
        <v>3.0</v>
      </c>
      <c r="I3" s="10">
        <v>3.0</v>
      </c>
      <c r="J3" s="10">
        <v>5.0</v>
      </c>
      <c r="K3" s="10">
        <v>5.0</v>
      </c>
      <c r="L3" s="10">
        <v>3.0</v>
      </c>
      <c r="M3" s="10">
        <v>5.0</v>
      </c>
      <c r="N3" s="10">
        <v>3.0</v>
      </c>
      <c r="O3" s="10">
        <v>3.0</v>
      </c>
      <c r="P3" s="10">
        <v>2.0</v>
      </c>
      <c r="Q3" s="10">
        <v>5.0</v>
      </c>
      <c r="R3" s="10">
        <v>4.0</v>
      </c>
      <c r="S3" s="10">
        <v>4.0</v>
      </c>
      <c r="T3" s="10">
        <v>3.0</v>
      </c>
      <c r="U3" s="10">
        <v>3.0</v>
      </c>
      <c r="V3" s="10">
        <v>5.0</v>
      </c>
      <c r="W3" s="10">
        <v>4.0</v>
      </c>
      <c r="X3" s="10">
        <v>5.0</v>
      </c>
      <c r="Y3" s="11">
        <v>1.0</v>
      </c>
      <c r="Z3" s="10">
        <v>3.0</v>
      </c>
      <c r="AA3" s="10">
        <v>3.0</v>
      </c>
      <c r="AB3" s="10">
        <v>3.0</v>
      </c>
      <c r="AC3" s="10">
        <v>4.0</v>
      </c>
    </row>
    <row r="4">
      <c r="A4" s="9">
        <v>41761.56319444445</v>
      </c>
      <c r="B4" s="10" t="s">
        <v>54</v>
      </c>
      <c r="C4" s="4"/>
      <c r="D4" s="10">
        <v>2.0</v>
      </c>
      <c r="E4" s="10">
        <v>2.0</v>
      </c>
      <c r="F4" s="10">
        <v>2.0</v>
      </c>
      <c r="G4" s="10">
        <v>2.0</v>
      </c>
      <c r="H4" s="10">
        <v>3.0</v>
      </c>
      <c r="I4" s="10">
        <v>2.0</v>
      </c>
      <c r="J4" s="10">
        <v>3.0</v>
      </c>
      <c r="K4" s="10">
        <v>5.0</v>
      </c>
      <c r="L4" s="10">
        <v>2.0</v>
      </c>
      <c r="M4" s="10">
        <v>4.0</v>
      </c>
      <c r="N4" s="10">
        <v>2.0</v>
      </c>
      <c r="O4" s="10">
        <v>3.0</v>
      </c>
      <c r="P4" s="10">
        <v>1.0</v>
      </c>
      <c r="Q4" s="10">
        <v>4.0</v>
      </c>
      <c r="R4" s="10">
        <v>4.0</v>
      </c>
      <c r="S4" s="10">
        <v>5.0</v>
      </c>
      <c r="T4" s="10">
        <v>2.0</v>
      </c>
      <c r="U4" s="10">
        <v>2.0</v>
      </c>
      <c r="V4" s="10">
        <v>2.0</v>
      </c>
      <c r="W4" s="10">
        <v>3.0</v>
      </c>
      <c r="X4" s="10">
        <v>3.0</v>
      </c>
      <c r="Y4" s="10">
        <v>3.0</v>
      </c>
      <c r="Z4" s="10">
        <v>2.0</v>
      </c>
      <c r="AA4" s="10">
        <v>2.0</v>
      </c>
      <c r="AB4" s="10">
        <v>4.0</v>
      </c>
      <c r="AC4" s="10">
        <v>5.0</v>
      </c>
    </row>
    <row r="5">
      <c r="A5" s="9">
        <v>41761.64501157407</v>
      </c>
      <c r="B5" s="10" t="s">
        <v>55</v>
      </c>
      <c r="C5" s="4"/>
      <c r="D5" s="10">
        <v>3.0</v>
      </c>
      <c r="E5" s="10">
        <v>3.0</v>
      </c>
      <c r="F5" s="10">
        <v>4.0</v>
      </c>
      <c r="G5" s="10">
        <v>3.0</v>
      </c>
      <c r="H5" s="10">
        <v>2.0</v>
      </c>
      <c r="I5" s="10">
        <v>4.0</v>
      </c>
      <c r="J5" s="11">
        <v>1.0</v>
      </c>
      <c r="K5" s="10">
        <v>4.0</v>
      </c>
      <c r="L5" s="10">
        <v>4.0</v>
      </c>
      <c r="M5" s="10">
        <v>5.0</v>
      </c>
      <c r="N5" s="10">
        <v>5.0</v>
      </c>
      <c r="O5" s="10">
        <v>4.0</v>
      </c>
      <c r="P5" s="10">
        <v>4.0</v>
      </c>
      <c r="Q5" s="10">
        <v>4.0</v>
      </c>
      <c r="R5" s="10">
        <v>4.0</v>
      </c>
      <c r="S5" s="10">
        <v>5.0</v>
      </c>
      <c r="T5" s="10">
        <v>3.0</v>
      </c>
      <c r="U5" s="10">
        <v>2.0</v>
      </c>
      <c r="V5" s="10">
        <v>5.0</v>
      </c>
      <c r="W5" s="10">
        <v>3.0</v>
      </c>
      <c r="X5" s="10">
        <v>5.0</v>
      </c>
      <c r="Y5" s="10">
        <v>4.0</v>
      </c>
      <c r="Z5" s="10">
        <v>5.0</v>
      </c>
      <c r="AA5" s="10">
        <v>3.0</v>
      </c>
      <c r="AB5" s="10">
        <v>4.0</v>
      </c>
      <c r="AC5" s="10">
        <v>5.0</v>
      </c>
    </row>
    <row r="6">
      <c r="A6" s="9">
        <v>41761.87037037037</v>
      </c>
      <c r="B6" s="10" t="s">
        <v>56</v>
      </c>
      <c r="C6" s="4"/>
      <c r="D6" s="10">
        <v>4.0</v>
      </c>
      <c r="E6" s="10">
        <v>3.0</v>
      </c>
      <c r="F6" s="10">
        <v>3.0</v>
      </c>
      <c r="G6" s="10">
        <v>3.0</v>
      </c>
      <c r="H6" s="10">
        <v>3.0</v>
      </c>
      <c r="I6" s="10">
        <v>2.0</v>
      </c>
      <c r="J6" s="10">
        <v>4.0</v>
      </c>
      <c r="K6" s="10">
        <v>5.0</v>
      </c>
      <c r="L6" s="10">
        <v>3.0</v>
      </c>
      <c r="M6" s="10">
        <v>3.0</v>
      </c>
      <c r="N6" s="10">
        <v>4.0</v>
      </c>
      <c r="O6" s="10">
        <v>4.0</v>
      </c>
      <c r="P6" s="10">
        <v>1.0</v>
      </c>
      <c r="Q6" s="10">
        <v>4.0</v>
      </c>
      <c r="R6" s="10">
        <v>4.0</v>
      </c>
      <c r="S6" s="10">
        <v>4.0</v>
      </c>
      <c r="T6" s="10">
        <v>5.0</v>
      </c>
      <c r="U6" s="10">
        <v>3.0</v>
      </c>
      <c r="V6" s="10">
        <v>3.0</v>
      </c>
      <c r="W6" s="10">
        <v>3.0</v>
      </c>
      <c r="X6" s="10">
        <v>3.0</v>
      </c>
      <c r="Y6" s="10">
        <v>4.0</v>
      </c>
      <c r="Z6" s="10">
        <v>3.0</v>
      </c>
      <c r="AA6" s="10">
        <v>2.0</v>
      </c>
      <c r="AB6" s="10">
        <v>4.0</v>
      </c>
      <c r="AC6" s="11">
        <v>1.0</v>
      </c>
    </row>
    <row r="7">
      <c r="A7" s="9">
        <v>41761.93283564815</v>
      </c>
      <c r="B7" s="10" t="s">
        <v>57</v>
      </c>
      <c r="C7" s="4"/>
      <c r="D7" s="10">
        <v>5.0</v>
      </c>
      <c r="E7" s="10">
        <v>2.0</v>
      </c>
      <c r="F7" s="10">
        <v>2.0</v>
      </c>
      <c r="G7" s="10">
        <v>2.0</v>
      </c>
      <c r="H7" s="10">
        <v>4.0</v>
      </c>
      <c r="I7" s="10">
        <v>3.0</v>
      </c>
      <c r="J7" s="10">
        <v>1.0</v>
      </c>
      <c r="K7" s="10">
        <v>3.0</v>
      </c>
      <c r="L7" s="10">
        <v>1.0</v>
      </c>
      <c r="M7" s="10">
        <v>3.0</v>
      </c>
      <c r="N7" s="10">
        <v>5.0</v>
      </c>
      <c r="O7" s="10">
        <v>1.0</v>
      </c>
      <c r="P7" s="11">
        <v>1.0</v>
      </c>
      <c r="Q7" s="10">
        <v>1.0</v>
      </c>
      <c r="R7" s="10">
        <v>4.0</v>
      </c>
      <c r="S7" s="10">
        <v>3.0</v>
      </c>
      <c r="T7" s="10">
        <v>2.0</v>
      </c>
      <c r="U7" s="10">
        <v>4.0</v>
      </c>
      <c r="V7" s="10">
        <v>2.0</v>
      </c>
      <c r="W7" s="10">
        <v>5.0</v>
      </c>
      <c r="X7" s="10">
        <v>2.0</v>
      </c>
      <c r="Y7" s="10">
        <v>1.0</v>
      </c>
      <c r="Z7" s="10">
        <v>1.0</v>
      </c>
      <c r="AA7" s="10">
        <v>1.0</v>
      </c>
      <c r="AB7" s="10">
        <v>3.0</v>
      </c>
      <c r="AC7" s="10">
        <v>3.0</v>
      </c>
    </row>
    <row r="8">
      <c r="A8" s="9">
        <v>41761.99915509259</v>
      </c>
      <c r="B8" s="10" t="s">
        <v>58</v>
      </c>
      <c r="C8" s="4"/>
      <c r="D8" s="10">
        <v>4.0</v>
      </c>
      <c r="E8" s="10">
        <v>3.0</v>
      </c>
      <c r="F8" s="10">
        <v>2.0</v>
      </c>
      <c r="G8" s="10">
        <v>2.0</v>
      </c>
      <c r="H8" s="10">
        <v>2.0</v>
      </c>
      <c r="I8" s="10">
        <v>2.0</v>
      </c>
      <c r="J8" s="10">
        <v>2.0</v>
      </c>
      <c r="K8" s="10">
        <v>3.0</v>
      </c>
      <c r="L8" s="10">
        <v>3.0</v>
      </c>
      <c r="M8" s="10">
        <v>3.0</v>
      </c>
      <c r="N8" s="10">
        <v>3.0</v>
      </c>
      <c r="O8" s="10">
        <v>1.0</v>
      </c>
      <c r="P8" s="10">
        <v>2.0</v>
      </c>
      <c r="Q8" s="10">
        <v>4.0</v>
      </c>
      <c r="R8" s="10">
        <v>3.0</v>
      </c>
      <c r="S8" s="10">
        <v>3.0</v>
      </c>
      <c r="T8" s="10">
        <v>5.0</v>
      </c>
      <c r="U8" s="10">
        <v>3.0</v>
      </c>
      <c r="V8" s="10">
        <v>4.0</v>
      </c>
      <c r="W8" s="10">
        <v>3.0</v>
      </c>
      <c r="X8" s="10">
        <v>4.0</v>
      </c>
      <c r="Y8" s="10">
        <v>3.0</v>
      </c>
      <c r="Z8" s="10">
        <v>3.0</v>
      </c>
      <c r="AA8" s="10">
        <v>2.0</v>
      </c>
      <c r="AB8" s="10">
        <v>3.0</v>
      </c>
      <c r="AC8" s="10">
        <v>5.0</v>
      </c>
    </row>
    <row r="9">
      <c r="A9" s="9">
        <v>41762.12899305556</v>
      </c>
      <c r="B9" s="10" t="s">
        <v>59</v>
      </c>
      <c r="C9" s="4"/>
      <c r="D9" s="10">
        <v>5.0</v>
      </c>
      <c r="E9" s="10">
        <v>4.0</v>
      </c>
      <c r="F9" s="10">
        <v>3.0</v>
      </c>
      <c r="G9" s="10">
        <v>4.0</v>
      </c>
      <c r="H9" s="10">
        <v>4.0</v>
      </c>
      <c r="I9" s="10">
        <v>4.0</v>
      </c>
      <c r="J9" s="10">
        <v>5.0</v>
      </c>
      <c r="K9" s="10">
        <v>3.0</v>
      </c>
      <c r="L9" s="10">
        <v>5.0</v>
      </c>
      <c r="M9" s="10">
        <v>5.0</v>
      </c>
      <c r="N9" s="10">
        <v>4.0</v>
      </c>
      <c r="O9" s="10">
        <v>5.0</v>
      </c>
      <c r="P9" s="10">
        <v>2.0</v>
      </c>
      <c r="Q9" s="10">
        <v>5.0</v>
      </c>
      <c r="R9" s="10">
        <v>5.0</v>
      </c>
      <c r="S9" s="10">
        <v>5.0</v>
      </c>
      <c r="T9" s="10">
        <v>5.0</v>
      </c>
      <c r="U9" s="10">
        <v>3.0</v>
      </c>
      <c r="V9" s="10">
        <v>4.0</v>
      </c>
      <c r="W9" s="10">
        <v>5.0</v>
      </c>
      <c r="X9" s="10">
        <v>5.0</v>
      </c>
      <c r="Y9" s="10">
        <v>5.0</v>
      </c>
      <c r="Z9" s="10">
        <v>3.0</v>
      </c>
      <c r="AA9" s="10">
        <v>1.0</v>
      </c>
      <c r="AB9" s="10">
        <v>5.0</v>
      </c>
      <c r="AC9" s="10">
        <v>5.0</v>
      </c>
    </row>
    <row r="10">
      <c r="A10" s="9">
        <v>41762.39734953704</v>
      </c>
      <c r="B10" s="10" t="s">
        <v>60</v>
      </c>
      <c r="C10" s="4"/>
      <c r="D10" s="10">
        <v>4.0</v>
      </c>
      <c r="E10" s="10">
        <v>3.0</v>
      </c>
      <c r="F10" s="10">
        <v>4.0</v>
      </c>
      <c r="G10" s="10">
        <v>3.0</v>
      </c>
      <c r="H10" s="10">
        <v>4.0</v>
      </c>
      <c r="I10" s="10">
        <v>1.0</v>
      </c>
      <c r="J10" s="10">
        <v>5.0</v>
      </c>
      <c r="K10" s="10">
        <v>5.0</v>
      </c>
      <c r="L10" s="10">
        <v>3.0</v>
      </c>
      <c r="M10" s="10">
        <v>4.0</v>
      </c>
      <c r="N10" s="10">
        <v>3.0</v>
      </c>
      <c r="O10" s="10">
        <v>3.0</v>
      </c>
      <c r="P10" s="10">
        <v>1.0</v>
      </c>
      <c r="Q10" s="10">
        <v>5.0</v>
      </c>
      <c r="R10" s="10">
        <v>4.0</v>
      </c>
      <c r="S10" s="10">
        <v>5.0</v>
      </c>
      <c r="T10" s="10">
        <v>5.0</v>
      </c>
      <c r="U10" s="10">
        <v>2.0</v>
      </c>
      <c r="V10" s="10">
        <v>3.0</v>
      </c>
      <c r="W10" s="10">
        <v>3.0</v>
      </c>
      <c r="X10" s="10">
        <v>4.0</v>
      </c>
      <c r="Y10" s="10">
        <v>5.0</v>
      </c>
      <c r="Z10" s="10">
        <v>4.0</v>
      </c>
      <c r="AA10" s="10">
        <v>2.0</v>
      </c>
      <c r="AB10" s="10">
        <v>3.0</v>
      </c>
      <c r="AC10" s="10">
        <v>4.0</v>
      </c>
    </row>
    <row r="11">
      <c r="A11" s="9">
        <v>41762.824282407404</v>
      </c>
      <c r="B11" s="10" t="s">
        <v>61</v>
      </c>
      <c r="C11" s="4"/>
      <c r="D11" s="10">
        <v>4.0</v>
      </c>
      <c r="E11" s="10">
        <v>3.0</v>
      </c>
      <c r="F11" s="10">
        <v>3.0</v>
      </c>
      <c r="G11" s="10">
        <v>3.0</v>
      </c>
      <c r="H11" s="10">
        <v>3.0</v>
      </c>
      <c r="I11" s="10">
        <v>2.0</v>
      </c>
      <c r="J11" s="10">
        <v>4.0</v>
      </c>
      <c r="K11" s="10">
        <v>4.0</v>
      </c>
      <c r="L11" s="10">
        <v>3.0</v>
      </c>
      <c r="M11" s="10">
        <v>4.0</v>
      </c>
      <c r="N11" s="10">
        <v>2.0</v>
      </c>
      <c r="O11" s="10">
        <v>3.0</v>
      </c>
      <c r="P11" s="10">
        <v>2.0</v>
      </c>
      <c r="Q11" s="10">
        <v>3.0</v>
      </c>
      <c r="R11" s="10">
        <v>5.0</v>
      </c>
      <c r="S11" s="10">
        <v>5.0</v>
      </c>
      <c r="T11" s="10">
        <v>5.0</v>
      </c>
      <c r="U11" s="10">
        <v>3.0</v>
      </c>
      <c r="V11" s="10">
        <v>3.0</v>
      </c>
      <c r="W11" s="10">
        <v>3.0</v>
      </c>
      <c r="X11" s="10">
        <v>3.0</v>
      </c>
      <c r="Y11" s="10">
        <v>3.0</v>
      </c>
      <c r="Z11" s="10">
        <v>2.0</v>
      </c>
      <c r="AA11" s="10">
        <v>3.0</v>
      </c>
      <c r="AB11" s="10">
        <v>4.0</v>
      </c>
      <c r="AC11" s="10">
        <v>5.0</v>
      </c>
    </row>
    <row r="12">
      <c r="A12" s="9">
        <v>41763.02774305556</v>
      </c>
      <c r="B12" s="10" t="s">
        <v>62</v>
      </c>
      <c r="C12" s="4"/>
      <c r="D12" s="10">
        <v>3.0</v>
      </c>
      <c r="E12" s="10">
        <v>3.0</v>
      </c>
      <c r="F12" s="10">
        <v>4.0</v>
      </c>
      <c r="G12" s="11">
        <v>1.0</v>
      </c>
      <c r="H12" s="10">
        <v>5.0</v>
      </c>
      <c r="I12" s="10">
        <v>4.0</v>
      </c>
      <c r="J12" s="10">
        <v>4.0</v>
      </c>
      <c r="K12" s="10">
        <v>5.0</v>
      </c>
      <c r="L12" s="10">
        <v>2.0</v>
      </c>
      <c r="M12" s="10">
        <v>5.0</v>
      </c>
      <c r="N12" s="10">
        <v>3.0</v>
      </c>
      <c r="O12" s="10">
        <v>5.0</v>
      </c>
      <c r="P12" s="10">
        <v>2.0</v>
      </c>
      <c r="Q12" s="10">
        <v>4.0</v>
      </c>
      <c r="R12" s="10">
        <v>5.0</v>
      </c>
      <c r="S12" s="10">
        <v>5.0</v>
      </c>
      <c r="T12" s="10">
        <v>5.0</v>
      </c>
      <c r="U12" s="10">
        <v>2.0</v>
      </c>
      <c r="V12" s="10">
        <v>4.0</v>
      </c>
      <c r="W12" s="10">
        <v>3.0</v>
      </c>
      <c r="X12" s="10">
        <v>3.0</v>
      </c>
      <c r="Y12" s="10">
        <v>4.0</v>
      </c>
      <c r="Z12" s="10">
        <v>4.0</v>
      </c>
      <c r="AA12" s="10">
        <v>3.0</v>
      </c>
      <c r="AB12" s="10">
        <v>4.0</v>
      </c>
      <c r="AC12" s="10">
        <v>5.0</v>
      </c>
    </row>
    <row r="13">
      <c r="A13" s="9">
        <v>41763.23269675926</v>
      </c>
      <c r="B13" s="10" t="s">
        <v>63</v>
      </c>
      <c r="C13" s="4"/>
      <c r="D13" s="10">
        <v>3.0</v>
      </c>
      <c r="E13" s="10">
        <v>2.0</v>
      </c>
      <c r="F13" s="11">
        <v>1.0</v>
      </c>
      <c r="G13" s="10">
        <v>4.0</v>
      </c>
      <c r="H13" s="10">
        <v>5.0</v>
      </c>
      <c r="I13" s="10">
        <v>3.0</v>
      </c>
      <c r="J13" s="10">
        <v>4.0</v>
      </c>
      <c r="K13" s="10">
        <v>4.0</v>
      </c>
      <c r="L13" s="10">
        <v>2.0</v>
      </c>
      <c r="M13" s="10">
        <v>5.0</v>
      </c>
      <c r="N13" s="10">
        <v>5.0</v>
      </c>
      <c r="O13" s="10">
        <v>2.0</v>
      </c>
      <c r="P13" s="10">
        <v>2.0</v>
      </c>
      <c r="Q13" s="10">
        <v>4.0</v>
      </c>
      <c r="R13" s="10">
        <v>4.0</v>
      </c>
      <c r="S13" s="10">
        <v>4.0</v>
      </c>
      <c r="T13" s="10">
        <v>4.0</v>
      </c>
      <c r="U13" s="10">
        <v>2.0</v>
      </c>
      <c r="V13" s="10">
        <v>5.0</v>
      </c>
      <c r="W13" s="10">
        <v>2.0</v>
      </c>
      <c r="X13" s="10">
        <v>4.0</v>
      </c>
      <c r="Y13" s="10">
        <v>2.0</v>
      </c>
      <c r="Z13" s="10">
        <v>5.0</v>
      </c>
      <c r="AA13" s="10">
        <v>2.0</v>
      </c>
      <c r="AB13" s="10">
        <v>4.0</v>
      </c>
      <c r="AC13" s="10">
        <v>4.0</v>
      </c>
    </row>
    <row r="14">
      <c r="A14" s="9">
        <v>41763.32604166667</v>
      </c>
      <c r="B14" s="10" t="s">
        <v>64</v>
      </c>
      <c r="C14" s="4"/>
      <c r="D14" s="10">
        <v>4.0</v>
      </c>
      <c r="E14" s="10">
        <v>5.0</v>
      </c>
      <c r="F14" s="10">
        <v>4.0</v>
      </c>
      <c r="G14" s="10">
        <v>4.0</v>
      </c>
      <c r="H14" s="10">
        <v>3.0</v>
      </c>
      <c r="I14" s="10">
        <v>3.0</v>
      </c>
      <c r="J14" s="10">
        <v>5.0</v>
      </c>
      <c r="K14" s="10">
        <v>5.0</v>
      </c>
      <c r="L14" s="10">
        <v>4.0</v>
      </c>
      <c r="M14" s="10">
        <v>5.0</v>
      </c>
      <c r="N14" s="10">
        <v>5.0</v>
      </c>
      <c r="O14" s="10">
        <v>4.0</v>
      </c>
      <c r="P14" s="10">
        <v>1.0</v>
      </c>
      <c r="Q14" s="10">
        <v>5.0</v>
      </c>
      <c r="R14" s="10">
        <v>5.0</v>
      </c>
      <c r="S14" s="10">
        <v>5.0</v>
      </c>
      <c r="T14" s="11">
        <v>1.0</v>
      </c>
      <c r="U14" s="10">
        <v>3.0</v>
      </c>
      <c r="V14" s="10">
        <v>3.0</v>
      </c>
      <c r="W14" s="10">
        <v>4.0</v>
      </c>
      <c r="X14" s="10">
        <v>5.0</v>
      </c>
      <c r="Y14" s="10">
        <v>5.0</v>
      </c>
      <c r="Z14" s="10">
        <v>5.0</v>
      </c>
      <c r="AA14" s="10">
        <v>3.0</v>
      </c>
      <c r="AB14" s="10">
        <v>4.0</v>
      </c>
      <c r="AC14" s="10">
        <v>5.0</v>
      </c>
    </row>
    <row r="15">
      <c r="A15" s="9">
        <v>41763.44966435185</v>
      </c>
      <c r="B15" s="10" t="s">
        <v>65</v>
      </c>
      <c r="C15" s="4"/>
      <c r="D15" s="10">
        <v>4.0</v>
      </c>
      <c r="E15" s="10">
        <v>3.0</v>
      </c>
      <c r="F15" s="10">
        <v>3.0</v>
      </c>
      <c r="G15" s="10">
        <v>3.0</v>
      </c>
      <c r="H15" s="10">
        <v>3.0</v>
      </c>
      <c r="I15" s="10">
        <v>3.0</v>
      </c>
      <c r="J15" s="10">
        <v>4.0</v>
      </c>
      <c r="K15" s="10">
        <v>4.0</v>
      </c>
      <c r="L15" s="11">
        <v>1.0</v>
      </c>
      <c r="M15" s="10">
        <v>5.0</v>
      </c>
      <c r="N15" s="10">
        <v>3.0</v>
      </c>
      <c r="O15" s="10">
        <v>3.0</v>
      </c>
      <c r="P15" s="10">
        <v>2.0</v>
      </c>
      <c r="Q15" s="10">
        <v>5.0</v>
      </c>
      <c r="R15" s="10">
        <v>4.0</v>
      </c>
      <c r="S15" s="10">
        <v>4.0</v>
      </c>
      <c r="T15" s="10">
        <v>4.0</v>
      </c>
      <c r="U15" s="10">
        <v>3.0</v>
      </c>
      <c r="V15" s="10">
        <v>4.0</v>
      </c>
      <c r="W15" s="10">
        <v>4.0</v>
      </c>
      <c r="X15" s="10">
        <v>4.0</v>
      </c>
      <c r="Y15" s="10">
        <v>4.0</v>
      </c>
      <c r="Z15" s="10">
        <v>3.0</v>
      </c>
      <c r="AA15" s="10">
        <v>3.0</v>
      </c>
      <c r="AB15" s="10">
        <v>5.0</v>
      </c>
      <c r="AC15" s="10">
        <v>4.0</v>
      </c>
    </row>
    <row r="16">
      <c r="A16" s="9">
        <v>41763.65488425926</v>
      </c>
      <c r="B16" s="10" t="s">
        <v>66</v>
      </c>
      <c r="C16" s="4"/>
      <c r="D16" s="10">
        <v>4.0</v>
      </c>
      <c r="E16" s="10">
        <v>3.0</v>
      </c>
      <c r="F16" s="10">
        <v>2.0</v>
      </c>
      <c r="G16" s="10">
        <v>3.0</v>
      </c>
      <c r="H16" s="10">
        <v>2.0</v>
      </c>
      <c r="I16" s="10">
        <v>2.0</v>
      </c>
      <c r="J16" s="10">
        <v>4.0</v>
      </c>
      <c r="K16" s="10">
        <v>3.0</v>
      </c>
      <c r="L16" s="10">
        <v>3.0</v>
      </c>
      <c r="M16" s="10">
        <v>5.0</v>
      </c>
      <c r="N16" s="10">
        <v>3.0</v>
      </c>
      <c r="O16" s="10">
        <v>2.0</v>
      </c>
      <c r="P16" s="10">
        <v>1.0</v>
      </c>
      <c r="Q16" s="10">
        <v>5.0</v>
      </c>
      <c r="R16" s="10">
        <v>4.0</v>
      </c>
      <c r="S16" s="10">
        <v>1.0</v>
      </c>
      <c r="T16" s="10">
        <v>5.0</v>
      </c>
      <c r="U16" s="10">
        <v>2.0</v>
      </c>
      <c r="V16" s="10">
        <v>2.0</v>
      </c>
      <c r="W16" s="10">
        <v>3.0</v>
      </c>
      <c r="X16" s="10">
        <v>5.0</v>
      </c>
      <c r="Y16" s="10">
        <v>4.0</v>
      </c>
      <c r="Z16" s="10">
        <v>2.0</v>
      </c>
      <c r="AA16" s="10">
        <v>2.0</v>
      </c>
      <c r="AB16" s="10">
        <v>5.0</v>
      </c>
      <c r="AC16" s="10">
        <v>5.0</v>
      </c>
    </row>
    <row r="17">
      <c r="A17" s="9">
        <v>41764.88758101852</v>
      </c>
      <c r="B17" s="10" t="s">
        <v>67</v>
      </c>
      <c r="C17" s="4"/>
      <c r="D17" s="10">
        <v>3.0</v>
      </c>
      <c r="E17" s="10">
        <v>3.0</v>
      </c>
      <c r="F17" s="10">
        <v>3.0</v>
      </c>
      <c r="G17" s="10">
        <v>3.0</v>
      </c>
      <c r="H17" s="10">
        <v>3.0</v>
      </c>
      <c r="I17" s="10">
        <v>3.0</v>
      </c>
      <c r="J17" s="10">
        <v>5.0</v>
      </c>
      <c r="K17" s="10">
        <v>5.0</v>
      </c>
      <c r="L17" s="10">
        <v>3.0</v>
      </c>
      <c r="M17" s="10">
        <v>5.0</v>
      </c>
      <c r="N17" s="10">
        <v>3.0</v>
      </c>
      <c r="O17" s="10">
        <v>4.0</v>
      </c>
      <c r="P17" s="10">
        <v>2.0</v>
      </c>
      <c r="Q17" s="10">
        <v>4.0</v>
      </c>
      <c r="R17" s="10">
        <v>5.0</v>
      </c>
      <c r="S17" s="10">
        <v>4.0</v>
      </c>
      <c r="T17" s="10">
        <v>5.0</v>
      </c>
      <c r="U17" s="10">
        <v>2.0</v>
      </c>
      <c r="V17" s="10">
        <v>3.0</v>
      </c>
      <c r="W17" s="10">
        <v>3.0</v>
      </c>
      <c r="X17" s="10">
        <v>4.0</v>
      </c>
      <c r="Y17" s="10">
        <v>3.0</v>
      </c>
      <c r="Z17" s="10">
        <v>2.0</v>
      </c>
      <c r="AA17" s="10">
        <v>2.0</v>
      </c>
      <c r="AB17" s="10">
        <v>5.0</v>
      </c>
      <c r="AC17" s="10">
        <v>5.0</v>
      </c>
    </row>
    <row r="18">
      <c r="A18" s="9">
        <v>41766.38107638889</v>
      </c>
      <c r="B18" s="10" t="s">
        <v>68</v>
      </c>
      <c r="C18" s="4"/>
      <c r="D18" s="11">
        <v>1.0</v>
      </c>
      <c r="E18" s="10">
        <v>4.0</v>
      </c>
      <c r="F18" s="10">
        <v>1.0</v>
      </c>
      <c r="G18" s="10">
        <v>1.0</v>
      </c>
      <c r="H18" s="10">
        <v>1.0</v>
      </c>
      <c r="I18" s="10">
        <v>1.0</v>
      </c>
      <c r="J18" s="10">
        <v>4.0</v>
      </c>
      <c r="K18" s="10">
        <v>4.0</v>
      </c>
      <c r="L18" s="10">
        <v>2.0</v>
      </c>
      <c r="M18" s="10">
        <v>3.0</v>
      </c>
      <c r="N18" s="10">
        <v>3.0</v>
      </c>
      <c r="O18" s="10">
        <v>5.0</v>
      </c>
      <c r="P18" s="10">
        <v>1.0</v>
      </c>
      <c r="Q18" s="10">
        <v>4.0</v>
      </c>
      <c r="R18" s="10">
        <v>3.0</v>
      </c>
      <c r="S18" s="10">
        <v>3.0</v>
      </c>
      <c r="T18" s="10">
        <v>5.0</v>
      </c>
      <c r="U18" s="10">
        <v>1.0</v>
      </c>
      <c r="V18" s="10">
        <v>1.0</v>
      </c>
      <c r="W18" s="10">
        <v>1.0</v>
      </c>
      <c r="X18" s="10">
        <v>4.0</v>
      </c>
      <c r="Y18" s="10">
        <v>1.0</v>
      </c>
      <c r="Z18" s="10">
        <v>1.0</v>
      </c>
      <c r="AA18" s="10">
        <v>2.0</v>
      </c>
      <c r="AB18" s="10">
        <v>5.0</v>
      </c>
      <c r="AC18" s="10">
        <v>5.0</v>
      </c>
    </row>
    <row r="19">
      <c r="A19" s="9">
        <v>41769.19028935185</v>
      </c>
      <c r="B19" s="10" t="s">
        <v>69</v>
      </c>
      <c r="C19" s="4"/>
      <c r="D19" s="10">
        <v>4.0</v>
      </c>
      <c r="E19" s="10">
        <v>3.0</v>
      </c>
      <c r="F19" s="10">
        <v>5.0</v>
      </c>
      <c r="G19" s="10">
        <v>2.0</v>
      </c>
      <c r="H19" s="10">
        <v>3.0</v>
      </c>
      <c r="I19" s="10">
        <v>4.0</v>
      </c>
      <c r="J19" s="10">
        <v>5.0</v>
      </c>
      <c r="K19" s="10">
        <v>5.0</v>
      </c>
      <c r="L19" s="10">
        <v>2.0</v>
      </c>
      <c r="M19" s="10">
        <v>4.0</v>
      </c>
      <c r="N19" s="10">
        <v>3.0</v>
      </c>
      <c r="O19" s="10">
        <v>4.0</v>
      </c>
      <c r="P19" s="10">
        <v>2.0</v>
      </c>
      <c r="Q19" s="10">
        <v>3.0</v>
      </c>
      <c r="R19" s="10">
        <v>3.0</v>
      </c>
      <c r="S19" s="10">
        <v>3.0</v>
      </c>
      <c r="T19" s="10">
        <v>4.0</v>
      </c>
      <c r="U19" s="10">
        <v>2.0</v>
      </c>
      <c r="V19" s="10">
        <v>3.0</v>
      </c>
      <c r="W19" s="10">
        <v>4.0</v>
      </c>
      <c r="X19" s="10">
        <v>4.0</v>
      </c>
      <c r="Y19" s="10">
        <v>4.0</v>
      </c>
      <c r="Z19" s="11">
        <v>1.0</v>
      </c>
      <c r="AA19" s="10">
        <v>2.0</v>
      </c>
      <c r="AB19" s="10">
        <v>4.0</v>
      </c>
      <c r="AC19" s="10">
        <v>5.0</v>
      </c>
    </row>
    <row r="20">
      <c r="A20" s="9">
        <v>41769.47268518519</v>
      </c>
      <c r="B20" s="10" t="s">
        <v>70</v>
      </c>
      <c r="C20" s="4"/>
      <c r="D20" s="10">
        <v>3.0</v>
      </c>
      <c r="E20" s="10">
        <v>4.0</v>
      </c>
      <c r="F20" s="10">
        <v>3.0</v>
      </c>
      <c r="G20" s="10">
        <v>3.0</v>
      </c>
      <c r="H20" s="10">
        <v>3.0</v>
      </c>
      <c r="I20" s="10">
        <v>3.0</v>
      </c>
      <c r="J20" s="10">
        <v>5.0</v>
      </c>
      <c r="K20" s="10">
        <v>4.0</v>
      </c>
      <c r="L20" s="10">
        <v>5.0</v>
      </c>
      <c r="M20" s="10">
        <v>4.0</v>
      </c>
      <c r="N20" s="10">
        <v>3.0</v>
      </c>
      <c r="O20" s="10">
        <v>5.0</v>
      </c>
      <c r="P20" s="10">
        <v>1.0</v>
      </c>
      <c r="Q20" s="10">
        <v>5.0</v>
      </c>
      <c r="R20" s="10">
        <v>3.0</v>
      </c>
      <c r="S20" s="10">
        <v>4.0</v>
      </c>
      <c r="T20" s="10">
        <v>5.0</v>
      </c>
      <c r="U20" s="10">
        <v>1.0</v>
      </c>
      <c r="V20" s="10">
        <v>2.0</v>
      </c>
      <c r="W20" s="10">
        <v>3.0</v>
      </c>
      <c r="X20" s="10">
        <v>4.0</v>
      </c>
      <c r="Y20" s="10">
        <v>2.0</v>
      </c>
      <c r="Z20" s="10">
        <v>3.0</v>
      </c>
      <c r="AA20" s="10">
        <v>3.0</v>
      </c>
      <c r="AB20" s="10">
        <v>5.0</v>
      </c>
      <c r="AC20" s="10">
        <v>4.0</v>
      </c>
    </row>
    <row r="21">
      <c r="A21" s="9">
        <v>41770.91339120371</v>
      </c>
      <c r="B21" s="10" t="s">
        <v>71</v>
      </c>
      <c r="C21" s="4"/>
      <c r="D21" s="10">
        <v>4.0</v>
      </c>
      <c r="E21" s="10">
        <v>3.0</v>
      </c>
      <c r="F21" s="10">
        <v>3.0</v>
      </c>
      <c r="G21" s="10">
        <v>3.0</v>
      </c>
      <c r="H21" s="10">
        <v>3.0</v>
      </c>
      <c r="I21" s="10">
        <v>3.0</v>
      </c>
      <c r="J21" s="10">
        <v>5.0</v>
      </c>
      <c r="K21" s="10">
        <v>5.0</v>
      </c>
      <c r="L21" s="10">
        <v>1.0</v>
      </c>
      <c r="M21" s="11">
        <v>1.0</v>
      </c>
      <c r="N21" s="10">
        <v>4.0</v>
      </c>
      <c r="O21" s="10">
        <v>4.0</v>
      </c>
      <c r="P21" s="10">
        <v>2.0</v>
      </c>
      <c r="Q21" s="10">
        <v>3.0</v>
      </c>
      <c r="R21" s="10">
        <v>4.0</v>
      </c>
      <c r="S21" s="10">
        <v>5.0</v>
      </c>
      <c r="T21" s="10">
        <v>4.0</v>
      </c>
      <c r="U21" s="10">
        <v>2.0</v>
      </c>
      <c r="V21" s="10">
        <v>2.0</v>
      </c>
      <c r="W21" s="10">
        <v>3.0</v>
      </c>
      <c r="X21" s="10">
        <v>5.0</v>
      </c>
      <c r="Y21" s="10">
        <v>4.0</v>
      </c>
      <c r="Z21" s="10">
        <v>3.0</v>
      </c>
      <c r="AA21" s="10">
        <v>3.0</v>
      </c>
      <c r="AB21" s="10">
        <v>5.0</v>
      </c>
      <c r="AC21" s="10">
        <v>5.0</v>
      </c>
    </row>
    <row r="22">
      <c r="A22" s="9">
        <v>41771.70243055555</v>
      </c>
      <c r="B22" s="10" t="s">
        <v>72</v>
      </c>
      <c r="C22" s="4"/>
      <c r="D22" s="10">
        <v>3.0</v>
      </c>
      <c r="E22" s="10">
        <v>3.0</v>
      </c>
      <c r="F22" s="10">
        <v>5.0</v>
      </c>
      <c r="G22" s="10">
        <v>4.0</v>
      </c>
      <c r="H22" s="10">
        <v>2.0</v>
      </c>
      <c r="I22" s="10">
        <v>3.0</v>
      </c>
      <c r="J22" s="10">
        <v>4.0</v>
      </c>
      <c r="K22" s="10">
        <v>2.0</v>
      </c>
      <c r="L22" s="10">
        <v>3.0</v>
      </c>
      <c r="M22" s="10">
        <v>4.0</v>
      </c>
      <c r="N22" s="10">
        <v>5.0</v>
      </c>
      <c r="O22" s="10">
        <v>2.0</v>
      </c>
      <c r="P22" s="10">
        <v>3.0</v>
      </c>
      <c r="Q22" s="10">
        <v>2.0</v>
      </c>
      <c r="R22" s="10">
        <v>3.0</v>
      </c>
      <c r="S22" s="10">
        <v>4.0</v>
      </c>
      <c r="T22" s="10">
        <v>5.0</v>
      </c>
      <c r="U22" s="10">
        <v>2.0</v>
      </c>
      <c r="V22" s="11">
        <v>1.0</v>
      </c>
      <c r="W22" s="10">
        <v>2.0</v>
      </c>
      <c r="X22" s="10">
        <v>2.0</v>
      </c>
      <c r="Y22" s="10">
        <v>5.0</v>
      </c>
      <c r="Z22" s="10">
        <v>5.0</v>
      </c>
      <c r="AA22" s="10">
        <v>2.0</v>
      </c>
      <c r="AB22" s="10">
        <v>3.0</v>
      </c>
      <c r="AC22" s="10">
        <v>2.0</v>
      </c>
    </row>
    <row r="23">
      <c r="A23" s="9">
        <v>41771.780324074076</v>
      </c>
      <c r="B23" s="10" t="s">
        <v>73</v>
      </c>
      <c r="C23" s="4"/>
      <c r="D23" s="10">
        <v>4.0</v>
      </c>
      <c r="E23" s="11">
        <v>1.0</v>
      </c>
      <c r="F23" s="10">
        <v>4.0</v>
      </c>
      <c r="G23" s="10">
        <v>3.0</v>
      </c>
      <c r="H23" s="10">
        <v>3.0</v>
      </c>
      <c r="I23" s="10">
        <v>3.0</v>
      </c>
      <c r="J23" s="10">
        <v>4.0</v>
      </c>
      <c r="K23" s="10">
        <v>4.0</v>
      </c>
      <c r="L23" s="10">
        <v>3.0</v>
      </c>
      <c r="M23" s="10">
        <v>4.0</v>
      </c>
      <c r="N23" s="10">
        <v>4.0</v>
      </c>
      <c r="O23" s="10">
        <v>4.0</v>
      </c>
      <c r="P23" s="10">
        <v>2.0</v>
      </c>
      <c r="Q23" s="10">
        <v>4.0</v>
      </c>
      <c r="R23" s="10">
        <v>4.0</v>
      </c>
      <c r="S23" s="10">
        <v>4.0</v>
      </c>
      <c r="T23" s="10">
        <v>5.0</v>
      </c>
      <c r="U23" s="10">
        <v>2.0</v>
      </c>
      <c r="V23" s="10">
        <v>3.0</v>
      </c>
      <c r="W23" s="10">
        <v>4.0</v>
      </c>
      <c r="X23" s="10">
        <v>3.0</v>
      </c>
      <c r="Y23" s="10">
        <v>4.0</v>
      </c>
      <c r="Z23" s="10">
        <v>3.0</v>
      </c>
      <c r="AA23" s="10">
        <v>3.0</v>
      </c>
      <c r="AB23" s="10">
        <v>4.0</v>
      </c>
      <c r="AC23" s="10">
        <v>5.0</v>
      </c>
    </row>
    <row r="24">
      <c r="A24" s="9">
        <v>41771.86375</v>
      </c>
      <c r="B24" s="10" t="s">
        <v>74</v>
      </c>
      <c r="C24" s="4"/>
      <c r="D24" s="10">
        <v>3.0</v>
      </c>
      <c r="E24" s="10">
        <v>2.0</v>
      </c>
      <c r="F24" s="10">
        <v>3.0</v>
      </c>
      <c r="G24" s="10">
        <v>2.0</v>
      </c>
      <c r="H24" s="10">
        <v>2.0</v>
      </c>
      <c r="I24" s="10">
        <v>3.0</v>
      </c>
      <c r="J24" s="10">
        <v>4.0</v>
      </c>
      <c r="K24" s="10">
        <v>3.0</v>
      </c>
      <c r="L24" s="10">
        <v>2.0</v>
      </c>
      <c r="M24" s="10">
        <v>5.0</v>
      </c>
      <c r="N24" s="10">
        <v>4.0</v>
      </c>
      <c r="O24" s="10">
        <v>2.0</v>
      </c>
      <c r="P24" s="10">
        <v>1.0</v>
      </c>
      <c r="Q24" s="10">
        <v>5.0</v>
      </c>
      <c r="R24" s="10">
        <v>3.0</v>
      </c>
      <c r="S24" s="10">
        <v>5.0</v>
      </c>
      <c r="T24" s="10">
        <v>4.0</v>
      </c>
      <c r="U24" s="10">
        <v>2.0</v>
      </c>
      <c r="V24" s="10">
        <v>1.0</v>
      </c>
      <c r="W24" s="10">
        <v>2.0</v>
      </c>
      <c r="X24" s="11">
        <v>1.0</v>
      </c>
      <c r="Y24" s="10">
        <v>3.0</v>
      </c>
      <c r="Z24" s="10">
        <v>1.0</v>
      </c>
      <c r="AA24" s="10">
        <v>2.0</v>
      </c>
      <c r="AB24" s="10">
        <v>4.0</v>
      </c>
      <c r="AC24" s="10">
        <v>5.0</v>
      </c>
    </row>
    <row r="25">
      <c r="A25" s="9">
        <v>41771.864583333336</v>
      </c>
      <c r="B25" s="10" t="s">
        <v>75</v>
      </c>
      <c r="C25" s="4"/>
      <c r="D25" s="10">
        <v>3.0</v>
      </c>
      <c r="E25" s="10">
        <v>3.0</v>
      </c>
      <c r="F25" s="10">
        <v>3.0</v>
      </c>
      <c r="G25" s="10">
        <v>3.0</v>
      </c>
      <c r="H25" s="10">
        <v>4.0</v>
      </c>
      <c r="I25" s="10">
        <v>3.0</v>
      </c>
      <c r="J25" s="10">
        <v>3.0</v>
      </c>
      <c r="K25" s="10">
        <v>4.0</v>
      </c>
      <c r="L25" s="10">
        <v>3.0</v>
      </c>
      <c r="M25" s="10">
        <v>3.0</v>
      </c>
      <c r="N25" s="10">
        <v>4.0</v>
      </c>
      <c r="O25" s="10">
        <v>3.0</v>
      </c>
      <c r="P25" s="10">
        <v>2.0</v>
      </c>
      <c r="Q25" s="10">
        <v>4.0</v>
      </c>
      <c r="R25" s="10">
        <v>4.0</v>
      </c>
      <c r="S25" s="10">
        <v>5.0</v>
      </c>
      <c r="T25" s="10">
        <v>4.0</v>
      </c>
      <c r="U25" s="10">
        <v>3.0</v>
      </c>
      <c r="V25" s="10">
        <v>2.0</v>
      </c>
      <c r="W25" s="11">
        <v>1.0</v>
      </c>
      <c r="X25" s="10">
        <v>4.0</v>
      </c>
      <c r="Y25" s="10">
        <v>3.0</v>
      </c>
      <c r="Z25" s="10">
        <v>4.0</v>
      </c>
      <c r="AA25" s="10">
        <v>3.0</v>
      </c>
      <c r="AB25" s="10">
        <v>4.0</v>
      </c>
      <c r="AC25" s="10">
        <v>5.0</v>
      </c>
    </row>
    <row r="26">
      <c r="A26" s="9">
        <v>41772.0069212963</v>
      </c>
      <c r="B26" s="10" t="s">
        <v>76</v>
      </c>
      <c r="C26" s="4"/>
      <c r="D26" s="10">
        <v>3.0</v>
      </c>
      <c r="E26" s="10">
        <v>3.0</v>
      </c>
      <c r="F26" s="10">
        <v>5.0</v>
      </c>
      <c r="G26" s="10">
        <v>3.0</v>
      </c>
      <c r="H26" s="10">
        <v>3.0</v>
      </c>
      <c r="I26" s="10">
        <v>3.0</v>
      </c>
      <c r="J26" s="10">
        <v>4.0</v>
      </c>
      <c r="K26" s="10">
        <v>5.0</v>
      </c>
      <c r="L26" s="10">
        <v>2.0</v>
      </c>
      <c r="M26" s="10">
        <v>5.0</v>
      </c>
      <c r="N26" s="10">
        <v>5.0</v>
      </c>
      <c r="O26" s="10">
        <v>4.0</v>
      </c>
      <c r="P26" s="10">
        <v>1.0</v>
      </c>
      <c r="Q26" s="10">
        <v>4.0</v>
      </c>
      <c r="R26" s="11">
        <v>1.0</v>
      </c>
      <c r="S26" s="10">
        <v>4.0</v>
      </c>
      <c r="T26" s="10">
        <v>5.0</v>
      </c>
      <c r="U26" s="10">
        <v>2.0</v>
      </c>
      <c r="V26" s="10">
        <v>3.0</v>
      </c>
      <c r="W26" s="10">
        <v>3.0</v>
      </c>
      <c r="X26" s="10">
        <v>4.0</v>
      </c>
      <c r="Y26" s="10">
        <v>3.0</v>
      </c>
      <c r="Z26" s="10">
        <v>4.0</v>
      </c>
      <c r="AA26" s="10">
        <v>2.0</v>
      </c>
      <c r="AB26" s="10">
        <v>4.0</v>
      </c>
      <c r="AC26" s="10">
        <v>5.0</v>
      </c>
    </row>
    <row r="27">
      <c r="A27" s="9">
        <v>41772.950520833336</v>
      </c>
      <c r="B27" s="10" t="s">
        <v>77</v>
      </c>
      <c r="C27" s="4"/>
      <c r="D27" s="10">
        <v>2.0</v>
      </c>
      <c r="E27" s="10">
        <v>3.0</v>
      </c>
      <c r="F27" s="10">
        <v>3.0</v>
      </c>
      <c r="G27" s="10">
        <v>3.0</v>
      </c>
      <c r="H27" s="10">
        <v>4.0</v>
      </c>
      <c r="I27" s="10">
        <v>2.0</v>
      </c>
      <c r="J27" s="10">
        <v>3.0</v>
      </c>
      <c r="K27" s="10">
        <v>4.0</v>
      </c>
      <c r="L27" s="10">
        <v>3.0</v>
      </c>
      <c r="M27" s="10">
        <v>4.0</v>
      </c>
      <c r="N27" s="10">
        <v>4.0</v>
      </c>
      <c r="O27" s="10">
        <v>3.0</v>
      </c>
      <c r="P27" s="10">
        <v>2.0</v>
      </c>
      <c r="Q27" s="10">
        <v>4.0</v>
      </c>
      <c r="R27" s="10">
        <v>4.0</v>
      </c>
      <c r="S27" s="10">
        <v>4.0</v>
      </c>
      <c r="T27" s="10">
        <v>5.0</v>
      </c>
      <c r="U27" s="10">
        <v>3.0</v>
      </c>
      <c r="V27" s="10">
        <v>3.0</v>
      </c>
      <c r="W27" s="10">
        <v>4.0</v>
      </c>
      <c r="X27" s="10">
        <v>4.0</v>
      </c>
      <c r="Y27" s="10">
        <v>4.0</v>
      </c>
      <c r="Z27" s="10">
        <v>4.0</v>
      </c>
      <c r="AA27" s="10">
        <v>3.0</v>
      </c>
      <c r="AB27" s="10">
        <v>5.0</v>
      </c>
      <c r="AC27" s="10">
        <v>5.0</v>
      </c>
    </row>
    <row r="28">
      <c r="A28" s="9">
        <v>41773.045277777775</v>
      </c>
      <c r="B28" s="10" t="s">
        <v>78</v>
      </c>
      <c r="C28" s="4"/>
      <c r="D28" s="10">
        <v>2.0</v>
      </c>
      <c r="E28" s="10">
        <v>3.0</v>
      </c>
      <c r="F28" s="10">
        <v>5.0</v>
      </c>
      <c r="G28" s="10">
        <v>3.0</v>
      </c>
      <c r="H28" s="10">
        <v>4.0</v>
      </c>
      <c r="I28" s="10">
        <v>3.0</v>
      </c>
      <c r="J28" s="10">
        <v>4.0</v>
      </c>
      <c r="K28" s="10">
        <v>4.0</v>
      </c>
      <c r="L28" s="10">
        <v>3.0</v>
      </c>
      <c r="M28" s="10">
        <v>3.0</v>
      </c>
      <c r="N28" s="11">
        <v>1.0</v>
      </c>
      <c r="O28" s="10">
        <v>3.0</v>
      </c>
      <c r="P28" s="10">
        <v>1.0</v>
      </c>
      <c r="Q28" s="10">
        <v>3.0</v>
      </c>
      <c r="R28" s="10">
        <v>4.0</v>
      </c>
      <c r="S28" s="10">
        <v>3.0</v>
      </c>
      <c r="T28" s="10">
        <v>5.0</v>
      </c>
      <c r="U28" s="10">
        <v>2.0</v>
      </c>
      <c r="V28" s="10">
        <v>3.0</v>
      </c>
      <c r="W28" s="10">
        <v>3.0</v>
      </c>
      <c r="X28" s="10">
        <v>5.0</v>
      </c>
      <c r="Y28" s="10">
        <v>3.0</v>
      </c>
      <c r="Z28" s="10">
        <v>3.0</v>
      </c>
      <c r="AA28" s="10">
        <v>3.0</v>
      </c>
      <c r="AB28" s="10">
        <v>4.0</v>
      </c>
      <c r="AC28" s="10">
        <v>4.0</v>
      </c>
    </row>
    <row r="29">
      <c r="A29" s="9">
        <v>41773.046215277776</v>
      </c>
      <c r="B29" s="10" t="s">
        <v>79</v>
      </c>
      <c r="C29" s="4"/>
      <c r="D29" s="10">
        <v>3.0</v>
      </c>
      <c r="E29" s="10">
        <v>4.0</v>
      </c>
      <c r="F29" s="10">
        <v>4.0</v>
      </c>
      <c r="G29" s="10">
        <v>4.0</v>
      </c>
      <c r="H29" s="10">
        <v>4.0</v>
      </c>
      <c r="I29" s="10">
        <v>3.0</v>
      </c>
      <c r="J29" s="10">
        <v>5.0</v>
      </c>
      <c r="K29" s="11">
        <v>1.0</v>
      </c>
      <c r="L29" s="10">
        <v>3.0</v>
      </c>
      <c r="M29" s="10">
        <v>5.0</v>
      </c>
      <c r="N29" s="10">
        <v>4.0</v>
      </c>
      <c r="O29" s="10">
        <v>4.0</v>
      </c>
      <c r="P29" s="10">
        <v>2.0</v>
      </c>
      <c r="Q29" s="10">
        <v>4.0</v>
      </c>
      <c r="R29" s="10">
        <v>5.0</v>
      </c>
      <c r="S29" s="10">
        <v>4.0</v>
      </c>
      <c r="T29" s="10">
        <v>5.0</v>
      </c>
      <c r="U29" s="10">
        <v>3.0</v>
      </c>
      <c r="V29" s="10">
        <v>3.0</v>
      </c>
      <c r="W29" s="10">
        <v>4.0</v>
      </c>
      <c r="X29" s="10">
        <v>3.0</v>
      </c>
      <c r="Y29" s="10">
        <v>4.0</v>
      </c>
      <c r="Z29" s="10">
        <v>4.0</v>
      </c>
      <c r="AA29" s="10">
        <v>2.0</v>
      </c>
      <c r="AB29" s="10">
        <v>4.0</v>
      </c>
      <c r="AC29" s="10">
        <v>5.0</v>
      </c>
    </row>
    <row r="30">
      <c r="A30" s="9">
        <v>41773.85559027778</v>
      </c>
      <c r="B30" s="10" t="s">
        <v>80</v>
      </c>
      <c r="C30" s="4"/>
      <c r="D30" s="10">
        <v>3.0</v>
      </c>
      <c r="E30" s="10">
        <v>3.0</v>
      </c>
      <c r="F30" s="10">
        <v>4.0</v>
      </c>
      <c r="G30" s="10">
        <v>3.0</v>
      </c>
      <c r="H30" s="10">
        <v>3.0</v>
      </c>
      <c r="I30" s="10">
        <v>3.0</v>
      </c>
      <c r="J30" s="10">
        <v>4.0</v>
      </c>
      <c r="K30" s="10">
        <v>5.0</v>
      </c>
      <c r="L30" s="10">
        <v>3.0</v>
      </c>
      <c r="M30" s="10">
        <v>4.0</v>
      </c>
      <c r="N30" s="10">
        <v>5.0</v>
      </c>
      <c r="O30" s="10">
        <v>4.0</v>
      </c>
      <c r="P30" s="10">
        <v>2.0</v>
      </c>
      <c r="Q30" s="10">
        <v>5.0</v>
      </c>
      <c r="R30" s="10">
        <v>4.0</v>
      </c>
      <c r="S30" s="10">
        <v>5.0</v>
      </c>
      <c r="T30" s="10">
        <v>5.0</v>
      </c>
      <c r="U30" s="10">
        <v>3.0</v>
      </c>
      <c r="V30" s="10">
        <v>3.0</v>
      </c>
      <c r="W30" s="10">
        <v>4.0</v>
      </c>
      <c r="X30" s="10">
        <v>4.0</v>
      </c>
      <c r="Y30" s="10">
        <v>3.0</v>
      </c>
      <c r="Z30" s="10">
        <v>3.0</v>
      </c>
      <c r="AA30" s="10">
        <v>3.0</v>
      </c>
      <c r="AB30" s="11">
        <v>1.0</v>
      </c>
      <c r="AC30" s="10">
        <v>5.0</v>
      </c>
    </row>
    <row r="31">
      <c r="A31" s="9">
        <v>41774.93760416667</v>
      </c>
      <c r="B31" s="10" t="s">
        <v>81</v>
      </c>
      <c r="C31" s="4"/>
      <c r="D31" s="10">
        <v>1.0</v>
      </c>
      <c r="E31" s="10">
        <v>3.0</v>
      </c>
      <c r="F31" s="10">
        <v>1.0</v>
      </c>
      <c r="G31" s="10">
        <v>1.0</v>
      </c>
      <c r="H31" s="10">
        <v>1.0</v>
      </c>
      <c r="I31" s="10">
        <v>1.0</v>
      </c>
      <c r="J31" s="10">
        <v>3.0</v>
      </c>
      <c r="K31" s="10">
        <v>5.0</v>
      </c>
      <c r="L31" s="10">
        <v>3.0</v>
      </c>
      <c r="M31" s="10">
        <v>3.0</v>
      </c>
      <c r="N31" s="10">
        <v>3.0</v>
      </c>
      <c r="O31" s="10">
        <v>4.0</v>
      </c>
      <c r="P31" s="10">
        <v>1.0</v>
      </c>
      <c r="Q31" s="11">
        <v>1.0</v>
      </c>
      <c r="R31" s="10">
        <v>3.0</v>
      </c>
      <c r="S31" s="10">
        <v>2.0</v>
      </c>
      <c r="T31" s="10">
        <v>4.0</v>
      </c>
      <c r="U31" s="10">
        <v>2.0</v>
      </c>
      <c r="V31" s="10">
        <v>2.0</v>
      </c>
      <c r="W31" s="10">
        <v>3.0</v>
      </c>
      <c r="X31" s="10">
        <v>4.0</v>
      </c>
      <c r="Y31" s="10">
        <v>5.0</v>
      </c>
      <c r="Z31" s="10">
        <v>2.0</v>
      </c>
      <c r="AA31" s="10">
        <v>1.0</v>
      </c>
      <c r="AB31" s="10">
        <v>3.0</v>
      </c>
      <c r="AC31" s="10">
        <v>5.0</v>
      </c>
    </row>
    <row r="32">
      <c r="A32" s="4"/>
      <c r="B32" s="12" t="s">
        <v>82</v>
      </c>
      <c r="C32" s="13"/>
      <c r="D32" s="13"/>
      <c r="E32" s="13"/>
      <c r="F32" s="13">
        <f>COUNTIF(F4:F31,5)</f>
        <v>4</v>
      </c>
      <c r="G32" s="13"/>
      <c r="H32" s="13"/>
      <c r="I32" s="13"/>
      <c r="J32" s="14">
        <f t="shared" ref="J32:K32" si="1">COUNTIF(J2:J31,5)</f>
        <v>9</v>
      </c>
      <c r="K32" s="15">
        <f t="shared" si="1"/>
        <v>12</v>
      </c>
      <c r="L32" s="13"/>
      <c r="M32" s="13">
        <f>COUNTIF(M2:M31,5)</f>
        <v>12</v>
      </c>
      <c r="N32" s="13"/>
      <c r="O32" s="13"/>
      <c r="P32" s="13"/>
      <c r="Q32" s="14">
        <f t="shared" ref="Q32:S32" si="2">COUNTIF(Q2:Q31,5)</f>
        <v>9</v>
      </c>
      <c r="R32" s="13">
        <f t="shared" si="2"/>
        <v>6</v>
      </c>
      <c r="S32" s="15">
        <f t="shared" si="2"/>
        <v>12</v>
      </c>
      <c r="T32" s="13"/>
      <c r="U32" s="13"/>
      <c r="V32" s="13"/>
      <c r="W32" s="13">
        <f>COUNTIF(W4:W31,5)</f>
        <v>2</v>
      </c>
      <c r="X32" s="13"/>
      <c r="Y32" s="13"/>
      <c r="Z32" s="13"/>
      <c r="AA32" s="13"/>
      <c r="AB32" s="13"/>
      <c r="AC32" s="13"/>
    </row>
    <row r="33">
      <c r="A33" s="4"/>
      <c r="B33" s="12" t="s">
        <v>83</v>
      </c>
      <c r="C33" s="13"/>
      <c r="D33" s="13"/>
      <c r="E33" s="13"/>
      <c r="F33" s="13"/>
      <c r="G33" s="13"/>
      <c r="H33" s="13"/>
      <c r="I33" s="13"/>
      <c r="J33" s="14">
        <f t="shared" ref="J33:K33" si="3">COUNTIF(J2:J31,4)</f>
        <v>13</v>
      </c>
      <c r="K33" s="15">
        <f t="shared" si="3"/>
        <v>11</v>
      </c>
      <c r="L33" s="13"/>
      <c r="M33" s="13">
        <f>COUNTIF(M2:M31,4)</f>
        <v>10</v>
      </c>
      <c r="N33" s="13"/>
      <c r="O33" s="13"/>
      <c r="P33" s="13"/>
      <c r="Q33" s="14">
        <f>COUNTIF(Q2:Q31,4)</f>
        <v>13</v>
      </c>
      <c r="R33" s="13"/>
      <c r="S33" s="15">
        <f>COUNTIF(S2:S31,4)</f>
        <v>11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4"/>
      <c r="B34" s="12" t="s">
        <v>84</v>
      </c>
      <c r="C34" s="13"/>
      <c r="D34" s="13"/>
      <c r="E34" s="13"/>
      <c r="F34" s="13"/>
      <c r="G34" s="13"/>
      <c r="H34" s="13"/>
      <c r="I34" s="13"/>
      <c r="J34" s="14">
        <f t="shared" ref="J34:K34" si="4">COUNTIF(J2:J31,3)</f>
        <v>5</v>
      </c>
      <c r="K34" s="15">
        <f t="shared" si="4"/>
        <v>5</v>
      </c>
      <c r="L34" s="13"/>
      <c r="M34" s="13"/>
      <c r="N34" s="13"/>
      <c r="O34" s="13"/>
      <c r="P34" s="13"/>
      <c r="Q34" s="14">
        <f>COUNTIF(Q2:Q31,3)</f>
        <v>5</v>
      </c>
      <c r="R34" s="13"/>
      <c r="S34" s="15">
        <f>COUNTIF(S2:S31,3)</f>
        <v>5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4"/>
      <c r="B35" s="12" t="s">
        <v>85</v>
      </c>
      <c r="C35" s="13"/>
      <c r="D35" s="13"/>
      <c r="E35" s="13"/>
      <c r="F35" s="13"/>
      <c r="G35" s="13"/>
      <c r="H35" s="13"/>
      <c r="I35" s="13"/>
      <c r="J35" s="14">
        <f t="shared" ref="J35:K35" si="5">COUNTIF(J2:J31,2)</f>
        <v>1</v>
      </c>
      <c r="K35" s="15">
        <f t="shared" si="5"/>
        <v>1</v>
      </c>
      <c r="L35" s="13"/>
      <c r="M35" s="13"/>
      <c r="N35" s="13"/>
      <c r="O35" s="13"/>
      <c r="P35" s="13"/>
      <c r="Q35" s="14">
        <f>COUNTIF(Q2:Q31,2)</f>
        <v>1</v>
      </c>
      <c r="R35" s="13"/>
      <c r="S35" s="15">
        <f>COUNTIF(S2:S31,2)</f>
        <v>1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4"/>
      <c r="B36" s="12" t="s">
        <v>86</v>
      </c>
      <c r="C36" s="13"/>
      <c r="D36" s="13"/>
      <c r="E36" s="13"/>
      <c r="F36" s="13"/>
      <c r="G36" s="13"/>
      <c r="H36" s="13"/>
      <c r="I36" s="13"/>
      <c r="J36" s="14">
        <f t="shared" ref="J36:K36" si="6">COUNTIF(J2:J31,1)</f>
        <v>2</v>
      </c>
      <c r="K36" s="15">
        <f t="shared" si="6"/>
        <v>1</v>
      </c>
      <c r="L36" s="13"/>
      <c r="M36" s="13"/>
      <c r="N36" s="13"/>
      <c r="O36" s="13"/>
      <c r="P36" s="13"/>
      <c r="Q36" s="14">
        <f>COUNTIF(Q2:Q31,1)</f>
        <v>2</v>
      </c>
      <c r="R36" s="13"/>
      <c r="S36" s="15">
        <f>COUNTIF(S2:S31,1)</f>
        <v>1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3.88"/>
    <col customWidth="1" min="2" max="2" width="9.38"/>
    <col customWidth="1" min="3" max="3" width="5.25"/>
    <col customWidth="1" min="4" max="4" width="6.0"/>
    <col customWidth="1" min="5" max="5" width="6.38"/>
    <col customWidth="1" min="6" max="6" width="5.88"/>
    <col customWidth="1" min="7" max="7" width="5.5"/>
  </cols>
  <sheetData>
    <row r="1">
      <c r="A1" s="16" t="s">
        <v>87</v>
      </c>
      <c r="B1" s="16" t="s">
        <v>88</v>
      </c>
      <c r="C1" s="16" t="s">
        <v>89</v>
      </c>
      <c r="D1" s="16" t="s">
        <v>90</v>
      </c>
      <c r="E1" s="16" t="s">
        <v>91</v>
      </c>
      <c r="F1" s="16" t="s">
        <v>92</v>
      </c>
      <c r="G1" s="16" t="s">
        <v>93</v>
      </c>
    </row>
    <row r="2">
      <c r="A2" s="17" t="str">
        <f>'Voting Results'!B2</f>
        <v>ThePresent</v>
      </c>
      <c r="B2" s="18">
        <f>SUM('Voting Results'!D2:AC2)</f>
        <v>89</v>
      </c>
      <c r="C2" s="18">
        <f>COUNTIF('Voting Results'!D2:AC2,1)</f>
        <v>0</v>
      </c>
      <c r="D2" s="18">
        <f>COUNTIF('Voting Results'!D2:AC2,2)</f>
        <v>3</v>
      </c>
      <c r="E2" s="18">
        <f>COUNTIF('Voting Results'!D2:AC2,3)</f>
        <v>12</v>
      </c>
      <c r="F2" s="18">
        <f>COUNTIF('Voting Results'!D2:AC2,4)</f>
        <v>8</v>
      </c>
      <c r="G2" s="18">
        <f>COUNTIF('Voting Results'!D2:AC2,5)</f>
        <v>3</v>
      </c>
    </row>
    <row r="3">
      <c r="A3" s="17" t="str">
        <f>'Voting Results'!B3</f>
        <v>spidergod</v>
      </c>
      <c r="B3" s="18">
        <f>SUM('Voting Results'!D3:AC3)</f>
        <v>93</v>
      </c>
      <c r="C3" s="18">
        <f>COUNTIF('Voting Results'!D3:AC3,1)</f>
        <v>1</v>
      </c>
      <c r="D3" s="18">
        <f>COUNTIF('Voting Results'!D3:AC3,2)</f>
        <v>1</v>
      </c>
      <c r="E3" s="18">
        <f>COUNTIF('Voting Results'!D3:AC3,3)</f>
        <v>12</v>
      </c>
      <c r="F3" s="18">
        <f>COUNTIF('Voting Results'!D3:AC3,4)</f>
        <v>6</v>
      </c>
      <c r="G3" s="18">
        <f>COUNTIF('Voting Results'!D3:AC3,5)</f>
        <v>6</v>
      </c>
    </row>
    <row r="4">
      <c r="A4" s="17" t="str">
        <f>'Voting Results'!B4</f>
        <v>U-o</v>
      </c>
      <c r="B4" s="18">
        <f>SUM('Voting Results'!D4:AC4)</f>
        <v>74</v>
      </c>
      <c r="C4" s="18">
        <f>COUNTIF('Voting Results'!D4:AC4,1)</f>
        <v>1</v>
      </c>
      <c r="D4" s="18">
        <f>COUNTIF('Voting Results'!D4:AC4,2)</f>
        <v>12</v>
      </c>
      <c r="E4" s="18">
        <f>COUNTIF('Voting Results'!D4:AC4,3)</f>
        <v>6</v>
      </c>
      <c r="F4" s="18">
        <f>COUNTIF('Voting Results'!D4:AC4,4)</f>
        <v>4</v>
      </c>
      <c r="G4" s="18">
        <f>COUNTIF('Voting Results'!D4:AC4,5)</f>
        <v>3</v>
      </c>
    </row>
    <row r="5">
      <c r="A5" s="17" t="str">
        <f>'Voting Results'!B5</f>
        <v>Full Bucket</v>
      </c>
      <c r="B5" s="18">
        <f>SUM('Voting Results'!D5:AC5)</f>
        <v>98</v>
      </c>
      <c r="C5" s="18">
        <f>COUNTIF('Voting Results'!D5:AC5,1)</f>
        <v>1</v>
      </c>
      <c r="D5" s="18">
        <f>COUNTIF('Voting Results'!D5:AC5,2)</f>
        <v>2</v>
      </c>
      <c r="E5" s="18">
        <f>COUNTIF('Voting Results'!D5:AC5,3)</f>
        <v>6</v>
      </c>
      <c r="F5" s="18">
        <f>COUNTIF('Voting Results'!D5:AC5,4)</f>
        <v>10</v>
      </c>
      <c r="G5" s="18">
        <f>COUNTIF('Voting Results'!D5:AC5,5)</f>
        <v>7</v>
      </c>
    </row>
    <row r="6">
      <c r="A6" s="17" t="str">
        <f>'Voting Results'!B6</f>
        <v>z.prime</v>
      </c>
      <c r="B6" s="18">
        <f>SUM('Voting Results'!D6:AC6)</f>
        <v>85</v>
      </c>
      <c r="C6" s="18">
        <f>COUNTIF('Voting Results'!D6:AC6,1)</f>
        <v>2</v>
      </c>
      <c r="D6" s="18">
        <f>COUNTIF('Voting Results'!D6:AC6,2)</f>
        <v>2</v>
      </c>
      <c r="E6" s="18">
        <f>COUNTIF('Voting Results'!D6:AC6,3)</f>
        <v>11</v>
      </c>
      <c r="F6" s="18">
        <f>COUNTIF('Voting Results'!D6:AC6,4)</f>
        <v>9</v>
      </c>
      <c r="G6" s="18">
        <f>COUNTIF('Voting Results'!D6:AC6,5)</f>
        <v>2</v>
      </c>
    </row>
    <row r="7">
      <c r="A7" s="17" t="str">
        <f>'Voting Results'!B7</f>
        <v>new kids on the block</v>
      </c>
      <c r="B7" s="18">
        <f>SUM('Voting Results'!D7:AC7)</f>
        <v>65</v>
      </c>
      <c r="C7" s="18">
        <f>COUNTIF('Voting Results'!D7:AC7,1)</f>
        <v>8</v>
      </c>
      <c r="D7" s="18">
        <f>COUNTIF('Voting Results'!D7:AC7,2)</f>
        <v>6</v>
      </c>
      <c r="E7" s="18">
        <f>COUNTIF('Voting Results'!D7:AC7,3)</f>
        <v>6</v>
      </c>
      <c r="F7" s="18">
        <f>COUNTIF('Voting Results'!D7:AC7,4)</f>
        <v>3</v>
      </c>
      <c r="G7" s="18">
        <f>COUNTIF('Voting Results'!D7:AC7,5)</f>
        <v>3</v>
      </c>
    </row>
    <row r="8">
      <c r="A8" s="17" t="str">
        <f>'Voting Results'!B8</f>
        <v>Loris DS</v>
      </c>
      <c r="B8" s="18">
        <f>SUM('Voting Results'!D8:AC8)</f>
        <v>77</v>
      </c>
      <c r="C8" s="18">
        <f>COUNTIF('Voting Results'!D8:AC8,1)</f>
        <v>1</v>
      </c>
      <c r="D8" s="18">
        <f>COUNTIF('Voting Results'!D8:AC8,2)</f>
        <v>7</v>
      </c>
      <c r="E8" s="18">
        <f>COUNTIF('Voting Results'!D8:AC8,3)</f>
        <v>12</v>
      </c>
      <c r="F8" s="18">
        <f>COUNTIF('Voting Results'!D8:AC8,4)</f>
        <v>4</v>
      </c>
      <c r="G8" s="18">
        <f>COUNTIF('Voting Results'!D8:AC8,5)</f>
        <v>2</v>
      </c>
    </row>
    <row r="9">
      <c r="A9" s="17" t="str">
        <f>'Voting Results'!B9</f>
        <v>BK1</v>
      </c>
      <c r="B9" s="18">
        <f>SUM('Voting Results'!D9:AC9)</f>
        <v>109</v>
      </c>
      <c r="C9" s="18">
        <f>COUNTIF('Voting Results'!D9:AC9,1)</f>
        <v>1</v>
      </c>
      <c r="D9" s="18">
        <f>COUNTIF('Voting Results'!D9:AC9,2)</f>
        <v>1</v>
      </c>
      <c r="E9" s="18">
        <f>COUNTIF('Voting Results'!D9:AC9,3)</f>
        <v>4</v>
      </c>
      <c r="F9" s="18">
        <f>COUNTIF('Voting Results'!D9:AC9,4)</f>
        <v>6</v>
      </c>
      <c r="G9" s="18">
        <f>COUNTIF('Voting Results'!D9:AC9,5)</f>
        <v>14</v>
      </c>
    </row>
    <row r="10">
      <c r="A10" s="17" t="str">
        <f>'Voting Results'!B10</f>
        <v>flipm1967</v>
      </c>
      <c r="B10" s="18">
        <f>SUM('Voting Results'!D10:AC10)</f>
        <v>92</v>
      </c>
      <c r="C10" s="18">
        <f>COUNTIF('Voting Results'!D10:AC10,1)</f>
        <v>2</v>
      </c>
      <c r="D10" s="18">
        <f>COUNTIF('Voting Results'!D10:AC10,2)</f>
        <v>2</v>
      </c>
      <c r="E10" s="18">
        <f>COUNTIF('Voting Results'!D10:AC10,3)</f>
        <v>8</v>
      </c>
      <c r="F10" s="18">
        <f>COUNTIF('Voting Results'!D10:AC10,4)</f>
        <v>8</v>
      </c>
      <c r="G10" s="18">
        <f>COUNTIF('Voting Results'!D10:AC10,5)</f>
        <v>6</v>
      </c>
    </row>
    <row r="11">
      <c r="A11" s="17" t="str">
        <f>'Voting Results'!B11</f>
        <v>satYatunes</v>
      </c>
      <c r="B11" s="18">
        <f>SUM('Voting Results'!D11:AC11)</f>
        <v>87</v>
      </c>
      <c r="C11" s="18">
        <f>COUNTIF('Voting Results'!D11:AC11,1)</f>
        <v>0</v>
      </c>
      <c r="D11" s="18">
        <f>COUNTIF('Voting Results'!D11:AC11,2)</f>
        <v>4</v>
      </c>
      <c r="E11" s="18">
        <f>COUNTIF('Voting Results'!D11:AC11,3)</f>
        <v>13</v>
      </c>
      <c r="F11" s="18">
        <f>COUNTIF('Voting Results'!D11:AC11,4)</f>
        <v>5</v>
      </c>
      <c r="G11" s="18">
        <f>COUNTIF('Voting Results'!D11:AC11,5)</f>
        <v>4</v>
      </c>
    </row>
    <row r="12">
      <c r="A12" s="17" t="str">
        <f>'Voting Results'!B12</f>
        <v>DoctorBob</v>
      </c>
      <c r="B12" s="18">
        <f>SUM('Voting Results'!D12:AC12)</f>
        <v>97</v>
      </c>
      <c r="C12" s="18">
        <f>COUNTIF('Voting Results'!D12:AC12,1)</f>
        <v>1</v>
      </c>
      <c r="D12" s="18">
        <f>COUNTIF('Voting Results'!D12:AC12,2)</f>
        <v>3</v>
      </c>
      <c r="E12" s="18">
        <f>COUNTIF('Voting Results'!D12:AC12,3)</f>
        <v>6</v>
      </c>
      <c r="F12" s="18">
        <f>COUNTIF('Voting Results'!D12:AC12,4)</f>
        <v>8</v>
      </c>
      <c r="G12" s="18">
        <f>COUNTIF('Voting Results'!D12:AC12,5)</f>
        <v>8</v>
      </c>
    </row>
    <row r="13">
      <c r="A13" s="17" t="str">
        <f>'Voting Results'!B13</f>
        <v>cytoSonic</v>
      </c>
      <c r="B13" s="18">
        <f>SUM('Voting Results'!D13:AC13)</f>
        <v>88</v>
      </c>
      <c r="C13" s="18">
        <f>COUNTIF('Voting Results'!D13:AC13,1)</f>
        <v>1</v>
      </c>
      <c r="D13" s="18">
        <f>COUNTIF('Voting Results'!D13:AC13,2)</f>
        <v>8</v>
      </c>
      <c r="E13" s="18">
        <f>COUNTIF('Voting Results'!D13:AC13,3)</f>
        <v>2</v>
      </c>
      <c r="F13" s="18">
        <f>COUNTIF('Voting Results'!D13:AC13,4)</f>
        <v>10</v>
      </c>
      <c r="G13" s="18">
        <f>COUNTIF('Voting Results'!D13:AC13,5)</f>
        <v>5</v>
      </c>
    </row>
    <row r="14">
      <c r="A14" s="17" t="str">
        <f>'Voting Results'!B14</f>
        <v>Pulse Width Modulation</v>
      </c>
      <c r="B14" s="18">
        <f>SUM('Voting Results'!D14:AC14)</f>
        <v>105</v>
      </c>
      <c r="C14" s="18">
        <f>COUNTIF('Voting Results'!D14:AC14,1)</f>
        <v>2</v>
      </c>
      <c r="D14" s="18">
        <f>COUNTIF('Voting Results'!D14:AC14,2)</f>
        <v>0</v>
      </c>
      <c r="E14" s="18">
        <f>COUNTIF('Voting Results'!D14:AC14,3)</f>
        <v>5</v>
      </c>
      <c r="F14" s="18">
        <f>COUNTIF('Voting Results'!D14:AC14,4)</f>
        <v>7</v>
      </c>
      <c r="G14" s="18">
        <f>COUNTIF('Voting Results'!D14:AC14,5)</f>
        <v>12</v>
      </c>
    </row>
    <row r="15">
      <c r="A15" s="17" t="str">
        <f>'Voting Results'!B15</f>
        <v>JKF Flashico</v>
      </c>
      <c r="B15" s="18">
        <f>SUM('Voting Results'!D15:AC15)</f>
        <v>92</v>
      </c>
      <c r="C15" s="18">
        <f>COUNTIF('Voting Results'!D15:AC15,1)</f>
        <v>1</v>
      </c>
      <c r="D15" s="18">
        <f>COUNTIF('Voting Results'!D15:AC15,2)</f>
        <v>1</v>
      </c>
      <c r="E15" s="18">
        <f>COUNTIF('Voting Results'!D15:AC15,3)</f>
        <v>10</v>
      </c>
      <c r="F15" s="18">
        <f>COUNTIF('Voting Results'!D15:AC15,4)</f>
        <v>11</v>
      </c>
      <c r="G15" s="18">
        <f>COUNTIF('Voting Results'!D15:AC15,5)</f>
        <v>3</v>
      </c>
    </row>
    <row r="16">
      <c r="A16" s="17" t="str">
        <f>'Voting Results'!B16</f>
        <v>Photonic</v>
      </c>
      <c r="B16" s="18">
        <f>SUM('Voting Results'!D16:AC16)</f>
        <v>82</v>
      </c>
      <c r="C16" s="18">
        <f>COUNTIF('Voting Results'!D16:AC16,1)</f>
        <v>2</v>
      </c>
      <c r="D16" s="18">
        <f>COUNTIF('Voting Results'!D16:AC16,2)</f>
        <v>8</v>
      </c>
      <c r="E16" s="18">
        <f>COUNTIF('Voting Results'!D16:AC16,3)</f>
        <v>6</v>
      </c>
      <c r="F16" s="18">
        <f>COUNTIF('Voting Results'!D16:AC16,4)</f>
        <v>4</v>
      </c>
      <c r="G16" s="18">
        <f>COUNTIF('Voting Results'!D16:AC16,5)</f>
        <v>6</v>
      </c>
    </row>
    <row r="17">
      <c r="A17" s="17" t="str">
        <f>'Voting Results'!B17</f>
        <v>psmacmur</v>
      </c>
      <c r="B17" s="18">
        <f>SUM('Voting Results'!D17:AC17)</f>
        <v>92</v>
      </c>
      <c r="C17" s="18">
        <f>COUNTIF('Voting Results'!D17:AC17,1)</f>
        <v>0</v>
      </c>
      <c r="D17" s="18">
        <f>COUNTIF('Voting Results'!D17:AC17,2)</f>
        <v>4</v>
      </c>
      <c r="E17" s="18">
        <f>COUNTIF('Voting Results'!D17:AC17,3)</f>
        <v>11</v>
      </c>
      <c r="F17" s="18">
        <f>COUNTIF('Voting Results'!D17:AC17,4)</f>
        <v>4</v>
      </c>
      <c r="G17" s="18">
        <f>COUNTIF('Voting Results'!D17:AC17,5)</f>
        <v>7</v>
      </c>
    </row>
    <row r="18">
      <c r="A18" s="17" t="str">
        <f>'Voting Results'!B18</f>
        <v>ballacr75</v>
      </c>
      <c r="B18" s="18">
        <f>SUM('Voting Results'!D18:AC18)</f>
        <v>67</v>
      </c>
      <c r="C18" s="18">
        <f>COUNTIF('Voting Results'!D18:AC18,1)</f>
        <v>11</v>
      </c>
      <c r="D18" s="18">
        <f>COUNTIF('Voting Results'!D18:AC18,2)</f>
        <v>2</v>
      </c>
      <c r="E18" s="18">
        <f>COUNTIF('Voting Results'!D18:AC18,3)</f>
        <v>4</v>
      </c>
      <c r="F18" s="18">
        <f>COUNTIF('Voting Results'!D18:AC18,4)</f>
        <v>5</v>
      </c>
      <c r="G18" s="18">
        <f>COUNTIF('Voting Results'!D18:AC18,5)</f>
        <v>4</v>
      </c>
    </row>
    <row r="19">
      <c r="A19" s="17" t="str">
        <f>'Voting Results'!B19</f>
        <v>terebellum</v>
      </c>
      <c r="B19" s="18">
        <f>SUM('Voting Results'!D19:AC19)</f>
        <v>88</v>
      </c>
      <c r="C19" s="18">
        <f>COUNTIF('Voting Results'!D19:AC19,1)</f>
        <v>1</v>
      </c>
      <c r="D19" s="18">
        <f>COUNTIF('Voting Results'!D19:AC19,2)</f>
        <v>5</v>
      </c>
      <c r="E19" s="18">
        <f>COUNTIF('Voting Results'!D19:AC19,3)</f>
        <v>7</v>
      </c>
      <c r="F19" s="18">
        <f>COUNTIF('Voting Results'!D19:AC19,4)</f>
        <v>9</v>
      </c>
      <c r="G19" s="18">
        <f>COUNTIF('Voting Results'!D19:AC19,5)</f>
        <v>4</v>
      </c>
    </row>
    <row r="20">
      <c r="A20" s="17" t="str">
        <f>'Voting Results'!B20</f>
        <v>richardsemper</v>
      </c>
      <c r="B20" s="18">
        <f>SUM('Voting Results'!D20:AC20)</f>
        <v>90</v>
      </c>
      <c r="C20" s="18">
        <f>COUNTIF('Voting Results'!D20:AC20,1)</f>
        <v>2</v>
      </c>
      <c r="D20" s="18">
        <f>COUNTIF('Voting Results'!D20:AC20,2)</f>
        <v>2</v>
      </c>
      <c r="E20" s="18">
        <f>COUNTIF('Voting Results'!D20:AC20,3)</f>
        <v>10</v>
      </c>
      <c r="F20" s="18">
        <f>COUNTIF('Voting Results'!D20:AC20,4)</f>
        <v>6</v>
      </c>
      <c r="G20" s="18">
        <f>COUNTIF('Voting Results'!D20:AC20,5)</f>
        <v>6</v>
      </c>
    </row>
    <row r="21">
      <c r="A21" s="17" t="str">
        <f>'Voting Results'!B21</f>
        <v>Kraftraum</v>
      </c>
      <c r="B21" s="18">
        <f>SUM('Voting Results'!D21:AC21)</f>
        <v>89</v>
      </c>
      <c r="C21" s="18">
        <f>COUNTIF('Voting Results'!D21:AC21,1)</f>
        <v>2</v>
      </c>
      <c r="D21" s="18">
        <f>COUNTIF('Voting Results'!D21:AC21,2)</f>
        <v>3</v>
      </c>
      <c r="E21" s="18">
        <f>COUNTIF('Voting Results'!D21:AC21,3)</f>
        <v>9</v>
      </c>
      <c r="F21" s="18">
        <f>COUNTIF('Voting Results'!D21:AC21,4)</f>
        <v>6</v>
      </c>
      <c r="G21" s="18">
        <f>COUNTIF('Voting Results'!D21:AC21,5)</f>
        <v>6</v>
      </c>
    </row>
    <row r="22">
      <c r="A22" s="17" t="str">
        <f>'Voting Results'!B22</f>
        <v>Ricler</v>
      </c>
      <c r="B22" s="18">
        <f>SUM('Voting Results'!D22:AC22)</f>
        <v>81</v>
      </c>
      <c r="C22" s="18">
        <f>COUNTIF('Voting Results'!D22:AC22,1)</f>
        <v>1</v>
      </c>
      <c r="D22" s="18">
        <f>COUNTIF('Voting Results'!D22:AC22,2)</f>
        <v>9</v>
      </c>
      <c r="E22" s="18">
        <f>COUNTIF('Voting Results'!D22:AC22,3)</f>
        <v>7</v>
      </c>
      <c r="F22" s="18">
        <f>COUNTIF('Voting Results'!D22:AC22,4)</f>
        <v>4</v>
      </c>
      <c r="G22" s="18">
        <f>COUNTIF('Voting Results'!D22:AC22,5)</f>
        <v>5</v>
      </c>
    </row>
    <row r="23">
      <c r="A23" s="17" t="str">
        <f>'Voting Results'!B23</f>
        <v>BlitBit</v>
      </c>
      <c r="B23" s="18">
        <f>SUM('Voting Results'!D23:AC23)</f>
        <v>91</v>
      </c>
      <c r="C23" s="18">
        <f>COUNTIF('Voting Results'!D23:AC23,1)</f>
        <v>1</v>
      </c>
      <c r="D23" s="18">
        <f>COUNTIF('Voting Results'!D23:AC23,2)</f>
        <v>2</v>
      </c>
      <c r="E23" s="18">
        <f>COUNTIF('Voting Results'!D23:AC23,3)</f>
        <v>8</v>
      </c>
      <c r="F23" s="18">
        <f>COUNTIF('Voting Results'!D23:AC23,4)</f>
        <v>13</v>
      </c>
      <c r="G23" s="18">
        <f>COUNTIF('Voting Results'!D23:AC23,5)</f>
        <v>2</v>
      </c>
    </row>
    <row r="24">
      <c r="A24" s="17" t="str">
        <f>'Voting Results'!B24</f>
        <v>SKYZONE</v>
      </c>
      <c r="B24" s="18">
        <f>SUM('Voting Results'!D24:AC24)</f>
        <v>74</v>
      </c>
      <c r="C24" s="18">
        <f>COUNTIF('Voting Results'!D24:AC24,1)</f>
        <v>4</v>
      </c>
      <c r="D24" s="18">
        <f>COUNTIF('Voting Results'!D24:AC24,2)</f>
        <v>8</v>
      </c>
      <c r="E24" s="18">
        <f>COUNTIF('Voting Results'!D24:AC24,3)</f>
        <v>6</v>
      </c>
      <c r="F24" s="18">
        <f>COUNTIF('Voting Results'!D24:AC24,4)</f>
        <v>4</v>
      </c>
      <c r="G24" s="18">
        <f>COUNTIF('Voting Results'!D24:AC24,5)</f>
        <v>4</v>
      </c>
    </row>
    <row r="25">
      <c r="A25" s="17" t="str">
        <f>'Voting Results'!B25</f>
        <v>shortmanb</v>
      </c>
      <c r="B25" s="18">
        <f>SUM('Voting Results'!D25:AC25)</f>
        <v>87</v>
      </c>
      <c r="C25" s="18">
        <f>COUNTIF('Voting Results'!D25:AC25,1)</f>
        <v>1</v>
      </c>
      <c r="D25" s="18">
        <f>COUNTIF('Voting Results'!D25:AC25,2)</f>
        <v>2</v>
      </c>
      <c r="E25" s="18">
        <f>COUNTIF('Voting Results'!D25:AC25,3)</f>
        <v>12</v>
      </c>
      <c r="F25" s="18">
        <f>COUNTIF('Voting Results'!D25:AC25,4)</f>
        <v>9</v>
      </c>
      <c r="G25" s="18">
        <f>COUNTIF('Voting Results'!D25:AC25,5)</f>
        <v>2</v>
      </c>
    </row>
    <row r="26">
      <c r="A26" s="17" t="str">
        <f>'Voting Results'!B26</f>
        <v>pedalsteeldrummer</v>
      </c>
      <c r="B26" s="18">
        <f>SUM('Voting Results'!D26:AC26)</f>
        <v>90</v>
      </c>
      <c r="C26" s="18">
        <f>COUNTIF('Voting Results'!D26:AC26,1)</f>
        <v>2</v>
      </c>
      <c r="D26" s="18">
        <f>COUNTIF('Voting Results'!D26:AC26,2)</f>
        <v>3</v>
      </c>
      <c r="E26" s="18">
        <f>COUNTIF('Voting Results'!D26:AC26,3)</f>
        <v>8</v>
      </c>
      <c r="F26" s="18">
        <f>COUNTIF('Voting Results'!D26:AC26,4)</f>
        <v>7</v>
      </c>
      <c r="G26" s="18">
        <f>COUNTIF('Voting Results'!D26:AC26,5)</f>
        <v>6</v>
      </c>
    </row>
    <row r="27">
      <c r="A27" s="17" t="str">
        <f>'Voting Results'!B27</f>
        <v>jasinski</v>
      </c>
      <c r="B27" s="18">
        <f>SUM('Voting Results'!D27:AC27)</f>
        <v>92</v>
      </c>
      <c r="C27" s="18">
        <f>COUNTIF('Voting Results'!D27:AC27,1)</f>
        <v>0</v>
      </c>
      <c r="D27" s="18">
        <f>COUNTIF('Voting Results'!D27:AC27,2)</f>
        <v>3</v>
      </c>
      <c r="E27" s="18">
        <f>COUNTIF('Voting Results'!D27:AC27,3)</f>
        <v>9</v>
      </c>
      <c r="F27" s="18">
        <f>COUNTIF('Voting Results'!D27:AC27,4)</f>
        <v>11</v>
      </c>
      <c r="G27" s="18">
        <f>COUNTIF('Voting Results'!D27:AC27,5)</f>
        <v>3</v>
      </c>
    </row>
    <row r="28">
      <c r="A28" s="17" t="str">
        <f>'Voting Results'!B28</f>
        <v>Loft Electronics</v>
      </c>
      <c r="B28" s="18">
        <f>SUM('Voting Results'!D28:AC28)</f>
        <v>84</v>
      </c>
      <c r="C28" s="18">
        <f>COUNTIF('Voting Results'!D28:AC28,1)</f>
        <v>2</v>
      </c>
      <c r="D28" s="18">
        <f>COUNTIF('Voting Results'!D28:AC28,2)</f>
        <v>2</v>
      </c>
      <c r="E28" s="18">
        <f>COUNTIF('Voting Results'!D28:AC28,3)</f>
        <v>13</v>
      </c>
      <c r="F28" s="18">
        <f>COUNTIF('Voting Results'!D28:AC28,4)</f>
        <v>6</v>
      </c>
      <c r="G28" s="18">
        <f>COUNTIF('Voting Results'!D28:AC28,5)</f>
        <v>3</v>
      </c>
    </row>
    <row r="29">
      <c r="A29" s="17" t="str">
        <f>'Voting Results'!B29</f>
        <v>H-man</v>
      </c>
      <c r="B29" s="18">
        <f>SUM('Voting Results'!D29:AC29)</f>
        <v>96</v>
      </c>
      <c r="C29" s="18">
        <f>COUNTIF('Voting Results'!D29:AC29,1)</f>
        <v>1</v>
      </c>
      <c r="D29" s="18">
        <f>COUNTIF('Voting Results'!D29:AC29,2)</f>
        <v>2</v>
      </c>
      <c r="E29" s="18">
        <f>COUNTIF('Voting Results'!D29:AC29,3)</f>
        <v>6</v>
      </c>
      <c r="F29" s="18">
        <f>COUNTIF('Voting Results'!D29:AC29,4)</f>
        <v>12</v>
      </c>
      <c r="G29" s="18">
        <f>COUNTIF('Voting Results'!D29:AC29,5)</f>
        <v>5</v>
      </c>
    </row>
    <row r="30">
      <c r="A30" s="17" t="str">
        <f>'Voting Results'!B30</f>
        <v>Yeager</v>
      </c>
      <c r="B30" s="18">
        <f>SUM('Voting Results'!D30:AC30)</f>
        <v>94</v>
      </c>
      <c r="C30" s="18">
        <f>COUNTIF('Voting Results'!D30:AC30,1)</f>
        <v>1</v>
      </c>
      <c r="D30" s="18">
        <f>COUNTIF('Voting Results'!D30:AC30,2)</f>
        <v>1</v>
      </c>
      <c r="E30" s="18">
        <f>COUNTIF('Voting Results'!D30:AC30,3)</f>
        <v>11</v>
      </c>
      <c r="F30" s="18">
        <f>COUNTIF('Voting Results'!D30:AC30,4)</f>
        <v>7</v>
      </c>
      <c r="G30" s="18">
        <f>COUNTIF('Voting Results'!D30:AC30,5)</f>
        <v>6</v>
      </c>
    </row>
    <row r="31">
      <c r="A31" s="17" t="str">
        <f>'Voting Results'!B31</f>
        <v>Orboscope</v>
      </c>
      <c r="B31" s="18">
        <f>SUM('Voting Results'!D31:AC31)</f>
        <v>67</v>
      </c>
      <c r="C31" s="18">
        <f>COUNTIF('Voting Results'!D31:AC31,1)</f>
        <v>8</v>
      </c>
      <c r="D31" s="18">
        <f>COUNTIF('Voting Results'!D31:AC31,2)</f>
        <v>4</v>
      </c>
      <c r="E31" s="18">
        <f>COUNTIF('Voting Results'!D31:AC31,3)</f>
        <v>8</v>
      </c>
      <c r="F31" s="18">
        <f>COUNTIF('Voting Results'!D31:AC31,4)</f>
        <v>3</v>
      </c>
      <c r="G31" s="18">
        <f>COUNTIF('Voting Results'!D31:AC31,5)</f>
        <v>3</v>
      </c>
    </row>
    <row r="32">
      <c r="A32" s="17" t="str">
        <f>'Voting Results'!B32</f>
        <v>5's</v>
      </c>
      <c r="B32" s="18">
        <f t="shared" ref="B32:B99" si="1">SUM("")</f>
        <v>0</v>
      </c>
      <c r="C32" s="18">
        <f t="shared" ref="C32:C99" si="2">COUNTIF("", 1)</f>
        <v>0</v>
      </c>
      <c r="D32" s="18">
        <f t="shared" ref="D32:D99" si="3">COUNTIF("", 2)</f>
        <v>0</v>
      </c>
      <c r="E32" s="18">
        <f t="shared" ref="E32:E99" si="4">COUNTIF("", 3)</f>
        <v>0</v>
      </c>
      <c r="F32" s="18">
        <f t="shared" ref="F32:F99" si="5">COUNTIF("", 4)</f>
        <v>0</v>
      </c>
      <c r="G32" s="18">
        <f t="shared" ref="G32:G99" si="6">COUNTIF("", 5)</f>
        <v>0</v>
      </c>
    </row>
    <row r="33">
      <c r="A33" s="17" t="str">
        <f>'Voting Results'!B33</f>
        <v>4's</v>
      </c>
      <c r="B33" s="18">
        <f t="shared" si="1"/>
        <v>0</v>
      </c>
      <c r="C33" s="18">
        <f t="shared" si="2"/>
        <v>0</v>
      </c>
      <c r="D33" s="18">
        <f t="shared" si="3"/>
        <v>0</v>
      </c>
      <c r="E33" s="18">
        <f t="shared" si="4"/>
        <v>0</v>
      </c>
      <c r="F33" s="18">
        <f t="shared" si="5"/>
        <v>0</v>
      </c>
      <c r="G33" s="18">
        <f t="shared" si="6"/>
        <v>0</v>
      </c>
    </row>
    <row r="34">
      <c r="A34" s="17" t="str">
        <f>'Voting Results'!B34</f>
        <v>3's</v>
      </c>
      <c r="B34" s="18">
        <f t="shared" si="1"/>
        <v>0</v>
      </c>
      <c r="C34" s="18">
        <f t="shared" si="2"/>
        <v>0</v>
      </c>
      <c r="D34" s="18">
        <f t="shared" si="3"/>
        <v>0</v>
      </c>
      <c r="E34" s="18">
        <f t="shared" si="4"/>
        <v>0</v>
      </c>
      <c r="F34" s="18">
        <f t="shared" si="5"/>
        <v>0</v>
      </c>
      <c r="G34" s="18">
        <f t="shared" si="6"/>
        <v>0</v>
      </c>
    </row>
    <row r="35">
      <c r="A35" s="17" t="str">
        <f>'Voting Results'!B35</f>
        <v>2's</v>
      </c>
      <c r="B35" s="18">
        <f t="shared" si="1"/>
        <v>0</v>
      </c>
      <c r="C35" s="18">
        <f t="shared" si="2"/>
        <v>0</v>
      </c>
      <c r="D35" s="18">
        <f t="shared" si="3"/>
        <v>0</v>
      </c>
      <c r="E35" s="18">
        <f t="shared" si="4"/>
        <v>0</v>
      </c>
      <c r="F35" s="18">
        <f t="shared" si="5"/>
        <v>0</v>
      </c>
      <c r="G35" s="18">
        <f t="shared" si="6"/>
        <v>0</v>
      </c>
    </row>
    <row r="36">
      <c r="A36" s="17" t="str">
        <f>'Voting Results'!B36</f>
        <v>1's</v>
      </c>
      <c r="B36" s="18">
        <f t="shared" si="1"/>
        <v>0</v>
      </c>
      <c r="C36" s="18">
        <f t="shared" si="2"/>
        <v>0</v>
      </c>
      <c r="D36" s="18">
        <f t="shared" si="3"/>
        <v>0</v>
      </c>
      <c r="E36" s="18">
        <f t="shared" si="4"/>
        <v>0</v>
      </c>
      <c r="F36" s="18">
        <f t="shared" si="5"/>
        <v>0</v>
      </c>
      <c r="G36" s="18">
        <f t="shared" si="6"/>
        <v>0</v>
      </c>
    </row>
    <row r="37">
      <c r="A37" s="17" t="str">
        <f t="shared" ref="A37:A99" si="7">{}</f>
        <v>#REF!</v>
      </c>
      <c r="B37" s="18">
        <f t="shared" si="1"/>
        <v>0</v>
      </c>
      <c r="C37" s="18">
        <f t="shared" si="2"/>
        <v>0</v>
      </c>
      <c r="D37" s="18">
        <f t="shared" si="3"/>
        <v>0</v>
      </c>
      <c r="E37" s="18">
        <f t="shared" si="4"/>
        <v>0</v>
      </c>
      <c r="F37" s="18">
        <f t="shared" si="5"/>
        <v>0</v>
      </c>
      <c r="G37" s="18">
        <f t="shared" si="6"/>
        <v>0</v>
      </c>
    </row>
    <row r="38">
      <c r="A38" s="17" t="str">
        <f t="shared" si="7"/>
        <v>#REF!</v>
      </c>
      <c r="B38" s="18">
        <f t="shared" si="1"/>
        <v>0</v>
      </c>
      <c r="C38" s="18">
        <f t="shared" si="2"/>
        <v>0</v>
      </c>
      <c r="D38" s="18">
        <f t="shared" si="3"/>
        <v>0</v>
      </c>
      <c r="E38" s="18">
        <f t="shared" si="4"/>
        <v>0</v>
      </c>
      <c r="F38" s="18">
        <f t="shared" si="5"/>
        <v>0</v>
      </c>
      <c r="G38" s="18">
        <f t="shared" si="6"/>
        <v>0</v>
      </c>
    </row>
    <row r="39">
      <c r="A39" s="17" t="str">
        <f t="shared" si="7"/>
        <v>#REF!</v>
      </c>
      <c r="B39" s="18">
        <f t="shared" si="1"/>
        <v>0</v>
      </c>
      <c r="C39" s="18">
        <f t="shared" si="2"/>
        <v>0</v>
      </c>
      <c r="D39" s="18">
        <f t="shared" si="3"/>
        <v>0</v>
      </c>
      <c r="E39" s="18">
        <f t="shared" si="4"/>
        <v>0</v>
      </c>
      <c r="F39" s="18">
        <f t="shared" si="5"/>
        <v>0</v>
      </c>
      <c r="G39" s="18">
        <f t="shared" si="6"/>
        <v>0</v>
      </c>
    </row>
    <row r="40">
      <c r="A40" s="17" t="str">
        <f t="shared" si="7"/>
        <v>#REF!</v>
      </c>
      <c r="B40" s="18">
        <f t="shared" si="1"/>
        <v>0</v>
      </c>
      <c r="C40" s="18">
        <f t="shared" si="2"/>
        <v>0</v>
      </c>
      <c r="D40" s="18">
        <f t="shared" si="3"/>
        <v>0</v>
      </c>
      <c r="E40" s="18">
        <f t="shared" si="4"/>
        <v>0</v>
      </c>
      <c r="F40" s="18">
        <f t="shared" si="5"/>
        <v>0</v>
      </c>
      <c r="G40" s="18">
        <f t="shared" si="6"/>
        <v>0</v>
      </c>
    </row>
    <row r="41">
      <c r="A41" s="17" t="str">
        <f t="shared" si="7"/>
        <v>#REF!</v>
      </c>
      <c r="B41" s="18">
        <f t="shared" si="1"/>
        <v>0</v>
      </c>
      <c r="C41" s="18">
        <f t="shared" si="2"/>
        <v>0</v>
      </c>
      <c r="D41" s="18">
        <f t="shared" si="3"/>
        <v>0</v>
      </c>
      <c r="E41" s="18">
        <f t="shared" si="4"/>
        <v>0</v>
      </c>
      <c r="F41" s="18">
        <f t="shared" si="5"/>
        <v>0</v>
      </c>
      <c r="G41" s="18">
        <f t="shared" si="6"/>
        <v>0</v>
      </c>
    </row>
    <row r="42">
      <c r="A42" s="17" t="str">
        <f t="shared" si="7"/>
        <v>#REF!</v>
      </c>
      <c r="B42" s="18">
        <f t="shared" si="1"/>
        <v>0</v>
      </c>
      <c r="C42" s="18">
        <f t="shared" si="2"/>
        <v>0</v>
      </c>
      <c r="D42" s="18">
        <f t="shared" si="3"/>
        <v>0</v>
      </c>
      <c r="E42" s="18">
        <f t="shared" si="4"/>
        <v>0</v>
      </c>
      <c r="F42" s="18">
        <f t="shared" si="5"/>
        <v>0</v>
      </c>
      <c r="G42" s="18">
        <f t="shared" si="6"/>
        <v>0</v>
      </c>
    </row>
    <row r="43">
      <c r="A43" s="17" t="str">
        <f t="shared" si="7"/>
        <v>#REF!</v>
      </c>
      <c r="B43" s="18">
        <f t="shared" si="1"/>
        <v>0</v>
      </c>
      <c r="C43" s="18">
        <f t="shared" si="2"/>
        <v>0</v>
      </c>
      <c r="D43" s="18">
        <f t="shared" si="3"/>
        <v>0</v>
      </c>
      <c r="E43" s="18">
        <f t="shared" si="4"/>
        <v>0</v>
      </c>
      <c r="F43" s="18">
        <f t="shared" si="5"/>
        <v>0</v>
      </c>
      <c r="G43" s="18">
        <f t="shared" si="6"/>
        <v>0</v>
      </c>
    </row>
    <row r="44">
      <c r="A44" s="17" t="str">
        <f t="shared" si="7"/>
        <v>#REF!</v>
      </c>
      <c r="B44" s="18">
        <f t="shared" si="1"/>
        <v>0</v>
      </c>
      <c r="C44" s="18">
        <f t="shared" si="2"/>
        <v>0</v>
      </c>
      <c r="D44" s="18">
        <f t="shared" si="3"/>
        <v>0</v>
      </c>
      <c r="E44" s="18">
        <f t="shared" si="4"/>
        <v>0</v>
      </c>
      <c r="F44" s="18">
        <f t="shared" si="5"/>
        <v>0</v>
      </c>
      <c r="G44" s="18">
        <f t="shared" si="6"/>
        <v>0</v>
      </c>
    </row>
    <row r="45">
      <c r="A45" s="17" t="str">
        <f t="shared" si="7"/>
        <v>#REF!</v>
      </c>
      <c r="B45" s="18">
        <f t="shared" si="1"/>
        <v>0</v>
      </c>
      <c r="C45" s="18">
        <f t="shared" si="2"/>
        <v>0</v>
      </c>
      <c r="D45" s="18">
        <f t="shared" si="3"/>
        <v>0</v>
      </c>
      <c r="E45" s="18">
        <f t="shared" si="4"/>
        <v>0</v>
      </c>
      <c r="F45" s="18">
        <f t="shared" si="5"/>
        <v>0</v>
      </c>
      <c r="G45" s="18">
        <f t="shared" si="6"/>
        <v>0</v>
      </c>
    </row>
    <row r="46">
      <c r="A46" s="17" t="str">
        <f t="shared" si="7"/>
        <v>#REF!</v>
      </c>
      <c r="B46" s="18">
        <f t="shared" si="1"/>
        <v>0</v>
      </c>
      <c r="C46" s="18">
        <f t="shared" si="2"/>
        <v>0</v>
      </c>
      <c r="D46" s="18">
        <f t="shared" si="3"/>
        <v>0</v>
      </c>
      <c r="E46" s="18">
        <f t="shared" si="4"/>
        <v>0</v>
      </c>
      <c r="F46" s="18">
        <f t="shared" si="5"/>
        <v>0</v>
      </c>
      <c r="G46" s="18">
        <f t="shared" si="6"/>
        <v>0</v>
      </c>
    </row>
    <row r="47">
      <c r="A47" s="17" t="str">
        <f t="shared" si="7"/>
        <v>#REF!</v>
      </c>
      <c r="B47" s="18">
        <f t="shared" si="1"/>
        <v>0</v>
      </c>
      <c r="C47" s="18">
        <f t="shared" si="2"/>
        <v>0</v>
      </c>
      <c r="D47" s="18">
        <f t="shared" si="3"/>
        <v>0</v>
      </c>
      <c r="E47" s="18">
        <f t="shared" si="4"/>
        <v>0</v>
      </c>
      <c r="F47" s="18">
        <f t="shared" si="5"/>
        <v>0</v>
      </c>
      <c r="G47" s="18">
        <f t="shared" si="6"/>
        <v>0</v>
      </c>
    </row>
    <row r="48">
      <c r="A48" s="17" t="str">
        <f t="shared" si="7"/>
        <v>#REF!</v>
      </c>
      <c r="B48" s="18">
        <f t="shared" si="1"/>
        <v>0</v>
      </c>
      <c r="C48" s="18">
        <f t="shared" si="2"/>
        <v>0</v>
      </c>
      <c r="D48" s="18">
        <f t="shared" si="3"/>
        <v>0</v>
      </c>
      <c r="E48" s="18">
        <f t="shared" si="4"/>
        <v>0</v>
      </c>
      <c r="F48" s="18">
        <f t="shared" si="5"/>
        <v>0</v>
      </c>
      <c r="G48" s="18">
        <f t="shared" si="6"/>
        <v>0</v>
      </c>
    </row>
    <row r="49">
      <c r="A49" s="17" t="str">
        <f t="shared" si="7"/>
        <v>#REF!</v>
      </c>
      <c r="B49" s="18">
        <f t="shared" si="1"/>
        <v>0</v>
      </c>
      <c r="C49" s="18">
        <f t="shared" si="2"/>
        <v>0</v>
      </c>
      <c r="D49" s="18">
        <f t="shared" si="3"/>
        <v>0</v>
      </c>
      <c r="E49" s="18">
        <f t="shared" si="4"/>
        <v>0</v>
      </c>
      <c r="F49" s="18">
        <f t="shared" si="5"/>
        <v>0</v>
      </c>
      <c r="G49" s="18">
        <f t="shared" si="6"/>
        <v>0</v>
      </c>
    </row>
    <row r="50">
      <c r="A50" s="17" t="str">
        <f t="shared" si="7"/>
        <v>#REF!</v>
      </c>
      <c r="B50" s="18">
        <f t="shared" si="1"/>
        <v>0</v>
      </c>
      <c r="C50" s="18">
        <f t="shared" si="2"/>
        <v>0</v>
      </c>
      <c r="D50" s="18">
        <f t="shared" si="3"/>
        <v>0</v>
      </c>
      <c r="E50" s="18">
        <f t="shared" si="4"/>
        <v>0</v>
      </c>
      <c r="F50" s="18">
        <f t="shared" si="5"/>
        <v>0</v>
      </c>
      <c r="G50" s="18">
        <f t="shared" si="6"/>
        <v>0</v>
      </c>
    </row>
    <row r="51">
      <c r="A51" s="17" t="str">
        <f t="shared" si="7"/>
        <v>#REF!</v>
      </c>
      <c r="B51" s="18">
        <f t="shared" si="1"/>
        <v>0</v>
      </c>
      <c r="C51" s="18">
        <f t="shared" si="2"/>
        <v>0</v>
      </c>
      <c r="D51" s="18">
        <f t="shared" si="3"/>
        <v>0</v>
      </c>
      <c r="E51" s="18">
        <f t="shared" si="4"/>
        <v>0</v>
      </c>
      <c r="F51" s="18">
        <f t="shared" si="5"/>
        <v>0</v>
      </c>
      <c r="G51" s="18">
        <f t="shared" si="6"/>
        <v>0</v>
      </c>
    </row>
    <row r="52">
      <c r="A52" s="17" t="str">
        <f t="shared" si="7"/>
        <v>#REF!</v>
      </c>
      <c r="B52" s="18">
        <f t="shared" si="1"/>
        <v>0</v>
      </c>
      <c r="C52" s="18">
        <f t="shared" si="2"/>
        <v>0</v>
      </c>
      <c r="D52" s="18">
        <f t="shared" si="3"/>
        <v>0</v>
      </c>
      <c r="E52" s="18">
        <f t="shared" si="4"/>
        <v>0</v>
      </c>
      <c r="F52" s="18">
        <f t="shared" si="5"/>
        <v>0</v>
      </c>
      <c r="G52" s="18">
        <f t="shared" si="6"/>
        <v>0</v>
      </c>
    </row>
    <row r="53">
      <c r="A53" s="17" t="str">
        <f t="shared" si="7"/>
        <v>#REF!</v>
      </c>
      <c r="B53" s="18">
        <f t="shared" si="1"/>
        <v>0</v>
      </c>
      <c r="C53" s="18">
        <f t="shared" si="2"/>
        <v>0</v>
      </c>
      <c r="D53" s="18">
        <f t="shared" si="3"/>
        <v>0</v>
      </c>
      <c r="E53" s="18">
        <f t="shared" si="4"/>
        <v>0</v>
      </c>
      <c r="F53" s="18">
        <f t="shared" si="5"/>
        <v>0</v>
      </c>
      <c r="G53" s="18">
        <f t="shared" si="6"/>
        <v>0</v>
      </c>
    </row>
    <row r="54">
      <c r="A54" s="17" t="str">
        <f t="shared" si="7"/>
        <v>#REF!</v>
      </c>
      <c r="B54" s="18">
        <f t="shared" si="1"/>
        <v>0</v>
      </c>
      <c r="C54" s="18">
        <f t="shared" si="2"/>
        <v>0</v>
      </c>
      <c r="D54" s="18">
        <f t="shared" si="3"/>
        <v>0</v>
      </c>
      <c r="E54" s="18">
        <f t="shared" si="4"/>
        <v>0</v>
      </c>
      <c r="F54" s="18">
        <f t="shared" si="5"/>
        <v>0</v>
      </c>
      <c r="G54" s="18">
        <f t="shared" si="6"/>
        <v>0</v>
      </c>
    </row>
    <row r="55">
      <c r="A55" s="17" t="str">
        <f t="shared" si="7"/>
        <v>#REF!</v>
      </c>
      <c r="B55" s="18">
        <f t="shared" si="1"/>
        <v>0</v>
      </c>
      <c r="C55" s="18">
        <f t="shared" si="2"/>
        <v>0</v>
      </c>
      <c r="D55" s="18">
        <f t="shared" si="3"/>
        <v>0</v>
      </c>
      <c r="E55" s="18">
        <f t="shared" si="4"/>
        <v>0</v>
      </c>
      <c r="F55" s="18">
        <f t="shared" si="5"/>
        <v>0</v>
      </c>
      <c r="G55" s="18">
        <f t="shared" si="6"/>
        <v>0</v>
      </c>
    </row>
    <row r="56">
      <c r="A56" s="17" t="str">
        <f t="shared" si="7"/>
        <v>#REF!</v>
      </c>
      <c r="B56" s="18">
        <f t="shared" si="1"/>
        <v>0</v>
      </c>
      <c r="C56" s="18">
        <f t="shared" si="2"/>
        <v>0</v>
      </c>
      <c r="D56" s="18">
        <f t="shared" si="3"/>
        <v>0</v>
      </c>
      <c r="E56" s="18">
        <f t="shared" si="4"/>
        <v>0</v>
      </c>
      <c r="F56" s="18">
        <f t="shared" si="5"/>
        <v>0</v>
      </c>
      <c r="G56" s="18">
        <f t="shared" si="6"/>
        <v>0</v>
      </c>
    </row>
    <row r="57">
      <c r="A57" s="17" t="str">
        <f t="shared" si="7"/>
        <v>#REF!</v>
      </c>
      <c r="B57" s="18">
        <f t="shared" si="1"/>
        <v>0</v>
      </c>
      <c r="C57" s="18">
        <f t="shared" si="2"/>
        <v>0</v>
      </c>
      <c r="D57" s="18">
        <f t="shared" si="3"/>
        <v>0</v>
      </c>
      <c r="E57" s="18">
        <f t="shared" si="4"/>
        <v>0</v>
      </c>
      <c r="F57" s="18">
        <f t="shared" si="5"/>
        <v>0</v>
      </c>
      <c r="G57" s="18">
        <f t="shared" si="6"/>
        <v>0</v>
      </c>
    </row>
    <row r="58">
      <c r="A58" s="17" t="str">
        <f t="shared" si="7"/>
        <v>#REF!</v>
      </c>
      <c r="B58" s="18">
        <f t="shared" si="1"/>
        <v>0</v>
      </c>
      <c r="C58" s="18">
        <f t="shared" si="2"/>
        <v>0</v>
      </c>
      <c r="D58" s="18">
        <f t="shared" si="3"/>
        <v>0</v>
      </c>
      <c r="E58" s="18">
        <f t="shared" si="4"/>
        <v>0</v>
      </c>
      <c r="F58" s="18">
        <f t="shared" si="5"/>
        <v>0</v>
      </c>
      <c r="G58" s="18">
        <f t="shared" si="6"/>
        <v>0</v>
      </c>
    </row>
    <row r="59">
      <c r="A59" s="17" t="str">
        <f t="shared" si="7"/>
        <v>#REF!</v>
      </c>
      <c r="B59" s="18">
        <f t="shared" si="1"/>
        <v>0</v>
      </c>
      <c r="C59" s="18">
        <f t="shared" si="2"/>
        <v>0</v>
      </c>
      <c r="D59" s="18">
        <f t="shared" si="3"/>
        <v>0</v>
      </c>
      <c r="E59" s="18">
        <f t="shared" si="4"/>
        <v>0</v>
      </c>
      <c r="F59" s="18">
        <f t="shared" si="5"/>
        <v>0</v>
      </c>
      <c r="G59" s="18">
        <f t="shared" si="6"/>
        <v>0</v>
      </c>
    </row>
    <row r="60">
      <c r="A60" s="17" t="str">
        <f t="shared" si="7"/>
        <v>#REF!</v>
      </c>
      <c r="B60" s="18">
        <f t="shared" si="1"/>
        <v>0</v>
      </c>
      <c r="C60" s="18">
        <f t="shared" si="2"/>
        <v>0</v>
      </c>
      <c r="D60" s="18">
        <f t="shared" si="3"/>
        <v>0</v>
      </c>
      <c r="E60" s="18">
        <f t="shared" si="4"/>
        <v>0</v>
      </c>
      <c r="F60" s="18">
        <f t="shared" si="5"/>
        <v>0</v>
      </c>
      <c r="G60" s="18">
        <f t="shared" si="6"/>
        <v>0</v>
      </c>
    </row>
    <row r="61">
      <c r="A61" s="17" t="str">
        <f t="shared" si="7"/>
        <v>#REF!</v>
      </c>
      <c r="B61" s="18">
        <f t="shared" si="1"/>
        <v>0</v>
      </c>
      <c r="C61" s="18">
        <f t="shared" si="2"/>
        <v>0</v>
      </c>
      <c r="D61" s="18">
        <f t="shared" si="3"/>
        <v>0</v>
      </c>
      <c r="E61" s="18">
        <f t="shared" si="4"/>
        <v>0</v>
      </c>
      <c r="F61" s="18">
        <f t="shared" si="5"/>
        <v>0</v>
      </c>
      <c r="G61" s="18">
        <f t="shared" si="6"/>
        <v>0</v>
      </c>
    </row>
    <row r="62">
      <c r="A62" s="17" t="str">
        <f t="shared" si="7"/>
        <v>#REF!</v>
      </c>
      <c r="B62" s="18">
        <f t="shared" si="1"/>
        <v>0</v>
      </c>
      <c r="C62" s="18">
        <f t="shared" si="2"/>
        <v>0</v>
      </c>
      <c r="D62" s="18">
        <f t="shared" si="3"/>
        <v>0</v>
      </c>
      <c r="E62" s="18">
        <f t="shared" si="4"/>
        <v>0</v>
      </c>
      <c r="F62" s="18">
        <f t="shared" si="5"/>
        <v>0</v>
      </c>
      <c r="G62" s="18">
        <f t="shared" si="6"/>
        <v>0</v>
      </c>
    </row>
    <row r="63">
      <c r="A63" s="17" t="str">
        <f t="shared" si="7"/>
        <v>#REF!</v>
      </c>
      <c r="B63" s="18">
        <f t="shared" si="1"/>
        <v>0</v>
      </c>
      <c r="C63" s="18">
        <f t="shared" si="2"/>
        <v>0</v>
      </c>
      <c r="D63" s="18">
        <f t="shared" si="3"/>
        <v>0</v>
      </c>
      <c r="E63" s="18">
        <f t="shared" si="4"/>
        <v>0</v>
      </c>
      <c r="F63" s="18">
        <f t="shared" si="5"/>
        <v>0</v>
      </c>
      <c r="G63" s="18">
        <f t="shared" si="6"/>
        <v>0</v>
      </c>
    </row>
    <row r="64">
      <c r="A64" s="17" t="str">
        <f t="shared" si="7"/>
        <v>#REF!</v>
      </c>
      <c r="B64" s="18">
        <f t="shared" si="1"/>
        <v>0</v>
      </c>
      <c r="C64" s="18">
        <f t="shared" si="2"/>
        <v>0</v>
      </c>
      <c r="D64" s="18">
        <f t="shared" si="3"/>
        <v>0</v>
      </c>
      <c r="E64" s="18">
        <f t="shared" si="4"/>
        <v>0</v>
      </c>
      <c r="F64" s="18">
        <f t="shared" si="5"/>
        <v>0</v>
      </c>
      <c r="G64" s="18">
        <f t="shared" si="6"/>
        <v>0</v>
      </c>
    </row>
    <row r="65">
      <c r="A65" s="17" t="str">
        <f t="shared" si="7"/>
        <v>#REF!</v>
      </c>
      <c r="B65" s="18">
        <f t="shared" si="1"/>
        <v>0</v>
      </c>
      <c r="C65" s="18">
        <f t="shared" si="2"/>
        <v>0</v>
      </c>
      <c r="D65" s="18">
        <f t="shared" si="3"/>
        <v>0</v>
      </c>
      <c r="E65" s="18">
        <f t="shared" si="4"/>
        <v>0</v>
      </c>
      <c r="F65" s="18">
        <f t="shared" si="5"/>
        <v>0</v>
      </c>
      <c r="G65" s="18">
        <f t="shared" si="6"/>
        <v>0</v>
      </c>
    </row>
    <row r="66">
      <c r="A66" s="17" t="str">
        <f t="shared" si="7"/>
        <v>#REF!</v>
      </c>
      <c r="B66" s="18">
        <f t="shared" si="1"/>
        <v>0</v>
      </c>
      <c r="C66" s="18">
        <f t="shared" si="2"/>
        <v>0</v>
      </c>
      <c r="D66" s="18">
        <f t="shared" si="3"/>
        <v>0</v>
      </c>
      <c r="E66" s="18">
        <f t="shared" si="4"/>
        <v>0</v>
      </c>
      <c r="F66" s="18">
        <f t="shared" si="5"/>
        <v>0</v>
      </c>
      <c r="G66" s="18">
        <f t="shared" si="6"/>
        <v>0</v>
      </c>
    </row>
    <row r="67">
      <c r="A67" s="17" t="str">
        <f t="shared" si="7"/>
        <v>#REF!</v>
      </c>
      <c r="B67" s="18">
        <f t="shared" si="1"/>
        <v>0</v>
      </c>
      <c r="C67" s="18">
        <f t="shared" si="2"/>
        <v>0</v>
      </c>
      <c r="D67" s="18">
        <f t="shared" si="3"/>
        <v>0</v>
      </c>
      <c r="E67" s="18">
        <f t="shared" si="4"/>
        <v>0</v>
      </c>
      <c r="F67" s="18">
        <f t="shared" si="5"/>
        <v>0</v>
      </c>
      <c r="G67" s="18">
        <f t="shared" si="6"/>
        <v>0</v>
      </c>
    </row>
    <row r="68">
      <c r="A68" s="17" t="str">
        <f t="shared" si="7"/>
        <v>#REF!</v>
      </c>
      <c r="B68" s="18">
        <f t="shared" si="1"/>
        <v>0</v>
      </c>
      <c r="C68" s="18">
        <f t="shared" si="2"/>
        <v>0</v>
      </c>
      <c r="D68" s="18">
        <f t="shared" si="3"/>
        <v>0</v>
      </c>
      <c r="E68" s="18">
        <f t="shared" si="4"/>
        <v>0</v>
      </c>
      <c r="F68" s="18">
        <f t="shared" si="5"/>
        <v>0</v>
      </c>
      <c r="G68" s="18">
        <f t="shared" si="6"/>
        <v>0</v>
      </c>
    </row>
    <row r="69">
      <c r="A69" s="17" t="str">
        <f t="shared" si="7"/>
        <v>#REF!</v>
      </c>
      <c r="B69" s="18">
        <f t="shared" si="1"/>
        <v>0</v>
      </c>
      <c r="C69" s="18">
        <f t="shared" si="2"/>
        <v>0</v>
      </c>
      <c r="D69" s="18">
        <f t="shared" si="3"/>
        <v>0</v>
      </c>
      <c r="E69" s="18">
        <f t="shared" si="4"/>
        <v>0</v>
      </c>
      <c r="F69" s="18">
        <f t="shared" si="5"/>
        <v>0</v>
      </c>
      <c r="G69" s="18">
        <f t="shared" si="6"/>
        <v>0</v>
      </c>
    </row>
    <row r="70">
      <c r="A70" s="17" t="str">
        <f t="shared" si="7"/>
        <v>#REF!</v>
      </c>
      <c r="B70" s="18">
        <f t="shared" si="1"/>
        <v>0</v>
      </c>
      <c r="C70" s="18">
        <f t="shared" si="2"/>
        <v>0</v>
      </c>
      <c r="D70" s="18">
        <f t="shared" si="3"/>
        <v>0</v>
      </c>
      <c r="E70" s="18">
        <f t="shared" si="4"/>
        <v>0</v>
      </c>
      <c r="F70" s="18">
        <f t="shared" si="5"/>
        <v>0</v>
      </c>
      <c r="G70" s="18">
        <f t="shared" si="6"/>
        <v>0</v>
      </c>
    </row>
    <row r="71">
      <c r="A71" s="17" t="str">
        <f t="shared" si="7"/>
        <v>#REF!</v>
      </c>
      <c r="B71" s="18">
        <f t="shared" si="1"/>
        <v>0</v>
      </c>
      <c r="C71" s="18">
        <f t="shared" si="2"/>
        <v>0</v>
      </c>
      <c r="D71" s="18">
        <f t="shared" si="3"/>
        <v>0</v>
      </c>
      <c r="E71" s="18">
        <f t="shared" si="4"/>
        <v>0</v>
      </c>
      <c r="F71" s="18">
        <f t="shared" si="5"/>
        <v>0</v>
      </c>
      <c r="G71" s="18">
        <f t="shared" si="6"/>
        <v>0</v>
      </c>
    </row>
    <row r="72">
      <c r="A72" s="17" t="str">
        <f t="shared" si="7"/>
        <v>#REF!</v>
      </c>
      <c r="B72" s="18">
        <f t="shared" si="1"/>
        <v>0</v>
      </c>
      <c r="C72" s="18">
        <f t="shared" si="2"/>
        <v>0</v>
      </c>
      <c r="D72" s="18">
        <f t="shared" si="3"/>
        <v>0</v>
      </c>
      <c r="E72" s="18">
        <f t="shared" si="4"/>
        <v>0</v>
      </c>
      <c r="F72" s="18">
        <f t="shared" si="5"/>
        <v>0</v>
      </c>
      <c r="G72" s="18">
        <f t="shared" si="6"/>
        <v>0</v>
      </c>
    </row>
    <row r="73">
      <c r="A73" s="17" t="str">
        <f t="shared" si="7"/>
        <v>#REF!</v>
      </c>
      <c r="B73" s="18">
        <f t="shared" si="1"/>
        <v>0</v>
      </c>
      <c r="C73" s="18">
        <f t="shared" si="2"/>
        <v>0</v>
      </c>
      <c r="D73" s="18">
        <f t="shared" si="3"/>
        <v>0</v>
      </c>
      <c r="E73" s="18">
        <f t="shared" si="4"/>
        <v>0</v>
      </c>
      <c r="F73" s="18">
        <f t="shared" si="5"/>
        <v>0</v>
      </c>
      <c r="G73" s="18">
        <f t="shared" si="6"/>
        <v>0</v>
      </c>
    </row>
    <row r="74">
      <c r="A74" s="17" t="str">
        <f t="shared" si="7"/>
        <v>#REF!</v>
      </c>
      <c r="B74" s="18">
        <f t="shared" si="1"/>
        <v>0</v>
      </c>
      <c r="C74" s="18">
        <f t="shared" si="2"/>
        <v>0</v>
      </c>
      <c r="D74" s="18">
        <f t="shared" si="3"/>
        <v>0</v>
      </c>
      <c r="E74" s="18">
        <f t="shared" si="4"/>
        <v>0</v>
      </c>
      <c r="F74" s="18">
        <f t="shared" si="5"/>
        <v>0</v>
      </c>
      <c r="G74" s="18">
        <f t="shared" si="6"/>
        <v>0</v>
      </c>
    </row>
    <row r="75">
      <c r="A75" s="17" t="str">
        <f t="shared" si="7"/>
        <v>#REF!</v>
      </c>
      <c r="B75" s="18">
        <f t="shared" si="1"/>
        <v>0</v>
      </c>
      <c r="C75" s="18">
        <f t="shared" si="2"/>
        <v>0</v>
      </c>
      <c r="D75" s="18">
        <f t="shared" si="3"/>
        <v>0</v>
      </c>
      <c r="E75" s="18">
        <f t="shared" si="4"/>
        <v>0</v>
      </c>
      <c r="F75" s="18">
        <f t="shared" si="5"/>
        <v>0</v>
      </c>
      <c r="G75" s="18">
        <f t="shared" si="6"/>
        <v>0</v>
      </c>
    </row>
    <row r="76">
      <c r="A76" s="17" t="str">
        <f t="shared" si="7"/>
        <v>#REF!</v>
      </c>
      <c r="B76" s="18">
        <f t="shared" si="1"/>
        <v>0</v>
      </c>
      <c r="C76" s="18">
        <f t="shared" si="2"/>
        <v>0</v>
      </c>
      <c r="D76" s="18">
        <f t="shared" si="3"/>
        <v>0</v>
      </c>
      <c r="E76" s="18">
        <f t="shared" si="4"/>
        <v>0</v>
      </c>
      <c r="F76" s="18">
        <f t="shared" si="5"/>
        <v>0</v>
      </c>
      <c r="G76" s="18">
        <f t="shared" si="6"/>
        <v>0</v>
      </c>
    </row>
    <row r="77">
      <c r="A77" s="17" t="str">
        <f t="shared" si="7"/>
        <v>#REF!</v>
      </c>
      <c r="B77" s="18">
        <f t="shared" si="1"/>
        <v>0</v>
      </c>
      <c r="C77" s="18">
        <f t="shared" si="2"/>
        <v>0</v>
      </c>
      <c r="D77" s="18">
        <f t="shared" si="3"/>
        <v>0</v>
      </c>
      <c r="E77" s="18">
        <f t="shared" si="4"/>
        <v>0</v>
      </c>
      <c r="F77" s="18">
        <f t="shared" si="5"/>
        <v>0</v>
      </c>
      <c r="G77" s="18">
        <f t="shared" si="6"/>
        <v>0</v>
      </c>
    </row>
    <row r="78">
      <c r="A78" s="17" t="str">
        <f t="shared" si="7"/>
        <v>#REF!</v>
      </c>
      <c r="B78" s="18">
        <f t="shared" si="1"/>
        <v>0</v>
      </c>
      <c r="C78" s="18">
        <f t="shared" si="2"/>
        <v>0</v>
      </c>
      <c r="D78" s="18">
        <f t="shared" si="3"/>
        <v>0</v>
      </c>
      <c r="E78" s="18">
        <f t="shared" si="4"/>
        <v>0</v>
      </c>
      <c r="F78" s="18">
        <f t="shared" si="5"/>
        <v>0</v>
      </c>
      <c r="G78" s="18">
        <f t="shared" si="6"/>
        <v>0</v>
      </c>
    </row>
    <row r="79">
      <c r="A79" s="17" t="str">
        <f t="shared" si="7"/>
        <v>#REF!</v>
      </c>
      <c r="B79" s="18">
        <f t="shared" si="1"/>
        <v>0</v>
      </c>
      <c r="C79" s="18">
        <f t="shared" si="2"/>
        <v>0</v>
      </c>
      <c r="D79" s="18">
        <f t="shared" si="3"/>
        <v>0</v>
      </c>
      <c r="E79" s="18">
        <f t="shared" si="4"/>
        <v>0</v>
      </c>
      <c r="F79" s="18">
        <f t="shared" si="5"/>
        <v>0</v>
      </c>
      <c r="G79" s="18">
        <f t="shared" si="6"/>
        <v>0</v>
      </c>
    </row>
    <row r="80">
      <c r="A80" s="17" t="str">
        <f t="shared" si="7"/>
        <v>#REF!</v>
      </c>
      <c r="B80" s="18">
        <f t="shared" si="1"/>
        <v>0</v>
      </c>
      <c r="C80" s="18">
        <f t="shared" si="2"/>
        <v>0</v>
      </c>
      <c r="D80" s="18">
        <f t="shared" si="3"/>
        <v>0</v>
      </c>
      <c r="E80" s="18">
        <f t="shared" si="4"/>
        <v>0</v>
      </c>
      <c r="F80" s="18">
        <f t="shared" si="5"/>
        <v>0</v>
      </c>
      <c r="G80" s="18">
        <f t="shared" si="6"/>
        <v>0</v>
      </c>
    </row>
    <row r="81">
      <c r="A81" s="17" t="str">
        <f t="shared" si="7"/>
        <v>#REF!</v>
      </c>
      <c r="B81" s="18">
        <f t="shared" si="1"/>
        <v>0</v>
      </c>
      <c r="C81" s="18">
        <f t="shared" si="2"/>
        <v>0</v>
      </c>
      <c r="D81" s="18">
        <f t="shared" si="3"/>
        <v>0</v>
      </c>
      <c r="E81" s="18">
        <f t="shared" si="4"/>
        <v>0</v>
      </c>
      <c r="F81" s="18">
        <f t="shared" si="5"/>
        <v>0</v>
      </c>
      <c r="G81" s="18">
        <f t="shared" si="6"/>
        <v>0</v>
      </c>
    </row>
    <row r="82">
      <c r="A82" s="17" t="str">
        <f t="shared" si="7"/>
        <v>#REF!</v>
      </c>
      <c r="B82" s="18">
        <f t="shared" si="1"/>
        <v>0</v>
      </c>
      <c r="C82" s="18">
        <f t="shared" si="2"/>
        <v>0</v>
      </c>
      <c r="D82" s="18">
        <f t="shared" si="3"/>
        <v>0</v>
      </c>
      <c r="E82" s="18">
        <f t="shared" si="4"/>
        <v>0</v>
      </c>
      <c r="F82" s="18">
        <f t="shared" si="5"/>
        <v>0</v>
      </c>
      <c r="G82" s="18">
        <f t="shared" si="6"/>
        <v>0</v>
      </c>
    </row>
    <row r="83">
      <c r="A83" s="17" t="str">
        <f t="shared" si="7"/>
        <v>#REF!</v>
      </c>
      <c r="B83" s="18">
        <f t="shared" si="1"/>
        <v>0</v>
      </c>
      <c r="C83" s="18">
        <f t="shared" si="2"/>
        <v>0</v>
      </c>
      <c r="D83" s="18">
        <f t="shared" si="3"/>
        <v>0</v>
      </c>
      <c r="E83" s="18">
        <f t="shared" si="4"/>
        <v>0</v>
      </c>
      <c r="F83" s="18">
        <f t="shared" si="5"/>
        <v>0</v>
      </c>
      <c r="G83" s="18">
        <f t="shared" si="6"/>
        <v>0</v>
      </c>
    </row>
    <row r="84">
      <c r="A84" s="17" t="str">
        <f t="shared" si="7"/>
        <v>#REF!</v>
      </c>
      <c r="B84" s="18">
        <f t="shared" si="1"/>
        <v>0</v>
      </c>
      <c r="C84" s="18">
        <f t="shared" si="2"/>
        <v>0</v>
      </c>
      <c r="D84" s="18">
        <f t="shared" si="3"/>
        <v>0</v>
      </c>
      <c r="E84" s="18">
        <f t="shared" si="4"/>
        <v>0</v>
      </c>
      <c r="F84" s="18">
        <f t="shared" si="5"/>
        <v>0</v>
      </c>
      <c r="G84" s="18">
        <f t="shared" si="6"/>
        <v>0</v>
      </c>
    </row>
    <row r="85">
      <c r="A85" s="17" t="str">
        <f t="shared" si="7"/>
        <v>#REF!</v>
      </c>
      <c r="B85" s="18">
        <f t="shared" si="1"/>
        <v>0</v>
      </c>
      <c r="C85" s="18">
        <f t="shared" si="2"/>
        <v>0</v>
      </c>
      <c r="D85" s="18">
        <f t="shared" si="3"/>
        <v>0</v>
      </c>
      <c r="E85" s="18">
        <f t="shared" si="4"/>
        <v>0</v>
      </c>
      <c r="F85" s="18">
        <f t="shared" si="5"/>
        <v>0</v>
      </c>
      <c r="G85" s="18">
        <f t="shared" si="6"/>
        <v>0</v>
      </c>
    </row>
    <row r="86">
      <c r="A86" s="17" t="str">
        <f t="shared" si="7"/>
        <v>#REF!</v>
      </c>
      <c r="B86" s="18">
        <f t="shared" si="1"/>
        <v>0</v>
      </c>
      <c r="C86" s="18">
        <f t="shared" si="2"/>
        <v>0</v>
      </c>
      <c r="D86" s="18">
        <f t="shared" si="3"/>
        <v>0</v>
      </c>
      <c r="E86" s="18">
        <f t="shared" si="4"/>
        <v>0</v>
      </c>
      <c r="F86" s="18">
        <f t="shared" si="5"/>
        <v>0</v>
      </c>
      <c r="G86" s="18">
        <f t="shared" si="6"/>
        <v>0</v>
      </c>
    </row>
    <row r="87">
      <c r="A87" s="17" t="str">
        <f t="shared" si="7"/>
        <v>#REF!</v>
      </c>
      <c r="B87" s="18">
        <f t="shared" si="1"/>
        <v>0</v>
      </c>
      <c r="C87" s="18">
        <f t="shared" si="2"/>
        <v>0</v>
      </c>
      <c r="D87" s="18">
        <f t="shared" si="3"/>
        <v>0</v>
      </c>
      <c r="E87" s="18">
        <f t="shared" si="4"/>
        <v>0</v>
      </c>
      <c r="F87" s="18">
        <f t="shared" si="5"/>
        <v>0</v>
      </c>
      <c r="G87" s="18">
        <f t="shared" si="6"/>
        <v>0</v>
      </c>
    </row>
    <row r="88">
      <c r="A88" s="17" t="str">
        <f t="shared" si="7"/>
        <v>#REF!</v>
      </c>
      <c r="B88" s="18">
        <f t="shared" si="1"/>
        <v>0</v>
      </c>
      <c r="C88" s="18">
        <f t="shared" si="2"/>
        <v>0</v>
      </c>
      <c r="D88" s="18">
        <f t="shared" si="3"/>
        <v>0</v>
      </c>
      <c r="E88" s="18">
        <f t="shared" si="4"/>
        <v>0</v>
      </c>
      <c r="F88" s="18">
        <f t="shared" si="5"/>
        <v>0</v>
      </c>
      <c r="G88" s="18">
        <f t="shared" si="6"/>
        <v>0</v>
      </c>
    </row>
    <row r="89">
      <c r="A89" s="17" t="str">
        <f t="shared" si="7"/>
        <v>#REF!</v>
      </c>
      <c r="B89" s="18">
        <f t="shared" si="1"/>
        <v>0</v>
      </c>
      <c r="C89" s="18">
        <f t="shared" si="2"/>
        <v>0</v>
      </c>
      <c r="D89" s="18">
        <f t="shared" si="3"/>
        <v>0</v>
      </c>
      <c r="E89" s="18">
        <f t="shared" si="4"/>
        <v>0</v>
      </c>
      <c r="F89" s="18">
        <f t="shared" si="5"/>
        <v>0</v>
      </c>
      <c r="G89" s="18">
        <f t="shared" si="6"/>
        <v>0</v>
      </c>
    </row>
    <row r="90">
      <c r="A90" s="17" t="str">
        <f t="shared" si="7"/>
        <v>#REF!</v>
      </c>
      <c r="B90" s="18">
        <f t="shared" si="1"/>
        <v>0</v>
      </c>
      <c r="C90" s="18">
        <f t="shared" si="2"/>
        <v>0</v>
      </c>
      <c r="D90" s="18">
        <f t="shared" si="3"/>
        <v>0</v>
      </c>
      <c r="E90" s="18">
        <f t="shared" si="4"/>
        <v>0</v>
      </c>
      <c r="F90" s="18">
        <f t="shared" si="5"/>
        <v>0</v>
      </c>
      <c r="G90" s="18">
        <f t="shared" si="6"/>
        <v>0</v>
      </c>
    </row>
    <row r="91">
      <c r="A91" s="17" t="str">
        <f t="shared" si="7"/>
        <v>#REF!</v>
      </c>
      <c r="B91" s="18">
        <f t="shared" si="1"/>
        <v>0</v>
      </c>
      <c r="C91" s="18">
        <f t="shared" si="2"/>
        <v>0</v>
      </c>
      <c r="D91" s="18">
        <f t="shared" si="3"/>
        <v>0</v>
      </c>
      <c r="E91" s="18">
        <f t="shared" si="4"/>
        <v>0</v>
      </c>
      <c r="F91" s="18">
        <f t="shared" si="5"/>
        <v>0</v>
      </c>
      <c r="G91" s="18">
        <f t="shared" si="6"/>
        <v>0</v>
      </c>
    </row>
    <row r="92">
      <c r="A92" s="17" t="str">
        <f t="shared" si="7"/>
        <v>#REF!</v>
      </c>
      <c r="B92" s="18">
        <f t="shared" si="1"/>
        <v>0</v>
      </c>
      <c r="C92" s="18">
        <f t="shared" si="2"/>
        <v>0</v>
      </c>
      <c r="D92" s="18">
        <f t="shared" si="3"/>
        <v>0</v>
      </c>
      <c r="E92" s="18">
        <f t="shared" si="4"/>
        <v>0</v>
      </c>
      <c r="F92" s="18">
        <f t="shared" si="5"/>
        <v>0</v>
      </c>
      <c r="G92" s="18">
        <f t="shared" si="6"/>
        <v>0</v>
      </c>
    </row>
    <row r="93">
      <c r="A93" s="17" t="str">
        <f t="shared" si="7"/>
        <v>#REF!</v>
      </c>
      <c r="B93" s="18">
        <f t="shared" si="1"/>
        <v>0</v>
      </c>
      <c r="C93" s="18">
        <f t="shared" si="2"/>
        <v>0</v>
      </c>
      <c r="D93" s="18">
        <f t="shared" si="3"/>
        <v>0</v>
      </c>
      <c r="E93" s="18">
        <f t="shared" si="4"/>
        <v>0</v>
      </c>
      <c r="F93" s="18">
        <f t="shared" si="5"/>
        <v>0</v>
      </c>
      <c r="G93" s="18">
        <f t="shared" si="6"/>
        <v>0</v>
      </c>
    </row>
    <row r="94">
      <c r="A94" s="17" t="str">
        <f t="shared" si="7"/>
        <v>#REF!</v>
      </c>
      <c r="B94" s="18">
        <f t="shared" si="1"/>
        <v>0</v>
      </c>
      <c r="C94" s="18">
        <f t="shared" si="2"/>
        <v>0</v>
      </c>
      <c r="D94" s="18">
        <f t="shared" si="3"/>
        <v>0</v>
      </c>
      <c r="E94" s="18">
        <f t="shared" si="4"/>
        <v>0</v>
      </c>
      <c r="F94" s="18">
        <f t="shared" si="5"/>
        <v>0</v>
      </c>
      <c r="G94" s="18">
        <f t="shared" si="6"/>
        <v>0</v>
      </c>
    </row>
    <row r="95">
      <c r="A95" s="17" t="str">
        <f t="shared" si="7"/>
        <v>#REF!</v>
      </c>
      <c r="B95" s="18">
        <f t="shared" si="1"/>
        <v>0</v>
      </c>
      <c r="C95" s="18">
        <f t="shared" si="2"/>
        <v>0</v>
      </c>
      <c r="D95" s="18">
        <f t="shared" si="3"/>
        <v>0</v>
      </c>
      <c r="E95" s="18">
        <f t="shared" si="4"/>
        <v>0</v>
      </c>
      <c r="F95" s="18">
        <f t="shared" si="5"/>
        <v>0</v>
      </c>
      <c r="G95" s="18">
        <f t="shared" si="6"/>
        <v>0</v>
      </c>
    </row>
    <row r="96">
      <c r="A96" s="17" t="str">
        <f t="shared" si="7"/>
        <v>#REF!</v>
      </c>
      <c r="B96" s="18">
        <f t="shared" si="1"/>
        <v>0</v>
      </c>
      <c r="C96" s="18">
        <f t="shared" si="2"/>
        <v>0</v>
      </c>
      <c r="D96" s="18">
        <f t="shared" si="3"/>
        <v>0</v>
      </c>
      <c r="E96" s="18">
        <f t="shared" si="4"/>
        <v>0</v>
      </c>
      <c r="F96" s="18">
        <f t="shared" si="5"/>
        <v>0</v>
      </c>
      <c r="G96" s="18">
        <f t="shared" si="6"/>
        <v>0</v>
      </c>
    </row>
    <row r="97">
      <c r="A97" s="17" t="str">
        <f t="shared" si="7"/>
        <v>#REF!</v>
      </c>
      <c r="B97" s="18">
        <f t="shared" si="1"/>
        <v>0</v>
      </c>
      <c r="C97" s="18">
        <f t="shared" si="2"/>
        <v>0</v>
      </c>
      <c r="D97" s="18">
        <f t="shared" si="3"/>
        <v>0</v>
      </c>
      <c r="E97" s="18">
        <f t="shared" si="4"/>
        <v>0</v>
      </c>
      <c r="F97" s="18">
        <f t="shared" si="5"/>
        <v>0</v>
      </c>
      <c r="G97" s="18">
        <f t="shared" si="6"/>
        <v>0</v>
      </c>
    </row>
    <row r="98">
      <c r="A98" s="17" t="str">
        <f t="shared" si="7"/>
        <v>#REF!</v>
      </c>
      <c r="B98" s="18">
        <f t="shared" si="1"/>
        <v>0</v>
      </c>
      <c r="C98" s="18">
        <f t="shared" si="2"/>
        <v>0</v>
      </c>
      <c r="D98" s="18">
        <f t="shared" si="3"/>
        <v>0</v>
      </c>
      <c r="E98" s="18">
        <f t="shared" si="4"/>
        <v>0</v>
      </c>
      <c r="F98" s="18">
        <f t="shared" si="5"/>
        <v>0</v>
      </c>
      <c r="G98" s="18">
        <f t="shared" si="6"/>
        <v>0</v>
      </c>
    </row>
    <row r="99">
      <c r="A99" s="17" t="str">
        <f t="shared" si="7"/>
        <v>#REF!</v>
      </c>
      <c r="B99" s="18">
        <f t="shared" si="1"/>
        <v>0</v>
      </c>
      <c r="C99" s="18">
        <f t="shared" si="2"/>
        <v>0</v>
      </c>
      <c r="D99" s="18">
        <f t="shared" si="3"/>
        <v>0</v>
      </c>
      <c r="E99" s="18">
        <f t="shared" si="4"/>
        <v>0</v>
      </c>
      <c r="F99" s="18">
        <f t="shared" si="5"/>
        <v>0</v>
      </c>
      <c r="G99" s="18">
        <f t="shared" si="6"/>
        <v>0</v>
      </c>
    </row>
  </sheetData>
  <drawing r:id="rId1"/>
</worksheet>
</file>
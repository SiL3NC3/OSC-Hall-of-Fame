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Results!$A$1:$J$34</definedName>
  </definedNames>
  <calcPr/>
</workbook>
</file>

<file path=xl/sharedStrings.xml><?xml version="1.0" encoding="utf-8"?>
<sst xmlns="http://schemas.openxmlformats.org/spreadsheetml/2006/main" count="175" uniqueCount="95">
  <si>
    <t>Name</t>
  </si>
  <si>
    <t>Score</t>
  </si>
  <si>
    <t>5's</t>
  </si>
  <si>
    <t>4's</t>
  </si>
  <si>
    <t>3's</t>
  </si>
  <si>
    <t>2's</t>
  </si>
  <si>
    <t>1's</t>
  </si>
  <si>
    <t>z.prime - Optimism</t>
  </si>
  <si>
    <t>pts</t>
  </si>
  <si>
    <t>simanus - Easy Shuffle</t>
  </si>
  <si>
    <t>jasinski - Held in Stasis</t>
  </si>
  <si>
    <t>coin toss win!</t>
  </si>
  <si>
    <t>treeheated - Pavane</t>
  </si>
  <si>
    <t>wireframewolves - Anathema</t>
  </si>
  <si>
    <t>functionform - After All The Cake And Watermelon</t>
  </si>
  <si>
    <t>bh9090 - pursht</t>
  </si>
  <si>
    <t>liqih - Sublime Subculture</t>
  </si>
  <si>
    <t>ELEX - The Paradise Beach Midnight Jam</t>
  </si>
  <si>
    <t>RichardSemper - Kai Ra Van</t>
  </si>
  <si>
    <t>VCA-089 - In Transition</t>
  </si>
  <si>
    <t>SeBaer - One Trick Pony</t>
  </si>
  <si>
    <t>MyLoFy - Alphatunez</t>
  </si>
  <si>
    <t>gigue07 - Kaira ForTune</t>
  </si>
  <si>
    <t>h.s.j.e. - Wasteland Day Trip</t>
  </si>
  <si>
    <t>Double Tap - SoukOSC</t>
  </si>
  <si>
    <t>markheath - The Return of Captain Trillian</t>
  </si>
  <si>
    <t>MilksterX - Warrior Shine</t>
  </si>
  <si>
    <t>Eauson - Eauson Kairatune KvR OsC</t>
  </si>
  <si>
    <t>MalToné - Electric Joy Bop</t>
  </si>
  <si>
    <t>rockingricky - Kaira's Tune</t>
  </si>
  <si>
    <t>skwrl - Dark Fantasia</t>
  </si>
  <si>
    <t>opdobqo - This Was Someone's Dream Once</t>
  </si>
  <si>
    <t>Neptune - Bottles And Marbles</t>
  </si>
  <si>
    <t>ontrackp - Beach Day</t>
  </si>
  <si>
    <t>Spring Goose - A goose by any other name</t>
  </si>
  <si>
    <t>doctorbob - Cool Kairatune Blues</t>
  </si>
  <si>
    <t>gorgorgathgorgorgor - Probe-O-Matic</t>
  </si>
  <si>
    <t>tickytock - Relax</t>
  </si>
  <si>
    <t>Darksynth FX - A Blueprint for Hope</t>
  </si>
  <si>
    <t>emikaela - Joy Of Missing Out</t>
  </si>
  <si>
    <t>dq</t>
  </si>
  <si>
    <t>Aro - Alert</t>
  </si>
  <si>
    <t>Juergen - Kaira Girl of my dreams</t>
  </si>
  <si>
    <t>Voter Name (KVR nick)</t>
  </si>
  <si>
    <t>Gen. Score *</t>
  </si>
  <si>
    <t>bh9090</t>
  </si>
  <si>
    <t>Darksynth FX</t>
  </si>
  <si>
    <t>doctorbob</t>
  </si>
  <si>
    <t>Double Tap</t>
  </si>
  <si>
    <t>Eauson</t>
  </si>
  <si>
    <t>ELEX</t>
  </si>
  <si>
    <t>emikaela</t>
  </si>
  <si>
    <t>exponent1</t>
  </si>
  <si>
    <t>functionform</t>
  </si>
  <si>
    <t>gigue07</t>
  </si>
  <si>
    <t>Gorgorgathgorgorgor</t>
  </si>
  <si>
    <t>h.s.j.e.</t>
  </si>
  <si>
    <t>jasinski</t>
  </si>
  <si>
    <t>Juergen</t>
  </si>
  <si>
    <t>Liqih</t>
  </si>
  <si>
    <t>MalTone</t>
  </si>
  <si>
    <t>markheath</t>
  </si>
  <si>
    <t>milksterx</t>
  </si>
  <si>
    <t>MyLoFy</t>
  </si>
  <si>
    <t>Neptune</t>
  </si>
  <si>
    <t>ontrackp</t>
  </si>
  <si>
    <t>opdobqo</t>
  </si>
  <si>
    <t>Richard Semper</t>
  </si>
  <si>
    <t>Rockingricky</t>
  </si>
  <si>
    <t>SeBaer</t>
  </si>
  <si>
    <t>simanus</t>
  </si>
  <si>
    <t>skwrl</t>
  </si>
  <si>
    <t>Spring Goose</t>
  </si>
  <si>
    <t>tickytock</t>
  </si>
  <si>
    <t>Tj Shredder</t>
  </si>
  <si>
    <t>treeheated</t>
  </si>
  <si>
    <t>VCA-089</t>
  </si>
  <si>
    <t>wireframewolves</t>
  </si>
  <si>
    <t>z.prime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</si>
  <si>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</si>
  <si>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</si>
  <si>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</si>
  <si>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</si>
  <si>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</si>
  <si>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</si>
  <si>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</si>
  <si>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</si>
  <si>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- Lunaris</t>
  </si>
  <si>
    <t>Done</t>
  </si>
  <si>
    <t>Sound Gym 6 month sub</t>
  </si>
  <si>
    <t>Yuli Yolo Sound Design</t>
  </si>
  <si>
    <t>requested</t>
  </si>
  <si>
    <t>pass</t>
  </si>
  <si>
    <t>N/A</t>
  </si>
  <si>
    <t>Synthmaster bundle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</si>
</sst>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i/>
      <color rgb="FF999999"/>
      <name val="Arial"/>
    </font>
    <font>
      <color theme="1"/>
      <name val="Arial"/>
      <scheme val="minor"/>
    </font>
    <font>
      <sz val="11.0"/>
      <color rgb="FF666666"/>
      <name val="Arial"/>
    </font>
    <font>
      <i/>
      <color rgb="FF999999"/>
      <name val="Arial"/>
      <scheme val="minor"/>
    </font>
    <font>
      <i/>
      <color rgb="FF666666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left" readingOrder="0" vertical="bottom"/>
    </xf>
    <xf borderId="0" fillId="3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2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18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4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0" fontId="19" numFmtId="4" xfId="0" applyAlignment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43</xdr:row>
      <xdr:rowOff>28575</xdr:rowOff>
    </xdr:from>
    <xdr:ext cx="2533650" cy="2533650"/>
    <xdr:pic>
      <xdr:nvPicPr>
        <xdr:cNvPr id="139796479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8.0"/>
    <col customWidth="1" min="3" max="3" width="5.13"/>
    <col customWidth="1" min="4" max="4" width="6.63"/>
    <col customWidth="1" min="5" max="5" width="4.25"/>
    <col customWidth="1" min="6" max="6" width="4.63"/>
    <col customWidth="1" min="7" max="9" width="3.13"/>
    <col customWidth="1" min="10" max="10" width="12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152.0</v>
      </c>
      <c r="D2" s="8" t="s">
        <v>8</v>
      </c>
      <c r="E2" s="9">
        <v>22.0</v>
      </c>
      <c r="F2" s="9">
        <v>8.0</v>
      </c>
      <c r="G2" s="9">
        <v>3.0</v>
      </c>
      <c r="H2" s="9">
        <v>0.0</v>
      </c>
      <c r="I2" s="9">
        <v>1.0</v>
      </c>
      <c r="J2" s="10"/>
    </row>
    <row r="3">
      <c r="A3" s="5">
        <v>2.0</v>
      </c>
      <c r="B3" s="6" t="s">
        <v>9</v>
      </c>
      <c r="C3" s="7">
        <v>148.0</v>
      </c>
      <c r="D3" s="8" t="s">
        <v>8</v>
      </c>
      <c r="E3" s="9">
        <v>18.0</v>
      </c>
      <c r="F3" s="9">
        <v>12.0</v>
      </c>
      <c r="G3" s="9">
        <v>3.0</v>
      </c>
      <c r="H3" s="9">
        <v>0.0</v>
      </c>
      <c r="I3" s="9">
        <v>1.0</v>
      </c>
      <c r="J3" s="10"/>
    </row>
    <row r="4">
      <c r="A4" s="5">
        <v>3.0</v>
      </c>
      <c r="B4" s="6" t="s">
        <v>10</v>
      </c>
      <c r="C4" s="7">
        <v>141.0</v>
      </c>
      <c r="D4" s="8" t="s">
        <v>8</v>
      </c>
      <c r="E4" s="9">
        <v>15.0</v>
      </c>
      <c r="F4" s="9">
        <v>11.0</v>
      </c>
      <c r="G4" s="9">
        <v>7.0</v>
      </c>
      <c r="H4" s="9">
        <v>0.0</v>
      </c>
      <c r="I4" s="9">
        <v>1.0</v>
      </c>
      <c r="J4" s="11" t="s">
        <v>11</v>
      </c>
    </row>
    <row r="5">
      <c r="A5" s="5">
        <v>4.0</v>
      </c>
      <c r="B5" s="6" t="s">
        <v>12</v>
      </c>
      <c r="C5" s="7">
        <v>141.0</v>
      </c>
      <c r="D5" s="8" t="s">
        <v>8</v>
      </c>
      <c r="E5" s="9">
        <v>15.0</v>
      </c>
      <c r="F5" s="9">
        <v>11.0</v>
      </c>
      <c r="G5" s="9">
        <v>7.0</v>
      </c>
      <c r="H5" s="9">
        <v>0.0</v>
      </c>
      <c r="I5" s="9">
        <v>1.0</v>
      </c>
      <c r="J5" s="12"/>
    </row>
    <row r="6">
      <c r="A6" s="5">
        <v>5.0</v>
      </c>
      <c r="B6" s="6" t="s">
        <v>13</v>
      </c>
      <c r="C6" s="7">
        <v>140.0</v>
      </c>
      <c r="D6" s="8" t="s">
        <v>8</v>
      </c>
      <c r="E6" s="9">
        <v>15.0</v>
      </c>
      <c r="F6" s="9">
        <v>11.0</v>
      </c>
      <c r="G6" s="9">
        <v>6.0</v>
      </c>
      <c r="H6" s="9">
        <v>1.0</v>
      </c>
      <c r="I6" s="9">
        <v>1.0</v>
      </c>
      <c r="J6" s="10"/>
    </row>
    <row r="7">
      <c r="A7" s="5">
        <v>6.0</v>
      </c>
      <c r="B7" s="6" t="s">
        <v>14</v>
      </c>
      <c r="C7" s="7">
        <v>140.0</v>
      </c>
      <c r="D7" s="8" t="s">
        <v>8</v>
      </c>
      <c r="E7" s="9">
        <v>12.0</v>
      </c>
      <c r="F7" s="9">
        <v>16.0</v>
      </c>
      <c r="G7" s="9">
        <v>5.0</v>
      </c>
      <c r="H7" s="9">
        <v>0.0</v>
      </c>
      <c r="I7" s="9">
        <v>1.0</v>
      </c>
      <c r="J7" s="13"/>
    </row>
    <row r="8">
      <c r="A8" s="5">
        <v>7.0</v>
      </c>
      <c r="B8" s="6" t="s">
        <v>15</v>
      </c>
      <c r="C8" s="7">
        <v>137.0</v>
      </c>
      <c r="D8" s="8" t="s">
        <v>8</v>
      </c>
      <c r="E8" s="9">
        <v>13.0</v>
      </c>
      <c r="F8" s="9">
        <v>11.0</v>
      </c>
      <c r="G8" s="9">
        <v>9.0</v>
      </c>
      <c r="H8" s="9">
        <v>0.0</v>
      </c>
      <c r="I8" s="9">
        <v>1.0</v>
      </c>
      <c r="J8" s="10"/>
    </row>
    <row r="9">
      <c r="A9" s="5">
        <v>8.0</v>
      </c>
      <c r="B9" s="6" t="s">
        <v>16</v>
      </c>
      <c r="C9" s="7">
        <v>136.0</v>
      </c>
      <c r="D9" s="8" t="s">
        <v>8</v>
      </c>
      <c r="E9" s="9">
        <v>11.0</v>
      </c>
      <c r="F9" s="9">
        <v>15.0</v>
      </c>
      <c r="G9" s="9">
        <v>6.0</v>
      </c>
      <c r="H9" s="9">
        <v>1.0</v>
      </c>
      <c r="I9" s="9">
        <v>1.0</v>
      </c>
      <c r="J9" s="10"/>
    </row>
    <row r="10">
      <c r="A10" s="5">
        <v>9.0</v>
      </c>
      <c r="B10" s="6" t="s">
        <v>17</v>
      </c>
      <c r="C10" s="7">
        <v>135.0</v>
      </c>
      <c r="D10" s="8" t="s">
        <v>8</v>
      </c>
      <c r="E10" s="9">
        <v>10.0</v>
      </c>
      <c r="F10" s="9">
        <v>17.0</v>
      </c>
      <c r="G10" s="9">
        <v>4.0</v>
      </c>
      <c r="H10" s="9">
        <v>2.0</v>
      </c>
      <c r="I10" s="9">
        <v>1.0</v>
      </c>
      <c r="J10" s="10"/>
    </row>
    <row r="11">
      <c r="A11" s="5">
        <v>10.0</v>
      </c>
      <c r="B11" s="6" t="s">
        <v>18</v>
      </c>
      <c r="C11" s="7">
        <v>134.0</v>
      </c>
      <c r="D11" s="8" t="s">
        <v>8</v>
      </c>
      <c r="E11" s="9">
        <v>12.0</v>
      </c>
      <c r="F11" s="9">
        <v>10.0</v>
      </c>
      <c r="G11" s="9">
        <v>11.0</v>
      </c>
      <c r="H11" s="9">
        <v>0.0</v>
      </c>
      <c r="I11" s="9">
        <v>1.0</v>
      </c>
      <c r="J11" s="13"/>
    </row>
    <row r="12">
      <c r="A12" s="5">
        <v>11.0</v>
      </c>
      <c r="B12" s="6" t="s">
        <v>19</v>
      </c>
      <c r="C12" s="7">
        <v>133.0</v>
      </c>
      <c r="D12" s="8" t="s">
        <v>8</v>
      </c>
      <c r="E12" s="9">
        <v>10.0</v>
      </c>
      <c r="F12" s="9">
        <v>13.0</v>
      </c>
      <c r="G12" s="9">
        <v>10.0</v>
      </c>
      <c r="H12" s="9">
        <v>0.0</v>
      </c>
      <c r="I12" s="9">
        <v>1.0</v>
      </c>
      <c r="J12" s="10"/>
    </row>
    <row r="13">
      <c r="A13" s="5">
        <v>12.0</v>
      </c>
      <c r="B13" s="6" t="s">
        <v>20</v>
      </c>
      <c r="C13" s="7">
        <v>133.0</v>
      </c>
      <c r="D13" s="8" t="s">
        <v>8</v>
      </c>
      <c r="E13" s="9">
        <v>9.0</v>
      </c>
      <c r="F13" s="9">
        <v>15.0</v>
      </c>
      <c r="G13" s="9">
        <v>9.0</v>
      </c>
      <c r="H13" s="9">
        <v>0.0</v>
      </c>
      <c r="I13" s="9">
        <v>1.0</v>
      </c>
      <c r="J13" s="10"/>
    </row>
    <row r="14">
      <c r="A14" s="5">
        <v>13.0</v>
      </c>
      <c r="B14" s="6" t="s">
        <v>21</v>
      </c>
      <c r="C14" s="7">
        <v>130.0</v>
      </c>
      <c r="D14" s="8" t="s">
        <v>8</v>
      </c>
      <c r="E14" s="9">
        <v>7.0</v>
      </c>
      <c r="F14" s="9">
        <v>16.0</v>
      </c>
      <c r="G14" s="9">
        <v>10.0</v>
      </c>
      <c r="H14" s="9">
        <v>0.0</v>
      </c>
      <c r="I14" s="9">
        <v>1.0</v>
      </c>
      <c r="J14" s="13"/>
    </row>
    <row r="15">
      <c r="A15" s="5">
        <v>14.0</v>
      </c>
      <c r="B15" s="6" t="s">
        <v>22</v>
      </c>
      <c r="C15" s="7">
        <v>126.0</v>
      </c>
      <c r="D15" s="8" t="s">
        <v>8</v>
      </c>
      <c r="E15" s="9">
        <v>5.0</v>
      </c>
      <c r="F15" s="9">
        <v>16.0</v>
      </c>
      <c r="G15" s="9">
        <v>12.0</v>
      </c>
      <c r="H15" s="9">
        <v>0.0</v>
      </c>
      <c r="I15" s="9">
        <v>1.0</v>
      </c>
      <c r="J15" s="11" t="s">
        <v>11</v>
      </c>
    </row>
    <row r="16">
      <c r="A16" s="5">
        <v>15.0</v>
      </c>
      <c r="B16" s="6" t="s">
        <v>23</v>
      </c>
      <c r="C16" s="7">
        <v>126.0</v>
      </c>
      <c r="D16" s="8" t="s">
        <v>8</v>
      </c>
      <c r="E16" s="9">
        <v>5.0</v>
      </c>
      <c r="F16" s="9">
        <v>16.0</v>
      </c>
      <c r="G16" s="9">
        <v>12.0</v>
      </c>
      <c r="H16" s="9">
        <v>0.0</v>
      </c>
      <c r="I16" s="9">
        <v>1.0</v>
      </c>
      <c r="J16" s="12"/>
    </row>
    <row r="17">
      <c r="A17" s="5">
        <v>16.0</v>
      </c>
      <c r="B17" s="6" t="s">
        <v>24</v>
      </c>
      <c r="C17" s="7">
        <v>125.0</v>
      </c>
      <c r="D17" s="8" t="s">
        <v>8</v>
      </c>
      <c r="E17" s="9">
        <v>3.0</v>
      </c>
      <c r="F17" s="9">
        <v>20.0</v>
      </c>
      <c r="G17" s="9">
        <v>9.0</v>
      </c>
      <c r="H17" s="9">
        <v>1.0</v>
      </c>
      <c r="I17" s="9">
        <v>1.0</v>
      </c>
      <c r="J17" s="13"/>
    </row>
    <row r="18">
      <c r="A18" s="5">
        <v>17.0</v>
      </c>
      <c r="B18" s="6" t="s">
        <v>25</v>
      </c>
      <c r="C18" s="7">
        <v>124.0</v>
      </c>
      <c r="D18" s="8" t="s">
        <v>8</v>
      </c>
      <c r="E18" s="9">
        <v>6.0</v>
      </c>
      <c r="F18" s="9">
        <v>13.0</v>
      </c>
      <c r="G18" s="9">
        <v>13.0</v>
      </c>
      <c r="H18" s="9">
        <v>1.0</v>
      </c>
      <c r="I18" s="9">
        <v>1.0</v>
      </c>
      <c r="J18" s="10"/>
    </row>
    <row r="19">
      <c r="A19" s="5">
        <v>18.0</v>
      </c>
      <c r="B19" s="6" t="s">
        <v>26</v>
      </c>
      <c r="C19" s="7">
        <v>122.0</v>
      </c>
      <c r="D19" s="8" t="s">
        <v>8</v>
      </c>
      <c r="E19" s="9">
        <v>6.0</v>
      </c>
      <c r="F19" s="9">
        <v>12.0</v>
      </c>
      <c r="G19" s="9">
        <v>13.0</v>
      </c>
      <c r="H19" s="9">
        <v>2.0</v>
      </c>
      <c r="I19" s="9">
        <v>1.0</v>
      </c>
      <c r="J19" s="10"/>
    </row>
    <row r="20">
      <c r="A20" s="5">
        <v>19.0</v>
      </c>
      <c r="B20" s="6" t="s">
        <v>27</v>
      </c>
      <c r="C20" s="7">
        <v>122.0</v>
      </c>
      <c r="D20" s="8" t="s">
        <v>8</v>
      </c>
      <c r="E20" s="9">
        <v>5.0</v>
      </c>
      <c r="F20" s="9">
        <v>13.0</v>
      </c>
      <c r="G20" s="9">
        <v>14.0</v>
      </c>
      <c r="H20" s="9">
        <v>1.0</v>
      </c>
      <c r="I20" s="9">
        <v>1.0</v>
      </c>
      <c r="J20" s="10"/>
    </row>
    <row r="21">
      <c r="A21" s="5">
        <v>20.0</v>
      </c>
      <c r="B21" s="6" t="s">
        <v>28</v>
      </c>
      <c r="C21" s="7">
        <v>120.0</v>
      </c>
      <c r="D21" s="8" t="s">
        <v>8</v>
      </c>
      <c r="E21" s="9">
        <v>3.0</v>
      </c>
      <c r="F21" s="9">
        <v>16.0</v>
      </c>
      <c r="G21" s="9">
        <v>12.0</v>
      </c>
      <c r="H21" s="9">
        <v>2.0</v>
      </c>
      <c r="I21" s="9">
        <v>1.0</v>
      </c>
      <c r="J21" s="10"/>
    </row>
    <row r="22">
      <c r="A22" s="5">
        <v>21.0</v>
      </c>
      <c r="B22" s="6" t="s">
        <v>29</v>
      </c>
      <c r="C22" s="7">
        <v>120.0</v>
      </c>
      <c r="D22" s="8" t="s">
        <v>8</v>
      </c>
      <c r="E22" s="9">
        <v>3.0</v>
      </c>
      <c r="F22" s="9">
        <v>15.0</v>
      </c>
      <c r="G22" s="9">
        <v>14.0</v>
      </c>
      <c r="H22" s="9">
        <v>1.0</v>
      </c>
      <c r="I22" s="9">
        <v>1.0</v>
      </c>
      <c r="J22" s="10"/>
    </row>
    <row r="23">
      <c r="A23" s="5">
        <v>22.0</v>
      </c>
      <c r="B23" s="6" t="s">
        <v>30</v>
      </c>
      <c r="C23" s="7">
        <v>118.0</v>
      </c>
      <c r="D23" s="8" t="s">
        <v>8</v>
      </c>
      <c r="E23" s="9">
        <v>5.0</v>
      </c>
      <c r="F23" s="9">
        <v>10.0</v>
      </c>
      <c r="G23" s="9">
        <v>16.0</v>
      </c>
      <c r="H23" s="9">
        <v>2.0</v>
      </c>
      <c r="I23" s="9">
        <v>1.0</v>
      </c>
      <c r="J23" s="10"/>
    </row>
    <row r="24">
      <c r="A24" s="5">
        <v>23.0</v>
      </c>
      <c r="B24" s="6" t="s">
        <v>31</v>
      </c>
      <c r="C24" s="7">
        <v>118.0</v>
      </c>
      <c r="D24" s="8" t="s">
        <v>8</v>
      </c>
      <c r="E24" s="9">
        <v>1.0</v>
      </c>
      <c r="F24" s="9">
        <v>16.0</v>
      </c>
      <c r="G24" s="9">
        <v>16.0</v>
      </c>
      <c r="H24" s="9">
        <v>0.0</v>
      </c>
      <c r="I24" s="9">
        <v>1.0</v>
      </c>
      <c r="J24" s="10"/>
    </row>
    <row r="25">
      <c r="A25" s="5">
        <v>24.0</v>
      </c>
      <c r="B25" s="6" t="s">
        <v>32</v>
      </c>
      <c r="C25" s="7">
        <v>114.0</v>
      </c>
      <c r="D25" s="8" t="s">
        <v>8</v>
      </c>
      <c r="E25" s="9">
        <v>4.0</v>
      </c>
      <c r="F25" s="9">
        <v>9.0</v>
      </c>
      <c r="G25" s="9">
        <v>17.0</v>
      </c>
      <c r="H25" s="9">
        <v>3.0</v>
      </c>
      <c r="I25" s="9">
        <v>1.0</v>
      </c>
      <c r="J25" s="13"/>
    </row>
    <row r="26">
      <c r="A26" s="5">
        <v>25.0</v>
      </c>
      <c r="B26" s="6" t="s">
        <v>33</v>
      </c>
      <c r="C26" s="7">
        <v>114.0</v>
      </c>
      <c r="D26" s="8" t="s">
        <v>8</v>
      </c>
      <c r="E26" s="9">
        <v>2.0</v>
      </c>
      <c r="F26" s="9">
        <v>11.0</v>
      </c>
      <c r="G26" s="9">
        <v>19.0</v>
      </c>
      <c r="H26" s="9">
        <v>1.0</v>
      </c>
      <c r="I26" s="9">
        <v>1.0</v>
      </c>
      <c r="J26" s="10"/>
    </row>
    <row r="27">
      <c r="A27" s="5">
        <v>26.0</v>
      </c>
      <c r="B27" s="6" t="s">
        <v>34</v>
      </c>
      <c r="C27" s="7">
        <v>110.0</v>
      </c>
      <c r="D27" s="8" t="s">
        <v>8</v>
      </c>
      <c r="E27" s="9">
        <v>2.0</v>
      </c>
      <c r="F27" s="9">
        <v>7.0</v>
      </c>
      <c r="G27" s="9">
        <v>23.0</v>
      </c>
      <c r="H27" s="9">
        <v>1.0</v>
      </c>
      <c r="I27" s="9">
        <v>1.0</v>
      </c>
      <c r="J27" s="10"/>
    </row>
    <row r="28">
      <c r="A28" s="5">
        <v>27.0</v>
      </c>
      <c r="B28" s="6" t="s">
        <v>35</v>
      </c>
      <c r="C28" s="7">
        <v>108.0</v>
      </c>
      <c r="D28" s="8" t="s">
        <v>8</v>
      </c>
      <c r="E28" s="9">
        <v>1.0</v>
      </c>
      <c r="F28" s="9">
        <v>11.0</v>
      </c>
      <c r="G28" s="9">
        <v>16.0</v>
      </c>
      <c r="H28" s="9">
        <v>5.0</v>
      </c>
      <c r="I28" s="9">
        <v>1.0</v>
      </c>
      <c r="J28" s="13"/>
    </row>
    <row r="29">
      <c r="A29" s="5">
        <v>28.0</v>
      </c>
      <c r="B29" s="6" t="s">
        <v>36</v>
      </c>
      <c r="C29" s="7">
        <v>106.0</v>
      </c>
      <c r="D29" s="8" t="s">
        <v>8</v>
      </c>
      <c r="E29" s="9">
        <v>0.0</v>
      </c>
      <c r="F29" s="9">
        <v>7.0</v>
      </c>
      <c r="G29" s="9">
        <v>25.0</v>
      </c>
      <c r="H29" s="9">
        <v>1.0</v>
      </c>
      <c r="I29" s="9">
        <v>1.0</v>
      </c>
      <c r="J29" s="10"/>
    </row>
    <row r="30">
      <c r="A30" s="5">
        <v>29.0</v>
      </c>
      <c r="B30" s="6" t="s">
        <v>37</v>
      </c>
      <c r="C30" s="7">
        <v>104.0</v>
      </c>
      <c r="D30" s="8" t="s">
        <v>8</v>
      </c>
      <c r="E30" s="9">
        <v>1.0</v>
      </c>
      <c r="F30" s="9">
        <v>5.0</v>
      </c>
      <c r="G30" s="9">
        <v>24.0</v>
      </c>
      <c r="H30" s="9">
        <v>3.0</v>
      </c>
      <c r="I30" s="9">
        <v>1.0</v>
      </c>
      <c r="J30" s="13"/>
    </row>
    <row r="31">
      <c r="A31" s="5">
        <v>30.0</v>
      </c>
      <c r="B31" s="6" t="s">
        <v>38</v>
      </c>
      <c r="C31" s="7">
        <v>102.0</v>
      </c>
      <c r="D31" s="8" t="s">
        <v>8</v>
      </c>
      <c r="E31" s="9">
        <v>0.0</v>
      </c>
      <c r="F31" s="9">
        <v>6.0</v>
      </c>
      <c r="G31" s="9">
        <v>23.0</v>
      </c>
      <c r="H31" s="9">
        <v>4.0</v>
      </c>
      <c r="I31" s="9">
        <v>1.0</v>
      </c>
      <c r="J31" s="10"/>
    </row>
    <row r="32">
      <c r="A32" s="5">
        <v>31.0</v>
      </c>
      <c r="B32" s="6" t="s">
        <v>39</v>
      </c>
      <c r="C32" s="7">
        <v>102.0</v>
      </c>
      <c r="D32" s="8" t="s">
        <v>8</v>
      </c>
      <c r="E32" s="9">
        <v>0.0</v>
      </c>
      <c r="F32" s="9">
        <v>4.0</v>
      </c>
      <c r="G32" s="9">
        <v>27.0</v>
      </c>
      <c r="H32" s="9">
        <v>2.0</v>
      </c>
      <c r="I32" s="9">
        <v>1.0</v>
      </c>
      <c r="J32" s="10"/>
    </row>
    <row r="33">
      <c r="A33" s="5" t="s">
        <v>40</v>
      </c>
      <c r="B33" s="6" t="s">
        <v>41</v>
      </c>
      <c r="C33" s="7">
        <v>100.0</v>
      </c>
      <c r="D33" s="8" t="s">
        <v>8</v>
      </c>
      <c r="E33" s="9">
        <v>1.0</v>
      </c>
      <c r="F33" s="9">
        <v>6.0</v>
      </c>
      <c r="G33" s="9">
        <v>17.0</v>
      </c>
      <c r="H33" s="9">
        <v>10.0</v>
      </c>
      <c r="I33" s="9">
        <v>0.0</v>
      </c>
      <c r="J33" s="10"/>
    </row>
    <row r="34">
      <c r="A34" s="5">
        <v>32.0</v>
      </c>
      <c r="B34" s="6" t="s">
        <v>42</v>
      </c>
      <c r="C34" s="7">
        <v>91.0</v>
      </c>
      <c r="D34" s="8" t="s">
        <v>8</v>
      </c>
      <c r="E34" s="9">
        <v>0.0</v>
      </c>
      <c r="F34" s="9">
        <v>2.0</v>
      </c>
      <c r="G34" s="9">
        <v>20.0</v>
      </c>
      <c r="H34" s="9">
        <v>11.0</v>
      </c>
      <c r="I34" s="9">
        <v>1.0</v>
      </c>
      <c r="J34" s="10"/>
    </row>
    <row r="35">
      <c r="B35" s="6"/>
      <c r="E35" s="7"/>
      <c r="F35" s="7"/>
      <c r="G35" s="7"/>
      <c r="H35" s="7"/>
      <c r="I35" s="7"/>
    </row>
    <row r="36">
      <c r="B36" s="6"/>
      <c r="E36" s="7"/>
      <c r="F36" s="7"/>
      <c r="G36" s="7"/>
      <c r="H36" s="7"/>
      <c r="I36" s="7"/>
    </row>
    <row r="37">
      <c r="B37" s="6"/>
      <c r="E37" s="7"/>
      <c r="F37" s="7"/>
      <c r="G37" s="7"/>
      <c r="H37" s="7"/>
      <c r="I37" s="7"/>
    </row>
    <row r="38">
      <c r="B38" s="6"/>
      <c r="E38" s="7"/>
      <c r="F38" s="7"/>
      <c r="G38" s="7"/>
      <c r="H38" s="7"/>
      <c r="I38" s="7"/>
    </row>
    <row r="39">
      <c r="B39" s="6"/>
      <c r="E39" s="7"/>
      <c r="F39" s="7"/>
      <c r="G39" s="7"/>
      <c r="H39" s="7"/>
      <c r="I39" s="7"/>
    </row>
    <row r="40">
      <c r="B40" s="6"/>
      <c r="E40" s="7"/>
      <c r="F40" s="7"/>
      <c r="G40" s="7"/>
      <c r="H40" s="7"/>
      <c r="I40" s="7"/>
    </row>
    <row r="41">
      <c r="B41" s="6"/>
      <c r="E41" s="7"/>
      <c r="F41" s="7"/>
      <c r="G41" s="7"/>
      <c r="H41" s="7"/>
      <c r="I41" s="7"/>
    </row>
    <row r="42">
      <c r="B42" s="6"/>
      <c r="E42" s="7"/>
      <c r="F42" s="7"/>
      <c r="G42" s="7"/>
      <c r="H42" s="7"/>
      <c r="I42" s="7"/>
    </row>
    <row r="43">
      <c r="B43" s="6"/>
      <c r="E43" s="7"/>
      <c r="F43" s="7"/>
      <c r="G43" s="7"/>
      <c r="H43" s="7"/>
      <c r="I43" s="7"/>
    </row>
    <row r="44">
      <c r="B44" s="6"/>
      <c r="E44" s="7"/>
      <c r="F44" s="7"/>
      <c r="G44" s="7"/>
      <c r="H44" s="7"/>
      <c r="I44" s="7"/>
    </row>
    <row r="45">
      <c r="B45" s="6"/>
      <c r="E45" s="7"/>
      <c r="F45" s="7"/>
      <c r="G45" s="7"/>
      <c r="H45" s="7"/>
      <c r="I45" s="7"/>
    </row>
    <row r="46">
      <c r="B46" s="6"/>
      <c r="E46" s="7"/>
      <c r="F46" s="7"/>
      <c r="G46" s="7"/>
      <c r="H46" s="7"/>
      <c r="I46" s="7"/>
    </row>
    <row r="47">
      <c r="B47" s="6"/>
      <c r="E47" s="7"/>
      <c r="F47" s="7"/>
      <c r="G47" s="7"/>
      <c r="H47" s="7"/>
      <c r="I47" s="7"/>
    </row>
    <row r="48">
      <c r="B48" s="6"/>
      <c r="E48" s="7"/>
      <c r="F48" s="7"/>
      <c r="G48" s="7"/>
      <c r="H48" s="7"/>
      <c r="I48" s="7"/>
    </row>
    <row r="49">
      <c r="B49" s="6"/>
      <c r="E49" s="7"/>
      <c r="F49" s="7"/>
      <c r="G49" s="7"/>
      <c r="H49" s="7"/>
      <c r="I49" s="7"/>
    </row>
    <row r="50">
      <c r="B50" s="6"/>
      <c r="E50" s="7"/>
      <c r="F50" s="7"/>
      <c r="G50" s="7"/>
      <c r="H50" s="7"/>
      <c r="I50" s="7"/>
    </row>
    <row r="51">
      <c r="B51" s="6"/>
      <c r="E51" s="7"/>
      <c r="F51" s="7"/>
      <c r="G51" s="7"/>
      <c r="H51" s="7"/>
      <c r="I51" s="7"/>
    </row>
    <row r="52">
      <c r="B52" s="6"/>
      <c r="E52" s="7"/>
      <c r="F52" s="7"/>
      <c r="G52" s="7"/>
      <c r="H52" s="7"/>
      <c r="I52" s="7"/>
    </row>
    <row r="53">
      <c r="B53" s="6"/>
      <c r="E53" s="7"/>
      <c r="F53" s="7"/>
      <c r="G53" s="7"/>
      <c r="H53" s="7"/>
      <c r="I53" s="7"/>
    </row>
    <row r="54">
      <c r="B54" s="6"/>
      <c r="E54" s="7"/>
      <c r="F54" s="7"/>
      <c r="G54" s="7"/>
      <c r="H54" s="7"/>
      <c r="I54" s="7"/>
    </row>
    <row r="55">
      <c r="B55" s="6"/>
      <c r="E55" s="7"/>
      <c r="F55" s="7"/>
      <c r="G55" s="7"/>
      <c r="H55" s="7"/>
      <c r="I55" s="7"/>
    </row>
    <row r="56">
      <c r="B56" s="6"/>
      <c r="E56" s="7"/>
      <c r="F56" s="7"/>
      <c r="G56" s="7"/>
      <c r="H56" s="7"/>
      <c r="I56" s="7"/>
    </row>
    <row r="57">
      <c r="B57" s="6"/>
      <c r="E57" s="7"/>
      <c r="F57" s="7"/>
      <c r="G57" s="7"/>
      <c r="H57" s="7"/>
      <c r="I57" s="7"/>
    </row>
    <row r="58">
      <c r="B58" s="6"/>
      <c r="E58" s="7"/>
      <c r="F58" s="7"/>
      <c r="G58" s="7"/>
      <c r="H58" s="7"/>
      <c r="I58" s="7"/>
    </row>
    <row r="59">
      <c r="B59" s="6"/>
      <c r="E59" s="7"/>
      <c r="F59" s="7"/>
      <c r="G59" s="7"/>
      <c r="H59" s="7"/>
      <c r="I59" s="7"/>
    </row>
    <row r="60">
      <c r="B60" s="6"/>
      <c r="E60" s="7"/>
      <c r="F60" s="7"/>
      <c r="G60" s="7"/>
      <c r="H60" s="7"/>
      <c r="I60" s="7"/>
    </row>
    <row r="61">
      <c r="B61" s="6"/>
      <c r="E61" s="7"/>
      <c r="F61" s="7"/>
      <c r="G61" s="7"/>
      <c r="H61" s="7"/>
      <c r="I61" s="7"/>
    </row>
    <row r="62">
      <c r="B62" s="6"/>
      <c r="E62" s="7"/>
      <c r="F62" s="7"/>
      <c r="G62" s="7"/>
      <c r="H62" s="7"/>
      <c r="I62" s="7"/>
    </row>
    <row r="63">
      <c r="B63" s="6"/>
      <c r="E63" s="7"/>
      <c r="F63" s="7"/>
      <c r="G63" s="7"/>
      <c r="H63" s="7"/>
      <c r="I63" s="7"/>
    </row>
    <row r="64">
      <c r="B64" s="6"/>
      <c r="E64" s="7"/>
      <c r="F64" s="7"/>
      <c r="G64" s="7"/>
      <c r="H64" s="7"/>
      <c r="I64" s="7"/>
    </row>
    <row r="65">
      <c r="B65" s="6"/>
      <c r="E65" s="7"/>
      <c r="F65" s="7"/>
      <c r="G65" s="7"/>
      <c r="H65" s="7"/>
      <c r="I65" s="7"/>
    </row>
    <row r="66">
      <c r="B66" s="6"/>
      <c r="E66" s="7"/>
      <c r="F66" s="7"/>
      <c r="G66" s="7"/>
      <c r="H66" s="7"/>
      <c r="I66" s="7"/>
    </row>
    <row r="67">
      <c r="B67" s="6"/>
      <c r="E67" s="7"/>
      <c r="F67" s="7"/>
      <c r="G67" s="7"/>
      <c r="H67" s="7"/>
      <c r="I67" s="7"/>
    </row>
    <row r="68">
      <c r="B68" s="6"/>
      <c r="E68" s="7"/>
      <c r="F68" s="7"/>
      <c r="G68" s="7"/>
      <c r="H68" s="7"/>
      <c r="I68" s="7"/>
    </row>
    <row r="69">
      <c r="B69" s="6"/>
      <c r="E69" s="7"/>
      <c r="F69" s="7"/>
      <c r="G69" s="7"/>
      <c r="H69" s="7"/>
      <c r="I69" s="7"/>
    </row>
    <row r="70">
      <c r="B70" s="6"/>
      <c r="E70" s="7"/>
      <c r="F70" s="7"/>
      <c r="G70" s="7"/>
      <c r="H70" s="7"/>
      <c r="I70" s="7"/>
    </row>
    <row r="71">
      <c r="B71" s="6"/>
      <c r="E71" s="7"/>
      <c r="F71" s="7"/>
      <c r="G71" s="7"/>
      <c r="H71" s="7"/>
      <c r="I71" s="7"/>
    </row>
    <row r="72">
      <c r="B72" s="6"/>
      <c r="E72" s="7"/>
      <c r="F72" s="7"/>
      <c r="G72" s="7"/>
      <c r="H72" s="7"/>
      <c r="I72" s="7"/>
    </row>
    <row r="73">
      <c r="B73" s="6"/>
      <c r="E73" s="7"/>
      <c r="F73" s="7"/>
      <c r="G73" s="7"/>
      <c r="H73" s="7"/>
      <c r="I73" s="7"/>
    </row>
    <row r="74">
      <c r="B74" s="6"/>
      <c r="E74" s="7"/>
      <c r="F74" s="7"/>
      <c r="G74" s="7"/>
      <c r="H74" s="7"/>
      <c r="I74" s="7"/>
    </row>
    <row r="75">
      <c r="B75" s="6"/>
      <c r="E75" s="7"/>
      <c r="F75" s="7"/>
      <c r="G75" s="7"/>
      <c r="H75" s="7"/>
      <c r="I75" s="7"/>
    </row>
    <row r="76">
      <c r="B76" s="6"/>
      <c r="E76" s="7"/>
      <c r="F76" s="7"/>
      <c r="G76" s="7"/>
      <c r="H76" s="7"/>
      <c r="I76" s="7"/>
    </row>
    <row r="77">
      <c r="B77" s="6"/>
      <c r="E77" s="7"/>
      <c r="F77" s="7"/>
      <c r="G77" s="7"/>
      <c r="H77" s="7"/>
      <c r="I77" s="7"/>
    </row>
    <row r="78">
      <c r="B78" s="6"/>
      <c r="H78" s="7"/>
      <c r="I78" s="7"/>
    </row>
    <row r="79">
      <c r="B79" s="6"/>
      <c r="H79" s="7"/>
      <c r="I79" s="7"/>
    </row>
    <row r="80">
      <c r="B80" s="6"/>
      <c r="H80" s="7"/>
      <c r="I80" s="7"/>
    </row>
    <row r="81">
      <c r="B81" s="6"/>
      <c r="H81" s="7"/>
      <c r="I81" s="7"/>
    </row>
    <row r="82">
      <c r="B82" s="6"/>
      <c r="H82" s="7"/>
      <c r="I82" s="7"/>
    </row>
    <row r="83">
      <c r="B83" s="6"/>
      <c r="H83" s="7"/>
      <c r="I83" s="7"/>
    </row>
    <row r="84">
      <c r="B84" s="6"/>
      <c r="H84" s="7"/>
      <c r="I84" s="7"/>
    </row>
    <row r="85">
      <c r="B85" s="6"/>
      <c r="H85" s="7"/>
      <c r="I85" s="7"/>
    </row>
    <row r="86">
      <c r="B86" s="6"/>
      <c r="H86" s="7"/>
      <c r="I86" s="7"/>
    </row>
    <row r="87">
      <c r="B87" s="6"/>
      <c r="H87" s="7"/>
      <c r="I87" s="7"/>
    </row>
    <row r="88">
      <c r="B88" s="6"/>
      <c r="H88" s="7"/>
      <c r="I88" s="7"/>
    </row>
    <row r="89">
      <c r="B89" s="6"/>
      <c r="H89" s="7"/>
      <c r="I89" s="7"/>
    </row>
    <row r="90">
      <c r="B90" s="6"/>
      <c r="H90" s="7"/>
      <c r="I90" s="7"/>
    </row>
    <row r="91">
      <c r="B91" s="6"/>
      <c r="H91" s="7"/>
      <c r="I91" s="7"/>
    </row>
    <row r="92">
      <c r="B92" s="6"/>
      <c r="H92" s="7"/>
      <c r="I92" s="7"/>
    </row>
    <row r="93">
      <c r="B93" s="6"/>
      <c r="H93" s="7"/>
      <c r="I93" s="7"/>
    </row>
    <row r="94">
      <c r="B94" s="6"/>
      <c r="H94" s="7"/>
      <c r="I94" s="7"/>
    </row>
    <row r="95">
      <c r="B95" s="6"/>
      <c r="H95" s="7"/>
      <c r="I95" s="7"/>
    </row>
    <row r="96">
      <c r="B96" s="6"/>
      <c r="H96" s="7"/>
      <c r="I96" s="7"/>
    </row>
    <row r="97">
      <c r="B97" s="6"/>
      <c r="H97" s="7"/>
      <c r="I97" s="7"/>
    </row>
    <row r="98">
      <c r="B98" s="6"/>
      <c r="H98" s="7"/>
      <c r="I98" s="7"/>
    </row>
    <row r="99">
      <c r="B99" s="6"/>
      <c r="H99" s="7"/>
      <c r="I99" s="7"/>
    </row>
    <row r="100">
      <c r="B100" s="6"/>
      <c r="H100" s="7"/>
      <c r="I100" s="7"/>
    </row>
    <row r="101">
      <c r="B101" s="6"/>
      <c r="H101" s="7"/>
      <c r="I101" s="7"/>
    </row>
    <row r="102">
      <c r="B102" s="6"/>
      <c r="H102" s="7"/>
      <c r="I102" s="7"/>
    </row>
    <row r="103">
      <c r="B103" s="6"/>
      <c r="H103" s="7"/>
      <c r="I103" s="7"/>
    </row>
    <row r="104">
      <c r="B104" s="6"/>
      <c r="H104" s="7"/>
      <c r="I104" s="7"/>
    </row>
    <row r="105">
      <c r="B105" s="6"/>
      <c r="H105" s="7"/>
      <c r="I105" s="7"/>
    </row>
    <row r="106">
      <c r="B106" s="6"/>
      <c r="H106" s="7"/>
      <c r="I106" s="7"/>
    </row>
    <row r="107">
      <c r="B107" s="6"/>
      <c r="H107" s="7"/>
      <c r="I107" s="7"/>
    </row>
    <row r="108">
      <c r="B108" s="6"/>
      <c r="H108" s="7"/>
      <c r="I108" s="7"/>
    </row>
    <row r="109">
      <c r="B109" s="6"/>
      <c r="H109" s="7"/>
      <c r="I109" s="7"/>
    </row>
    <row r="110">
      <c r="B110" s="6"/>
      <c r="H110" s="7"/>
      <c r="I110" s="7"/>
    </row>
    <row r="111">
      <c r="B111" s="6"/>
      <c r="E111" s="7"/>
      <c r="F111" s="7"/>
      <c r="G111" s="7"/>
      <c r="H111" s="7"/>
      <c r="I111" s="7"/>
    </row>
    <row r="112">
      <c r="B112" s="6"/>
      <c r="E112" s="7"/>
      <c r="F112" s="14"/>
      <c r="G112" s="1"/>
      <c r="H112" s="1"/>
      <c r="I112" s="1"/>
      <c r="J112" s="1"/>
      <c r="K112" s="1"/>
      <c r="L112" s="1"/>
    </row>
    <row r="113">
      <c r="B113" s="6"/>
      <c r="E113" s="7"/>
      <c r="F113" s="1"/>
      <c r="G113" s="1"/>
      <c r="H113" s="1"/>
      <c r="I113" s="1"/>
      <c r="J113" s="1"/>
      <c r="K113" s="1"/>
      <c r="L113" s="1"/>
    </row>
    <row r="114">
      <c r="B114" s="6"/>
      <c r="E114" s="7"/>
      <c r="F114" s="14"/>
      <c r="G114" s="1"/>
      <c r="H114" s="1"/>
      <c r="I114" s="1"/>
      <c r="J114" s="1"/>
      <c r="K114" s="1"/>
      <c r="L114" s="1"/>
    </row>
    <row r="115">
      <c r="B115" s="6"/>
      <c r="E115" s="7"/>
      <c r="F115" s="14"/>
      <c r="G115" s="1"/>
      <c r="H115" s="1"/>
      <c r="I115" s="1"/>
      <c r="J115" s="1"/>
      <c r="K115" s="1"/>
      <c r="L115" s="1"/>
    </row>
    <row r="116">
      <c r="B116" s="6"/>
      <c r="E116" s="7"/>
      <c r="F116" s="14"/>
      <c r="G116" s="1"/>
      <c r="H116" s="1"/>
      <c r="I116" s="1"/>
      <c r="J116" s="1"/>
      <c r="K116" s="1"/>
      <c r="L116" s="1"/>
    </row>
    <row r="117">
      <c r="B117" s="6"/>
      <c r="E117" s="7"/>
      <c r="F117" s="14"/>
      <c r="G117" s="1"/>
      <c r="H117" s="1"/>
      <c r="I117" s="1"/>
      <c r="J117" s="1"/>
      <c r="K117" s="1"/>
      <c r="L117" s="1"/>
    </row>
    <row r="118">
      <c r="B118" s="6"/>
      <c r="E118" s="7"/>
      <c r="F118" s="14"/>
      <c r="G118" s="1"/>
      <c r="H118" s="1"/>
      <c r="I118" s="1"/>
      <c r="J118" s="1"/>
      <c r="K118" s="1"/>
      <c r="L118" s="1"/>
    </row>
    <row r="119">
      <c r="B119" s="6"/>
      <c r="E119" s="7"/>
      <c r="F119" s="1"/>
      <c r="G119" s="1"/>
      <c r="H119" s="1"/>
      <c r="I119" s="1"/>
      <c r="J119" s="1"/>
      <c r="K119" s="1"/>
      <c r="L119" s="1"/>
    </row>
    <row r="120">
      <c r="B120" s="6"/>
      <c r="E120" s="7"/>
      <c r="F120" s="15"/>
      <c r="G120" s="1"/>
      <c r="H120" s="1"/>
      <c r="I120" s="1"/>
      <c r="J120" s="1"/>
      <c r="K120" s="1"/>
      <c r="L120" s="1"/>
    </row>
    <row r="121">
      <c r="B121" s="6"/>
      <c r="E121" s="7"/>
      <c r="F121" s="15"/>
      <c r="G121" s="1"/>
      <c r="H121" s="1"/>
      <c r="I121" s="1"/>
      <c r="J121" s="1"/>
      <c r="K121" s="1"/>
      <c r="L121" s="1"/>
    </row>
    <row r="122">
      <c r="B122" s="6"/>
      <c r="E122" s="7"/>
      <c r="F122" s="15"/>
      <c r="G122" s="1"/>
      <c r="H122" s="1"/>
      <c r="I122" s="1"/>
      <c r="J122" s="1"/>
      <c r="K122" s="1"/>
      <c r="L122" s="1"/>
    </row>
    <row r="123">
      <c r="B123" s="6"/>
      <c r="E123" s="7"/>
      <c r="F123" s="15"/>
      <c r="G123" s="1"/>
      <c r="H123" s="1"/>
      <c r="I123" s="1"/>
      <c r="J123" s="1"/>
      <c r="K123" s="1"/>
      <c r="L123" s="1"/>
    </row>
    <row r="124">
      <c r="B124" s="6"/>
      <c r="E124" s="7"/>
      <c r="F124" s="15"/>
      <c r="G124" s="1"/>
      <c r="H124" s="1"/>
      <c r="I124" s="1"/>
      <c r="J124" s="1"/>
      <c r="K124" s="1"/>
      <c r="L124" s="1"/>
    </row>
    <row r="125">
      <c r="B125" s="6"/>
      <c r="E125" s="7"/>
      <c r="F125" s="15"/>
      <c r="G125" s="1"/>
      <c r="H125" s="1"/>
      <c r="I125" s="1"/>
      <c r="J125" s="1"/>
      <c r="K125" s="1"/>
      <c r="L125" s="1"/>
    </row>
    <row r="126">
      <c r="B126" s="6"/>
      <c r="E126" s="7"/>
      <c r="F126" s="15"/>
      <c r="G126" s="1"/>
      <c r="H126" s="1"/>
      <c r="I126" s="1"/>
      <c r="J126" s="1"/>
      <c r="K126" s="1"/>
      <c r="L126" s="1"/>
    </row>
    <row r="127">
      <c r="B127" s="6"/>
      <c r="E127" s="7"/>
      <c r="F127" s="15"/>
      <c r="G127" s="1"/>
      <c r="H127" s="1"/>
      <c r="I127" s="1"/>
      <c r="J127" s="1"/>
      <c r="K127" s="1"/>
      <c r="L127" s="1"/>
    </row>
    <row r="128">
      <c r="B128" s="6"/>
      <c r="E128" s="7"/>
      <c r="F128" s="15"/>
      <c r="G128" s="1"/>
      <c r="H128" s="1"/>
      <c r="I128" s="1"/>
      <c r="J128" s="1"/>
      <c r="K128" s="1"/>
      <c r="L128" s="1"/>
    </row>
    <row r="129">
      <c r="B129" s="6"/>
      <c r="E129" s="7"/>
      <c r="F129" s="15"/>
      <c r="G129" s="1"/>
      <c r="H129" s="1"/>
      <c r="I129" s="1"/>
      <c r="J129" s="1"/>
      <c r="K129" s="1"/>
      <c r="L129" s="1"/>
    </row>
    <row r="130">
      <c r="B130" s="6"/>
      <c r="E130" s="7"/>
      <c r="F130" s="15"/>
      <c r="G130" s="1"/>
      <c r="H130" s="1"/>
      <c r="I130" s="1"/>
      <c r="J130" s="1"/>
      <c r="K130" s="1"/>
      <c r="L130" s="1"/>
    </row>
    <row r="131">
      <c r="B131" s="6"/>
      <c r="E131" s="7"/>
      <c r="F131" s="15"/>
      <c r="G131" s="1"/>
      <c r="H131" s="1"/>
      <c r="I131" s="1"/>
      <c r="J131" s="1"/>
      <c r="K131" s="1"/>
      <c r="L131" s="1"/>
    </row>
    <row r="132">
      <c r="B132" s="6"/>
      <c r="E132" s="7"/>
      <c r="F132" s="15"/>
      <c r="G132" s="1"/>
      <c r="H132" s="1"/>
      <c r="I132" s="1"/>
      <c r="J132" s="1"/>
      <c r="K132" s="1"/>
      <c r="L132" s="1"/>
    </row>
    <row r="133">
      <c r="B133" s="6"/>
      <c r="E133" s="7"/>
      <c r="F133" s="15"/>
      <c r="G133" s="1"/>
      <c r="H133" s="1"/>
      <c r="I133" s="1"/>
      <c r="J133" s="1"/>
      <c r="K133" s="1"/>
      <c r="L133" s="1"/>
    </row>
    <row r="134">
      <c r="B134" s="6"/>
      <c r="E134" s="7"/>
      <c r="F134" s="15"/>
      <c r="G134" s="1"/>
      <c r="H134" s="1"/>
      <c r="I134" s="1"/>
      <c r="J134" s="1"/>
      <c r="K134" s="1"/>
      <c r="L134" s="1"/>
    </row>
    <row r="135">
      <c r="B135" s="6"/>
      <c r="E135" s="7"/>
      <c r="F135" s="15"/>
      <c r="G135" s="1"/>
      <c r="H135" s="1"/>
      <c r="I135" s="1"/>
      <c r="J135" s="1"/>
      <c r="K135" s="1"/>
      <c r="L135" s="1"/>
    </row>
    <row r="136">
      <c r="B136" s="6"/>
      <c r="E136" s="7"/>
      <c r="F136" s="15"/>
      <c r="G136" s="1"/>
      <c r="H136" s="1"/>
      <c r="I136" s="1"/>
      <c r="J136" s="1"/>
      <c r="K136" s="1"/>
      <c r="L136" s="1"/>
    </row>
    <row r="137">
      <c r="B137" s="6"/>
      <c r="E137" s="7"/>
      <c r="F137" s="15"/>
      <c r="G137" s="1"/>
      <c r="H137" s="1"/>
      <c r="I137" s="1"/>
      <c r="J137" s="1"/>
      <c r="K137" s="1"/>
      <c r="L137" s="1"/>
    </row>
    <row r="138">
      <c r="B138" s="6"/>
      <c r="E138" s="7"/>
      <c r="F138" s="15"/>
      <c r="G138" s="1"/>
      <c r="H138" s="1"/>
      <c r="I138" s="1"/>
      <c r="J138" s="1"/>
      <c r="K138" s="1"/>
      <c r="L138" s="1"/>
    </row>
    <row r="139">
      <c r="B139" s="6"/>
      <c r="E139" s="7"/>
      <c r="F139" s="15"/>
    </row>
    <row r="140">
      <c r="B140" s="6"/>
      <c r="E140" s="7"/>
      <c r="F140" s="15"/>
    </row>
    <row r="141">
      <c r="B141" s="6"/>
      <c r="E141" s="7"/>
      <c r="F141" s="15"/>
    </row>
    <row r="142">
      <c r="B142" s="6"/>
      <c r="E142" s="7"/>
      <c r="F142" s="15"/>
    </row>
    <row r="143">
      <c r="B143" s="6"/>
      <c r="E143" s="7"/>
      <c r="F143" s="15"/>
    </row>
    <row r="144">
      <c r="B144" s="6"/>
      <c r="E144" s="7"/>
      <c r="F144" s="15"/>
    </row>
    <row r="145">
      <c r="B145" s="6"/>
      <c r="E145" s="7"/>
      <c r="F145" s="15"/>
    </row>
    <row r="146">
      <c r="B146" s="6"/>
      <c r="E146" s="7"/>
      <c r="F146" s="15"/>
      <c r="G146" s="7"/>
      <c r="H146" s="7"/>
      <c r="I146" s="7"/>
    </row>
    <row r="147">
      <c r="B147" s="6"/>
      <c r="E147" s="7"/>
      <c r="F147" s="15"/>
      <c r="G147" s="7"/>
      <c r="H147" s="7"/>
      <c r="I147" s="7"/>
    </row>
    <row r="148">
      <c r="B148" s="6"/>
      <c r="E148" s="7"/>
      <c r="F148" s="7"/>
      <c r="G148" s="7"/>
      <c r="H148" s="7"/>
      <c r="I148" s="7"/>
    </row>
    <row r="149">
      <c r="B149" s="6"/>
      <c r="E149" s="7"/>
      <c r="F149" s="7"/>
      <c r="G149" s="7"/>
      <c r="H149" s="7"/>
      <c r="I149" s="7"/>
    </row>
    <row r="150">
      <c r="B150" s="6"/>
      <c r="E150" s="7"/>
      <c r="F150" s="14"/>
      <c r="G150" s="1"/>
      <c r="H150" s="1"/>
      <c r="I150" s="1"/>
      <c r="J150" s="1"/>
      <c r="K150" s="1"/>
      <c r="L150" s="1"/>
    </row>
    <row r="151">
      <c r="B151" s="6"/>
      <c r="E151" s="7"/>
      <c r="F151" s="14"/>
      <c r="G151" s="1"/>
      <c r="H151" s="1"/>
      <c r="I151" s="1"/>
      <c r="J151" s="1"/>
      <c r="K151" s="1"/>
      <c r="L151" s="1"/>
    </row>
    <row r="152">
      <c r="B152" s="6"/>
      <c r="E152" s="7"/>
      <c r="F152" s="1"/>
      <c r="G152" s="1"/>
      <c r="H152" s="1"/>
      <c r="I152" s="1"/>
      <c r="J152" s="1"/>
      <c r="K152" s="1"/>
      <c r="L152" s="1"/>
    </row>
    <row r="153">
      <c r="B153" s="6"/>
      <c r="E153" s="7"/>
      <c r="F153" s="14"/>
      <c r="G153" s="1"/>
      <c r="H153" s="1"/>
      <c r="I153" s="1"/>
      <c r="J153" s="1"/>
      <c r="K153" s="1"/>
      <c r="L153" s="1"/>
    </row>
    <row r="154">
      <c r="B154" s="6"/>
      <c r="E154" s="7"/>
      <c r="F154" s="1"/>
      <c r="G154" s="1"/>
      <c r="H154" s="1"/>
      <c r="I154" s="1"/>
      <c r="J154" s="1"/>
      <c r="K154" s="1"/>
      <c r="L154" s="1"/>
    </row>
    <row r="155">
      <c r="B155" s="6"/>
      <c r="E155" s="7"/>
      <c r="F155" s="16"/>
      <c r="G155" s="1"/>
      <c r="H155" s="1"/>
      <c r="I155" s="1"/>
      <c r="J155" s="1"/>
      <c r="K155" s="1"/>
      <c r="L155" s="1"/>
    </row>
    <row r="156">
      <c r="B156" s="6"/>
      <c r="E156" s="7"/>
      <c r="F156" s="17"/>
      <c r="G156" s="1"/>
      <c r="H156" s="1"/>
      <c r="I156" s="1"/>
      <c r="J156" s="1"/>
      <c r="K156" s="1"/>
      <c r="L156" s="1"/>
    </row>
    <row r="157">
      <c r="B157" s="6"/>
      <c r="E157" s="7"/>
      <c r="F157" s="7"/>
      <c r="G157" s="7"/>
      <c r="H157" s="7"/>
      <c r="I157" s="7"/>
    </row>
    <row r="158">
      <c r="B158" s="6"/>
      <c r="E158" s="7"/>
      <c r="F158" s="7"/>
      <c r="G158" s="7"/>
      <c r="H158" s="7"/>
      <c r="I158" s="7"/>
    </row>
    <row r="159">
      <c r="B159" s="6"/>
      <c r="E159" s="7"/>
      <c r="F159" s="7"/>
      <c r="G159" s="7"/>
      <c r="H159" s="7"/>
      <c r="I159" s="7"/>
    </row>
    <row r="160">
      <c r="B160" s="6"/>
      <c r="E160" s="7"/>
      <c r="F160" s="7"/>
      <c r="G160" s="7"/>
      <c r="H160" s="7"/>
      <c r="I160" s="7"/>
    </row>
    <row r="161">
      <c r="B161" s="6"/>
      <c r="E161" s="7"/>
      <c r="F161" s="7"/>
      <c r="G161" s="7"/>
      <c r="H161" s="7"/>
      <c r="I161" s="7"/>
    </row>
    <row r="162">
      <c r="B162" s="6"/>
      <c r="E162" s="7"/>
      <c r="F162" s="7"/>
      <c r="G162" s="7"/>
      <c r="H162" s="7"/>
      <c r="I162" s="7"/>
    </row>
    <row r="163">
      <c r="B163" s="6"/>
      <c r="E163" s="7"/>
      <c r="F163" s="7"/>
      <c r="G163" s="7"/>
      <c r="H163" s="7"/>
      <c r="I163" s="7"/>
    </row>
    <row r="164">
      <c r="B164" s="6"/>
      <c r="E164" s="7"/>
      <c r="F164" s="7"/>
      <c r="G164" s="7"/>
      <c r="H164" s="7"/>
      <c r="I164" s="7"/>
    </row>
    <row r="165">
      <c r="B165" s="6"/>
      <c r="E165" s="7"/>
      <c r="F165" s="7"/>
      <c r="G165" s="7"/>
      <c r="H165" s="7"/>
      <c r="I165" s="7"/>
    </row>
    <row r="166">
      <c r="B166" s="6"/>
      <c r="E166" s="7"/>
      <c r="F166" s="7"/>
      <c r="G166" s="7"/>
      <c r="H166" s="7"/>
      <c r="I166" s="7"/>
    </row>
    <row r="167">
      <c r="B167" s="6"/>
      <c r="E167" s="7"/>
      <c r="F167" s="7"/>
      <c r="G167" s="7"/>
      <c r="H167" s="7"/>
      <c r="I167" s="7"/>
    </row>
    <row r="168">
      <c r="B168" s="6"/>
      <c r="E168" s="7"/>
      <c r="F168" s="7"/>
      <c r="G168" s="7"/>
      <c r="H168" s="7"/>
      <c r="I168" s="7"/>
    </row>
    <row r="169">
      <c r="B169" s="6"/>
      <c r="E169" s="7"/>
      <c r="F169" s="7"/>
      <c r="G169" s="7"/>
      <c r="H169" s="7"/>
      <c r="I169" s="7"/>
    </row>
    <row r="170">
      <c r="B170" s="6"/>
      <c r="E170" s="7"/>
      <c r="F170" s="7"/>
      <c r="G170" s="7"/>
      <c r="H170" s="7"/>
      <c r="I170" s="7"/>
    </row>
    <row r="171">
      <c r="B171" s="6"/>
      <c r="E171" s="7"/>
      <c r="F171" s="7"/>
      <c r="G171" s="7"/>
      <c r="H171" s="7"/>
      <c r="I171" s="7"/>
    </row>
    <row r="172">
      <c r="B172" s="6"/>
      <c r="E172" s="7"/>
      <c r="F172" s="7"/>
      <c r="G172" s="7"/>
      <c r="H172" s="7"/>
      <c r="I172" s="7"/>
    </row>
    <row r="173">
      <c r="B173" s="6"/>
      <c r="E173" s="7"/>
      <c r="F173" s="7"/>
      <c r="G173" s="7"/>
      <c r="H173" s="7"/>
      <c r="I173" s="7"/>
    </row>
    <row r="174">
      <c r="B174" s="6"/>
      <c r="E174" s="7"/>
      <c r="F174" s="7"/>
      <c r="G174" s="7"/>
      <c r="H174" s="7"/>
      <c r="I174" s="7"/>
    </row>
    <row r="175">
      <c r="B175" s="6"/>
      <c r="E175" s="7"/>
      <c r="F175" s="7"/>
      <c r="G175" s="7"/>
      <c r="H175" s="7"/>
      <c r="I175" s="7"/>
    </row>
    <row r="176">
      <c r="B176" s="6"/>
      <c r="E176" s="7"/>
      <c r="F176" s="7"/>
      <c r="G176" s="7"/>
      <c r="H176" s="7"/>
      <c r="I176" s="7"/>
    </row>
    <row r="177">
      <c r="B177" s="6"/>
      <c r="E177" s="7"/>
      <c r="F177" s="7"/>
      <c r="G177" s="7"/>
      <c r="H177" s="7"/>
      <c r="I177" s="7"/>
    </row>
    <row r="178">
      <c r="B178" s="6"/>
      <c r="E178" s="7"/>
      <c r="F178" s="7"/>
      <c r="G178" s="7"/>
      <c r="H178" s="7"/>
      <c r="I178" s="7"/>
    </row>
    <row r="179">
      <c r="B179" s="6"/>
      <c r="E179" s="7"/>
      <c r="F179" s="7"/>
      <c r="G179" s="7"/>
      <c r="H179" s="7"/>
      <c r="I179" s="7"/>
    </row>
    <row r="180">
      <c r="B180" s="6"/>
      <c r="E180" s="7"/>
      <c r="F180" s="7"/>
      <c r="G180" s="7"/>
      <c r="H180" s="7"/>
      <c r="I180" s="7"/>
    </row>
    <row r="181">
      <c r="B181" s="6"/>
      <c r="E181" s="7"/>
      <c r="F181" s="7"/>
      <c r="G181" s="7"/>
      <c r="H181" s="7"/>
      <c r="I181" s="7"/>
    </row>
    <row r="182">
      <c r="B182" s="6"/>
      <c r="E182" s="7"/>
      <c r="F182" s="7"/>
      <c r="G182" s="7"/>
      <c r="H182" s="7"/>
      <c r="I182" s="7"/>
    </row>
    <row r="183">
      <c r="B183" s="6"/>
      <c r="E183" s="7"/>
      <c r="F183" s="7"/>
      <c r="G183" s="7"/>
      <c r="H183" s="7"/>
      <c r="I183" s="7"/>
    </row>
    <row r="184">
      <c r="B184" s="6"/>
      <c r="E184" s="7"/>
      <c r="F184" s="7"/>
      <c r="G184" s="7"/>
      <c r="H184" s="7"/>
      <c r="I184" s="7"/>
    </row>
    <row r="185">
      <c r="B185" s="6"/>
      <c r="E185" s="7"/>
      <c r="F185" s="7"/>
      <c r="G185" s="7"/>
      <c r="H185" s="7"/>
      <c r="I185" s="7"/>
    </row>
    <row r="186">
      <c r="B186" s="6"/>
      <c r="E186" s="7"/>
      <c r="F186" s="7"/>
      <c r="G186" s="7"/>
      <c r="H186" s="7"/>
      <c r="I186" s="7"/>
    </row>
    <row r="187">
      <c r="B187" s="6"/>
      <c r="E187" s="7"/>
      <c r="F187" s="7"/>
      <c r="G187" s="7"/>
      <c r="H187" s="7"/>
      <c r="I187" s="7"/>
    </row>
    <row r="188">
      <c r="B188" s="6"/>
      <c r="E188" s="7"/>
      <c r="F188" s="7"/>
      <c r="G188" s="7"/>
      <c r="H188" s="7"/>
      <c r="I188" s="7"/>
    </row>
    <row r="189">
      <c r="B189" s="6"/>
      <c r="E189" s="7"/>
      <c r="F189" s="7"/>
      <c r="G189" s="7"/>
      <c r="H189" s="7"/>
      <c r="I189" s="7"/>
    </row>
    <row r="190">
      <c r="B190" s="6"/>
      <c r="E190" s="7"/>
      <c r="F190" s="7"/>
      <c r="G190" s="7"/>
      <c r="H190" s="7"/>
      <c r="I190" s="7"/>
    </row>
    <row r="191">
      <c r="B191" s="6"/>
      <c r="E191" s="7"/>
      <c r="F191" s="7"/>
      <c r="G191" s="7"/>
      <c r="H191" s="7"/>
      <c r="I191" s="7"/>
    </row>
    <row r="192">
      <c r="B192" s="6"/>
      <c r="E192" s="7"/>
      <c r="F192" s="7"/>
      <c r="G192" s="7"/>
      <c r="H192" s="7"/>
      <c r="I192" s="7"/>
    </row>
    <row r="193">
      <c r="B193" s="6"/>
      <c r="E193" s="7"/>
      <c r="F193" s="7"/>
      <c r="G193" s="7"/>
      <c r="H193" s="7"/>
      <c r="I193" s="7"/>
    </row>
    <row r="194">
      <c r="B194" s="6"/>
      <c r="E194" s="7"/>
      <c r="F194" s="7"/>
      <c r="G194" s="7"/>
      <c r="H194" s="7"/>
      <c r="I194" s="7"/>
    </row>
    <row r="195">
      <c r="B195" s="6"/>
      <c r="E195" s="7"/>
      <c r="F195" s="7"/>
      <c r="G195" s="7"/>
      <c r="H195" s="7"/>
      <c r="I195" s="7"/>
    </row>
    <row r="196">
      <c r="B196" s="6"/>
      <c r="E196" s="7"/>
      <c r="F196" s="7"/>
      <c r="G196" s="7"/>
      <c r="H196" s="7"/>
      <c r="I196" s="7"/>
    </row>
    <row r="197">
      <c r="B197" s="6"/>
      <c r="E197" s="7"/>
      <c r="F197" s="7"/>
      <c r="G197" s="7"/>
      <c r="H197" s="7"/>
      <c r="I197" s="7"/>
    </row>
    <row r="198">
      <c r="B198" s="6"/>
      <c r="E198" s="7"/>
      <c r="F198" s="7"/>
      <c r="G198" s="7"/>
      <c r="H198" s="7"/>
      <c r="I198" s="7"/>
    </row>
    <row r="199">
      <c r="B199" s="6"/>
      <c r="E199" s="7"/>
      <c r="F199" s="7"/>
      <c r="G199" s="7"/>
      <c r="H199" s="7"/>
      <c r="I199" s="7"/>
    </row>
    <row r="200">
      <c r="B200" s="6"/>
      <c r="E200" s="7"/>
      <c r="F200" s="7"/>
      <c r="G200" s="7"/>
      <c r="H200" s="7"/>
      <c r="I200" s="7"/>
    </row>
    <row r="201">
      <c r="B201" s="6"/>
      <c r="E201" s="7"/>
      <c r="F201" s="7"/>
      <c r="G201" s="7"/>
      <c r="H201" s="7"/>
      <c r="I201" s="7"/>
    </row>
    <row r="202">
      <c r="B202" s="6"/>
      <c r="E202" s="7"/>
      <c r="F202" s="7"/>
      <c r="G202" s="7"/>
      <c r="H202" s="7"/>
      <c r="I202" s="7"/>
    </row>
    <row r="203">
      <c r="B203" s="6"/>
      <c r="E203" s="7"/>
      <c r="F203" s="7"/>
      <c r="G203" s="7"/>
      <c r="H203" s="7"/>
      <c r="I203" s="7"/>
    </row>
    <row r="204">
      <c r="B204" s="6"/>
      <c r="E204" s="7"/>
      <c r="F204" s="7"/>
      <c r="G204" s="7"/>
      <c r="H204" s="7"/>
      <c r="I204" s="7"/>
    </row>
    <row r="205">
      <c r="B205" s="6"/>
      <c r="E205" s="7"/>
      <c r="F205" s="7"/>
      <c r="G205" s="7"/>
      <c r="H205" s="7"/>
      <c r="I205" s="7"/>
    </row>
    <row r="206">
      <c r="B206" s="6"/>
      <c r="E206" s="7"/>
      <c r="F206" s="7"/>
      <c r="G206" s="7"/>
      <c r="H206" s="7"/>
      <c r="I206" s="7"/>
    </row>
    <row r="207">
      <c r="B207" s="6"/>
      <c r="E207" s="7"/>
      <c r="F207" s="7"/>
      <c r="G207" s="7"/>
      <c r="H207" s="7"/>
      <c r="I207" s="7"/>
    </row>
    <row r="208">
      <c r="B208" s="6"/>
      <c r="E208" s="7"/>
      <c r="F208" s="7"/>
      <c r="G208" s="7"/>
      <c r="H208" s="7"/>
      <c r="I208" s="7"/>
    </row>
    <row r="209">
      <c r="B209" s="6"/>
      <c r="E209" s="7"/>
      <c r="F209" s="7"/>
      <c r="G209" s="7"/>
      <c r="H209" s="7"/>
      <c r="I209" s="7"/>
    </row>
    <row r="210">
      <c r="B210" s="6"/>
      <c r="E210" s="7"/>
      <c r="F210" s="7"/>
      <c r="G210" s="7"/>
      <c r="H210" s="7"/>
      <c r="I210" s="7"/>
    </row>
    <row r="211">
      <c r="B211" s="6"/>
      <c r="E211" s="7"/>
      <c r="F211" s="7"/>
      <c r="G211" s="7"/>
      <c r="H211" s="7"/>
      <c r="I211" s="7"/>
    </row>
    <row r="212">
      <c r="B212" s="6"/>
      <c r="E212" s="7"/>
      <c r="F212" s="7"/>
      <c r="G212" s="7"/>
      <c r="H212" s="7"/>
      <c r="I212" s="7"/>
    </row>
    <row r="213">
      <c r="B213" s="6"/>
      <c r="E213" s="7"/>
      <c r="F213" s="7"/>
      <c r="G213" s="7"/>
      <c r="H213" s="7"/>
      <c r="I213" s="7"/>
    </row>
    <row r="214">
      <c r="B214" s="6"/>
      <c r="E214" s="7"/>
      <c r="F214" s="7"/>
      <c r="G214" s="7"/>
      <c r="H214" s="7"/>
      <c r="I214" s="7"/>
    </row>
    <row r="215">
      <c r="B215" s="6"/>
      <c r="E215" s="7"/>
      <c r="F215" s="7"/>
      <c r="G215" s="7"/>
      <c r="H215" s="7"/>
      <c r="I215" s="7"/>
    </row>
    <row r="216">
      <c r="B216" s="6"/>
      <c r="E216" s="7"/>
      <c r="F216" s="7"/>
      <c r="G216" s="7"/>
      <c r="H216" s="7"/>
      <c r="I216" s="7"/>
    </row>
    <row r="217">
      <c r="B217" s="6"/>
      <c r="E217" s="7"/>
      <c r="F217" s="7"/>
      <c r="G217" s="7"/>
      <c r="H217" s="7"/>
      <c r="I217" s="7"/>
    </row>
    <row r="218">
      <c r="B218" s="6"/>
      <c r="E218" s="7"/>
      <c r="F218" s="7"/>
      <c r="G218" s="7"/>
      <c r="H218" s="7"/>
      <c r="I218" s="7"/>
    </row>
    <row r="219">
      <c r="B219" s="6"/>
      <c r="E219" s="7"/>
      <c r="F219" s="7"/>
      <c r="G219" s="7"/>
      <c r="H219" s="7"/>
      <c r="I219" s="7"/>
    </row>
    <row r="220">
      <c r="B220" s="6"/>
      <c r="E220" s="7"/>
      <c r="F220" s="7"/>
      <c r="G220" s="7"/>
      <c r="H220" s="7"/>
      <c r="I220" s="7"/>
    </row>
    <row r="221">
      <c r="B221" s="6"/>
      <c r="E221" s="7"/>
      <c r="F221" s="7"/>
      <c r="G221" s="7"/>
      <c r="H221" s="7"/>
      <c r="I221" s="7"/>
    </row>
    <row r="222">
      <c r="B222" s="6"/>
      <c r="E222" s="7"/>
      <c r="F222" s="7"/>
      <c r="G222" s="7"/>
      <c r="H222" s="7"/>
      <c r="I222" s="7"/>
    </row>
    <row r="223">
      <c r="B223" s="6"/>
      <c r="E223" s="7"/>
      <c r="F223" s="7"/>
      <c r="G223" s="7"/>
      <c r="H223" s="7"/>
      <c r="I223" s="7"/>
    </row>
    <row r="224">
      <c r="B224" s="6"/>
      <c r="E224" s="7"/>
      <c r="F224" s="7"/>
      <c r="G224" s="7"/>
      <c r="H224" s="7"/>
      <c r="I224" s="7"/>
    </row>
    <row r="225">
      <c r="B225" s="6"/>
      <c r="E225" s="7"/>
      <c r="F225" s="7"/>
      <c r="G225" s="7"/>
      <c r="H225" s="7"/>
      <c r="I225" s="7"/>
    </row>
    <row r="226">
      <c r="B226" s="6"/>
      <c r="E226" s="7"/>
      <c r="F226" s="7"/>
      <c r="G226" s="7"/>
      <c r="H226" s="7"/>
      <c r="I226" s="7"/>
    </row>
    <row r="227">
      <c r="B227" s="6"/>
      <c r="E227" s="7"/>
      <c r="F227" s="7"/>
      <c r="G227" s="7"/>
      <c r="H227" s="7"/>
      <c r="I227" s="7"/>
    </row>
    <row r="228">
      <c r="B228" s="6"/>
      <c r="E228" s="7"/>
      <c r="F228" s="7"/>
      <c r="G228" s="7"/>
      <c r="H228" s="7"/>
      <c r="I228" s="7"/>
    </row>
    <row r="229">
      <c r="B229" s="6"/>
      <c r="E229" s="7"/>
      <c r="F229" s="7"/>
      <c r="G229" s="7"/>
      <c r="H229" s="7"/>
      <c r="I229" s="7"/>
    </row>
    <row r="230">
      <c r="B230" s="6"/>
      <c r="E230" s="7"/>
      <c r="F230" s="7"/>
      <c r="G230" s="7"/>
      <c r="H230" s="7"/>
      <c r="I230" s="7"/>
    </row>
    <row r="231">
      <c r="B231" s="6"/>
      <c r="E231" s="7"/>
      <c r="F231" s="7"/>
      <c r="G231" s="7"/>
      <c r="H231" s="7"/>
      <c r="I231" s="7"/>
    </row>
    <row r="232">
      <c r="B232" s="6"/>
      <c r="E232" s="7"/>
      <c r="F232" s="7"/>
      <c r="G232" s="7"/>
      <c r="H232" s="7"/>
      <c r="I232" s="7"/>
    </row>
    <row r="233">
      <c r="B233" s="6"/>
      <c r="E233" s="7"/>
      <c r="F233" s="7"/>
      <c r="G233" s="7"/>
      <c r="H233" s="7"/>
      <c r="I233" s="7"/>
    </row>
    <row r="234">
      <c r="B234" s="6"/>
      <c r="E234" s="7"/>
      <c r="F234" s="7"/>
      <c r="G234" s="7"/>
      <c r="H234" s="7"/>
      <c r="I234" s="7"/>
    </row>
    <row r="235">
      <c r="B235" s="6"/>
      <c r="E235" s="7"/>
      <c r="F235" s="7"/>
      <c r="G235" s="7"/>
      <c r="H235" s="7"/>
      <c r="I235" s="7"/>
    </row>
    <row r="236">
      <c r="B236" s="6"/>
      <c r="E236" s="7"/>
      <c r="F236" s="7"/>
      <c r="G236" s="7"/>
      <c r="H236" s="7"/>
      <c r="I236" s="7"/>
    </row>
    <row r="237">
      <c r="B237" s="6"/>
      <c r="E237" s="7"/>
      <c r="F237" s="7"/>
      <c r="G237" s="7"/>
      <c r="H237" s="7"/>
      <c r="I237" s="7"/>
    </row>
    <row r="238">
      <c r="B238" s="6"/>
      <c r="E238" s="7"/>
      <c r="F238" s="7"/>
      <c r="G238" s="7"/>
      <c r="H238" s="7"/>
      <c r="I238" s="7"/>
    </row>
    <row r="239">
      <c r="B239" s="6"/>
      <c r="E239" s="7"/>
      <c r="F239" s="7"/>
      <c r="G239" s="7"/>
      <c r="H239" s="7"/>
      <c r="I239" s="7"/>
    </row>
    <row r="240">
      <c r="B240" s="6"/>
      <c r="E240" s="7"/>
      <c r="F240" s="7"/>
      <c r="G240" s="7"/>
      <c r="H240" s="7"/>
      <c r="I240" s="7"/>
    </row>
    <row r="241">
      <c r="B241" s="6"/>
      <c r="E241" s="7"/>
      <c r="F241" s="7"/>
      <c r="G241" s="7"/>
      <c r="H241" s="7"/>
      <c r="I241" s="7"/>
    </row>
    <row r="242">
      <c r="B242" s="6"/>
      <c r="E242" s="7"/>
      <c r="F242" s="7"/>
      <c r="G242" s="7"/>
      <c r="H242" s="7"/>
      <c r="I242" s="7"/>
    </row>
    <row r="243">
      <c r="B243" s="6"/>
      <c r="E243" s="7"/>
      <c r="F243" s="7"/>
      <c r="G243" s="7"/>
      <c r="H243" s="7"/>
      <c r="I243" s="7"/>
    </row>
    <row r="244">
      <c r="B244" s="6"/>
      <c r="E244" s="7"/>
      <c r="F244" s="7"/>
      <c r="G244" s="7"/>
      <c r="H244" s="7"/>
      <c r="I244" s="7"/>
    </row>
    <row r="245">
      <c r="B245" s="6"/>
      <c r="E245" s="7"/>
      <c r="F245" s="7"/>
      <c r="G245" s="7"/>
      <c r="H245" s="7"/>
      <c r="I245" s="7"/>
    </row>
    <row r="246">
      <c r="B246" s="6"/>
      <c r="E246" s="7"/>
      <c r="F246" s="7"/>
      <c r="G246" s="7"/>
      <c r="H246" s="7"/>
      <c r="I246" s="7"/>
    </row>
    <row r="247">
      <c r="B247" s="6"/>
      <c r="E247" s="7"/>
      <c r="F247" s="7"/>
      <c r="G247" s="7"/>
      <c r="H247" s="7"/>
      <c r="I247" s="7"/>
    </row>
    <row r="248">
      <c r="B248" s="6"/>
      <c r="E248" s="7"/>
      <c r="F248" s="7"/>
      <c r="G248" s="7"/>
      <c r="H248" s="7"/>
      <c r="I248" s="7"/>
    </row>
    <row r="249">
      <c r="B249" s="6"/>
      <c r="E249" s="7"/>
      <c r="F249" s="7"/>
      <c r="G249" s="7"/>
      <c r="H249" s="7"/>
      <c r="I249" s="7"/>
    </row>
    <row r="250">
      <c r="B250" s="6"/>
      <c r="E250" s="7"/>
      <c r="F250" s="7"/>
      <c r="G250" s="7"/>
      <c r="H250" s="7"/>
      <c r="I250" s="7"/>
    </row>
    <row r="251">
      <c r="B251" s="6"/>
      <c r="E251" s="7"/>
      <c r="F251" s="7"/>
      <c r="G251" s="7"/>
      <c r="H251" s="7"/>
      <c r="I251" s="7"/>
    </row>
    <row r="252">
      <c r="B252" s="6"/>
      <c r="E252" s="7"/>
      <c r="F252" s="7"/>
      <c r="G252" s="7"/>
      <c r="H252" s="7"/>
      <c r="I252" s="7"/>
    </row>
    <row r="253">
      <c r="B253" s="6"/>
      <c r="E253" s="7"/>
      <c r="F253" s="7"/>
      <c r="G253" s="7"/>
      <c r="H253" s="7"/>
      <c r="I253" s="7"/>
    </row>
    <row r="254">
      <c r="B254" s="6"/>
      <c r="E254" s="7"/>
      <c r="F254" s="7"/>
      <c r="G254" s="7"/>
      <c r="H254" s="7"/>
      <c r="I254" s="7"/>
    </row>
    <row r="255">
      <c r="B255" s="6"/>
      <c r="E255" s="7"/>
      <c r="F255" s="7"/>
      <c r="G255" s="7"/>
      <c r="H255" s="7"/>
      <c r="I255" s="7"/>
    </row>
    <row r="256">
      <c r="B256" s="6"/>
      <c r="E256" s="7"/>
      <c r="F256" s="7"/>
      <c r="G256" s="7"/>
      <c r="H256" s="7"/>
      <c r="I256" s="7"/>
    </row>
    <row r="257">
      <c r="B257" s="6"/>
      <c r="E257" s="7"/>
      <c r="F257" s="7"/>
      <c r="G257" s="7"/>
      <c r="H257" s="7"/>
      <c r="I257" s="7"/>
    </row>
    <row r="258">
      <c r="B258" s="6"/>
      <c r="E258" s="7"/>
      <c r="F258" s="7"/>
      <c r="G258" s="7"/>
      <c r="H258" s="7"/>
      <c r="I258" s="7"/>
    </row>
    <row r="259">
      <c r="B259" s="6"/>
      <c r="E259" s="7"/>
      <c r="F259" s="7"/>
      <c r="G259" s="7"/>
      <c r="H259" s="7"/>
      <c r="I259" s="7"/>
    </row>
    <row r="260">
      <c r="B260" s="6"/>
      <c r="E260" s="7"/>
      <c r="F260" s="7"/>
      <c r="G260" s="7"/>
      <c r="H260" s="7"/>
      <c r="I260" s="7"/>
    </row>
    <row r="261">
      <c r="B261" s="6"/>
      <c r="E261" s="7"/>
      <c r="F261" s="7"/>
      <c r="G261" s="7"/>
      <c r="H261" s="7"/>
      <c r="I261" s="7"/>
    </row>
    <row r="262">
      <c r="B262" s="6"/>
      <c r="E262" s="7"/>
      <c r="F262" s="7"/>
      <c r="G262" s="7"/>
      <c r="H262" s="7"/>
      <c r="I262" s="7"/>
    </row>
    <row r="263">
      <c r="B263" s="6"/>
      <c r="E263" s="7"/>
      <c r="F263" s="7"/>
      <c r="G263" s="7"/>
      <c r="H263" s="7"/>
      <c r="I263" s="7"/>
    </row>
    <row r="264">
      <c r="B264" s="6"/>
      <c r="E264" s="7"/>
      <c r="F264" s="7"/>
      <c r="G264" s="7"/>
      <c r="H264" s="7"/>
      <c r="I264" s="7"/>
    </row>
    <row r="265">
      <c r="B265" s="6"/>
      <c r="E265" s="7"/>
      <c r="F265" s="7"/>
      <c r="G265" s="7"/>
      <c r="H265" s="7"/>
      <c r="I265" s="7"/>
    </row>
    <row r="266">
      <c r="B266" s="6"/>
      <c r="E266" s="7"/>
      <c r="F266" s="7"/>
      <c r="G266" s="7"/>
      <c r="H266" s="7"/>
      <c r="I266" s="7"/>
    </row>
    <row r="267">
      <c r="B267" s="6"/>
      <c r="E267" s="7"/>
      <c r="F267" s="7"/>
      <c r="G267" s="7"/>
      <c r="H267" s="7"/>
      <c r="I267" s="7"/>
    </row>
    <row r="268">
      <c r="B268" s="6"/>
      <c r="E268" s="7"/>
      <c r="F268" s="7"/>
      <c r="G268" s="7"/>
      <c r="H268" s="7"/>
      <c r="I268" s="7"/>
    </row>
    <row r="269">
      <c r="B269" s="6"/>
      <c r="E269" s="7"/>
      <c r="F269" s="7"/>
      <c r="G269" s="7"/>
      <c r="H269" s="7"/>
      <c r="I269" s="7"/>
    </row>
    <row r="270">
      <c r="B270" s="6"/>
      <c r="E270" s="7"/>
      <c r="F270" s="7"/>
      <c r="G270" s="7"/>
      <c r="H270" s="7"/>
      <c r="I270" s="7"/>
    </row>
    <row r="271">
      <c r="B271" s="6"/>
      <c r="E271" s="7"/>
      <c r="F271" s="7"/>
      <c r="G271" s="7"/>
      <c r="H271" s="7"/>
      <c r="I271" s="7"/>
    </row>
    <row r="272">
      <c r="B272" s="6"/>
      <c r="E272" s="7"/>
      <c r="F272" s="7"/>
      <c r="G272" s="7"/>
      <c r="H272" s="7"/>
      <c r="I272" s="7"/>
    </row>
    <row r="273">
      <c r="B273" s="6"/>
      <c r="E273" s="7"/>
      <c r="F273" s="7"/>
      <c r="G273" s="7"/>
      <c r="H273" s="7"/>
      <c r="I273" s="7"/>
    </row>
    <row r="274">
      <c r="B274" s="6"/>
      <c r="E274" s="7"/>
      <c r="F274" s="7"/>
      <c r="G274" s="7"/>
      <c r="H274" s="7"/>
      <c r="I274" s="7"/>
    </row>
    <row r="275">
      <c r="B275" s="6"/>
      <c r="E275" s="7"/>
      <c r="F275" s="7"/>
      <c r="G275" s="7"/>
      <c r="H275" s="7"/>
      <c r="I275" s="7"/>
    </row>
    <row r="276">
      <c r="B276" s="6"/>
      <c r="E276" s="7"/>
      <c r="F276" s="7"/>
      <c r="G276" s="7"/>
      <c r="H276" s="7"/>
      <c r="I276" s="7"/>
    </row>
    <row r="277">
      <c r="B277" s="6"/>
      <c r="E277" s="7"/>
      <c r="F277" s="7"/>
      <c r="G277" s="7"/>
      <c r="H277" s="7"/>
      <c r="I277" s="7"/>
    </row>
    <row r="278">
      <c r="B278" s="6"/>
      <c r="E278" s="7"/>
      <c r="F278" s="7"/>
      <c r="G278" s="7"/>
      <c r="H278" s="7"/>
      <c r="I278" s="7"/>
    </row>
    <row r="279">
      <c r="B279" s="6"/>
      <c r="E279" s="7"/>
      <c r="F279" s="7"/>
      <c r="G279" s="7"/>
      <c r="H279" s="7"/>
      <c r="I279" s="7"/>
    </row>
    <row r="280">
      <c r="B280" s="6"/>
      <c r="E280" s="7"/>
      <c r="F280" s="7"/>
      <c r="G280" s="7"/>
      <c r="H280" s="7"/>
      <c r="I280" s="7"/>
    </row>
    <row r="281">
      <c r="B281" s="6"/>
      <c r="E281" s="7"/>
      <c r="F281" s="7"/>
      <c r="G281" s="7"/>
      <c r="H281" s="7"/>
      <c r="I281" s="7"/>
    </row>
    <row r="282">
      <c r="B282" s="6"/>
      <c r="E282" s="7"/>
      <c r="F282" s="7"/>
      <c r="G282" s="7"/>
      <c r="H282" s="7"/>
      <c r="I282" s="7"/>
    </row>
    <row r="283">
      <c r="B283" s="6"/>
      <c r="E283" s="7"/>
      <c r="F283" s="7"/>
      <c r="G283" s="7"/>
      <c r="H283" s="7"/>
      <c r="I283" s="7"/>
    </row>
    <row r="284">
      <c r="B284" s="6"/>
      <c r="E284" s="7"/>
      <c r="F284" s="7"/>
      <c r="G284" s="7"/>
      <c r="H284" s="7"/>
      <c r="I284" s="7"/>
    </row>
    <row r="285">
      <c r="B285" s="6"/>
      <c r="E285" s="7"/>
      <c r="F285" s="7"/>
      <c r="G285" s="7"/>
      <c r="H285" s="7"/>
      <c r="I285" s="7"/>
    </row>
    <row r="286">
      <c r="B286" s="6"/>
      <c r="E286" s="7"/>
      <c r="F286" s="7"/>
      <c r="G286" s="7"/>
      <c r="H286" s="7"/>
      <c r="I286" s="7"/>
    </row>
    <row r="287">
      <c r="B287" s="6"/>
      <c r="E287" s="7"/>
      <c r="F287" s="7"/>
      <c r="G287" s="7"/>
      <c r="H287" s="7"/>
      <c r="I287" s="7"/>
    </row>
    <row r="288">
      <c r="B288" s="6"/>
      <c r="E288" s="7"/>
      <c r="F288" s="7"/>
      <c r="G288" s="7"/>
      <c r="H288" s="7"/>
      <c r="I288" s="7"/>
    </row>
    <row r="289">
      <c r="B289" s="6"/>
      <c r="E289" s="7"/>
      <c r="F289" s="7"/>
      <c r="G289" s="7"/>
      <c r="H289" s="7"/>
      <c r="I289" s="7"/>
    </row>
    <row r="290">
      <c r="B290" s="6"/>
      <c r="E290" s="7"/>
      <c r="F290" s="7"/>
      <c r="G290" s="7"/>
      <c r="H290" s="7"/>
      <c r="I290" s="7"/>
    </row>
    <row r="291">
      <c r="B291" s="6"/>
      <c r="E291" s="7"/>
      <c r="F291" s="7"/>
      <c r="G291" s="7"/>
      <c r="H291" s="7"/>
      <c r="I291" s="7"/>
    </row>
    <row r="292">
      <c r="B292" s="6"/>
      <c r="E292" s="7"/>
      <c r="F292" s="7"/>
      <c r="G292" s="7"/>
      <c r="H292" s="7"/>
      <c r="I292" s="7"/>
    </row>
    <row r="293">
      <c r="B293" s="6"/>
      <c r="E293" s="7"/>
      <c r="F293" s="7"/>
      <c r="G293" s="7"/>
      <c r="H293" s="7"/>
      <c r="I293" s="7"/>
    </row>
    <row r="294">
      <c r="B294" s="6"/>
      <c r="E294" s="7"/>
      <c r="F294" s="7"/>
      <c r="G294" s="7"/>
      <c r="H294" s="7"/>
      <c r="I294" s="7"/>
    </row>
    <row r="295">
      <c r="B295" s="6"/>
      <c r="E295" s="7"/>
      <c r="F295" s="7"/>
      <c r="G295" s="7"/>
      <c r="H295" s="7"/>
      <c r="I295" s="7"/>
    </row>
    <row r="296">
      <c r="B296" s="6"/>
      <c r="E296" s="7"/>
      <c r="F296" s="7"/>
      <c r="G296" s="7"/>
      <c r="H296" s="7"/>
      <c r="I296" s="7"/>
    </row>
    <row r="297">
      <c r="B297" s="6"/>
      <c r="E297" s="7"/>
      <c r="F297" s="7"/>
      <c r="G297" s="7"/>
      <c r="H297" s="7"/>
      <c r="I297" s="7"/>
    </row>
    <row r="298">
      <c r="B298" s="6"/>
      <c r="E298" s="7"/>
      <c r="F298" s="7"/>
      <c r="G298" s="7"/>
      <c r="H298" s="7"/>
      <c r="I298" s="7"/>
    </row>
    <row r="299">
      <c r="B299" s="6"/>
      <c r="E299" s="7"/>
      <c r="F299" s="7"/>
      <c r="G299" s="7"/>
      <c r="H299" s="7"/>
      <c r="I299" s="7"/>
    </row>
    <row r="300">
      <c r="B300" s="6"/>
      <c r="E300" s="7"/>
      <c r="F300" s="7"/>
      <c r="G300" s="7"/>
      <c r="H300" s="7"/>
      <c r="I300" s="7"/>
    </row>
    <row r="301">
      <c r="B301" s="6"/>
      <c r="E301" s="7"/>
      <c r="F301" s="7"/>
      <c r="G301" s="7"/>
      <c r="H301" s="7"/>
      <c r="I301" s="7"/>
    </row>
    <row r="302">
      <c r="B302" s="6"/>
      <c r="E302" s="7"/>
      <c r="F302" s="7"/>
      <c r="G302" s="7"/>
      <c r="H302" s="7"/>
      <c r="I302" s="7"/>
    </row>
    <row r="303">
      <c r="B303" s="6"/>
      <c r="E303" s="7"/>
      <c r="F303" s="7"/>
      <c r="G303" s="7"/>
      <c r="H303" s="7"/>
      <c r="I303" s="7"/>
    </row>
    <row r="304">
      <c r="B304" s="6"/>
      <c r="E304" s="7"/>
      <c r="F304" s="7"/>
      <c r="G304" s="7"/>
      <c r="H304" s="7"/>
      <c r="I304" s="7"/>
    </row>
    <row r="305">
      <c r="B305" s="6"/>
      <c r="E305" s="7"/>
      <c r="F305" s="7"/>
      <c r="G305" s="7"/>
      <c r="H305" s="7"/>
      <c r="I305" s="7"/>
    </row>
    <row r="306">
      <c r="B306" s="6"/>
      <c r="E306" s="7"/>
      <c r="F306" s="7"/>
      <c r="G306" s="7"/>
      <c r="H306" s="7"/>
      <c r="I306" s="7"/>
    </row>
    <row r="307">
      <c r="B307" s="6"/>
      <c r="E307" s="7"/>
      <c r="F307" s="7"/>
      <c r="G307" s="7"/>
      <c r="H307" s="7"/>
      <c r="I307" s="7"/>
    </row>
    <row r="308">
      <c r="B308" s="6"/>
      <c r="E308" s="7"/>
      <c r="F308" s="7"/>
      <c r="G308" s="7"/>
      <c r="H308" s="7"/>
      <c r="I308" s="7"/>
    </row>
    <row r="309">
      <c r="B309" s="6"/>
      <c r="E309" s="7"/>
      <c r="F309" s="7"/>
      <c r="G309" s="7"/>
      <c r="H309" s="7"/>
      <c r="I309" s="7"/>
    </row>
    <row r="310">
      <c r="B310" s="6"/>
      <c r="E310" s="7"/>
      <c r="F310" s="7"/>
      <c r="G310" s="7"/>
      <c r="H310" s="7"/>
      <c r="I310" s="7"/>
    </row>
    <row r="311">
      <c r="B311" s="6"/>
      <c r="E311" s="7"/>
      <c r="F311" s="7"/>
      <c r="G311" s="7"/>
      <c r="H311" s="7"/>
      <c r="I311" s="7"/>
    </row>
    <row r="312">
      <c r="B312" s="6"/>
      <c r="E312" s="7"/>
      <c r="F312" s="7"/>
      <c r="G312" s="7"/>
      <c r="H312" s="7"/>
      <c r="I312" s="7"/>
    </row>
    <row r="313">
      <c r="B313" s="6"/>
      <c r="E313" s="7"/>
      <c r="F313" s="7"/>
      <c r="G313" s="7"/>
      <c r="H313" s="7"/>
      <c r="I313" s="7"/>
    </row>
    <row r="314">
      <c r="B314" s="6"/>
      <c r="E314" s="7"/>
      <c r="F314" s="7"/>
      <c r="G314" s="7"/>
      <c r="H314" s="7"/>
      <c r="I314" s="7"/>
    </row>
    <row r="315">
      <c r="B315" s="6"/>
      <c r="E315" s="7"/>
      <c r="F315" s="7"/>
      <c r="G315" s="7"/>
      <c r="H315" s="7"/>
      <c r="I315" s="7"/>
    </row>
    <row r="316">
      <c r="B316" s="6"/>
      <c r="E316" s="7"/>
      <c r="F316" s="7"/>
      <c r="G316" s="7"/>
      <c r="H316" s="7"/>
      <c r="I316" s="7"/>
    </row>
    <row r="317">
      <c r="B317" s="6"/>
      <c r="E317" s="7"/>
      <c r="F317" s="7"/>
      <c r="G317" s="7"/>
      <c r="H317" s="7"/>
      <c r="I317" s="7"/>
    </row>
    <row r="318">
      <c r="B318" s="6"/>
      <c r="E318" s="7"/>
      <c r="F318" s="7"/>
      <c r="G318" s="7"/>
      <c r="H318" s="7"/>
      <c r="I318" s="7"/>
    </row>
    <row r="319">
      <c r="B319" s="6"/>
      <c r="E319" s="7"/>
      <c r="F319" s="7"/>
      <c r="G319" s="7"/>
      <c r="H319" s="7"/>
      <c r="I319" s="7"/>
    </row>
    <row r="320">
      <c r="B320" s="6"/>
      <c r="E320" s="7"/>
      <c r="F320" s="7"/>
      <c r="G320" s="7"/>
      <c r="H320" s="7"/>
      <c r="I320" s="7"/>
    </row>
    <row r="321">
      <c r="B321" s="6"/>
      <c r="E321" s="7"/>
      <c r="F321" s="7"/>
      <c r="G321" s="7"/>
      <c r="H321" s="7"/>
      <c r="I321" s="7"/>
    </row>
    <row r="322">
      <c r="B322" s="6"/>
      <c r="E322" s="7"/>
      <c r="F322" s="7"/>
      <c r="G322" s="7"/>
      <c r="H322" s="7"/>
      <c r="I322" s="7"/>
    </row>
    <row r="323">
      <c r="B323" s="6"/>
      <c r="E323" s="7"/>
      <c r="F323" s="7"/>
      <c r="G323" s="7"/>
      <c r="H323" s="7"/>
      <c r="I323" s="7"/>
    </row>
    <row r="324">
      <c r="B324" s="6"/>
      <c r="E324" s="7"/>
      <c r="F324" s="7"/>
      <c r="G324" s="7"/>
      <c r="H324" s="7"/>
      <c r="I324" s="7"/>
    </row>
    <row r="325">
      <c r="B325" s="6"/>
      <c r="E325" s="7"/>
      <c r="F325" s="7"/>
      <c r="G325" s="7"/>
      <c r="H325" s="7"/>
      <c r="I325" s="7"/>
    </row>
    <row r="326">
      <c r="B326" s="6"/>
      <c r="E326" s="7"/>
      <c r="F326" s="7"/>
      <c r="G326" s="7"/>
      <c r="H326" s="7"/>
      <c r="I326" s="7"/>
    </row>
    <row r="327">
      <c r="B327" s="6"/>
      <c r="E327" s="7"/>
      <c r="F327" s="7"/>
      <c r="G327" s="7"/>
      <c r="H327" s="7"/>
      <c r="I327" s="7"/>
    </row>
    <row r="328">
      <c r="B328" s="6"/>
      <c r="E328" s="7"/>
      <c r="F328" s="7"/>
      <c r="G328" s="7"/>
      <c r="H328" s="7"/>
      <c r="I328" s="7"/>
    </row>
    <row r="329">
      <c r="B329" s="6"/>
      <c r="E329" s="7"/>
      <c r="F329" s="7"/>
      <c r="G329" s="7"/>
      <c r="H329" s="7"/>
      <c r="I329" s="7"/>
    </row>
    <row r="330">
      <c r="B330" s="6"/>
      <c r="E330" s="7"/>
      <c r="F330" s="7"/>
      <c r="G330" s="7"/>
      <c r="H330" s="7"/>
      <c r="I330" s="7"/>
    </row>
    <row r="331">
      <c r="B331" s="6"/>
      <c r="E331" s="7"/>
      <c r="F331" s="7"/>
      <c r="G331" s="7"/>
      <c r="H331" s="7"/>
      <c r="I331" s="7"/>
    </row>
    <row r="332">
      <c r="B332" s="6"/>
      <c r="E332" s="7"/>
      <c r="F332" s="7"/>
      <c r="G332" s="7"/>
      <c r="H332" s="7"/>
      <c r="I332" s="7"/>
    </row>
    <row r="333">
      <c r="B333" s="6"/>
      <c r="E333" s="7"/>
      <c r="F333" s="7"/>
      <c r="G333" s="7"/>
      <c r="H333" s="7"/>
      <c r="I333" s="7"/>
    </row>
    <row r="334">
      <c r="B334" s="6"/>
      <c r="E334" s="7"/>
      <c r="F334" s="7"/>
      <c r="G334" s="7"/>
      <c r="H334" s="7"/>
      <c r="I334" s="7"/>
    </row>
    <row r="335">
      <c r="B335" s="6"/>
      <c r="E335" s="7"/>
      <c r="F335" s="7"/>
      <c r="G335" s="7"/>
      <c r="H335" s="7"/>
      <c r="I335" s="7"/>
    </row>
    <row r="336">
      <c r="B336" s="6"/>
      <c r="E336" s="7"/>
      <c r="F336" s="7"/>
      <c r="G336" s="7"/>
      <c r="H336" s="7"/>
      <c r="I336" s="7"/>
    </row>
    <row r="337">
      <c r="B337" s="6"/>
      <c r="E337" s="7"/>
      <c r="F337" s="7"/>
      <c r="G337" s="7"/>
      <c r="H337" s="7"/>
      <c r="I337" s="7"/>
    </row>
    <row r="338">
      <c r="B338" s="6"/>
      <c r="E338" s="7"/>
      <c r="F338" s="7"/>
      <c r="G338" s="7"/>
      <c r="H338" s="7"/>
      <c r="I338" s="7"/>
    </row>
    <row r="339">
      <c r="B339" s="6"/>
      <c r="E339" s="7"/>
      <c r="F339" s="7"/>
      <c r="G339" s="7"/>
      <c r="H339" s="7"/>
      <c r="I339" s="7"/>
    </row>
    <row r="340">
      <c r="B340" s="6"/>
      <c r="E340" s="7"/>
      <c r="F340" s="7"/>
      <c r="G340" s="7"/>
      <c r="H340" s="7"/>
      <c r="I340" s="7"/>
    </row>
    <row r="341">
      <c r="B341" s="6"/>
      <c r="E341" s="7"/>
      <c r="F341" s="7"/>
      <c r="G341" s="7"/>
      <c r="H341" s="7"/>
      <c r="I341" s="7"/>
    </row>
    <row r="342">
      <c r="B342" s="6"/>
      <c r="E342" s="7"/>
      <c r="F342" s="7"/>
      <c r="G342" s="7"/>
      <c r="H342" s="7"/>
      <c r="I342" s="7"/>
    </row>
    <row r="343">
      <c r="B343" s="6"/>
      <c r="E343" s="7"/>
      <c r="F343" s="7"/>
      <c r="G343" s="7"/>
      <c r="H343" s="7"/>
      <c r="I343" s="7"/>
    </row>
    <row r="344">
      <c r="B344" s="6"/>
      <c r="E344" s="7"/>
      <c r="F344" s="7"/>
      <c r="G344" s="7"/>
      <c r="H344" s="7"/>
      <c r="I344" s="7"/>
    </row>
    <row r="345">
      <c r="B345" s="6"/>
      <c r="E345" s="7"/>
      <c r="F345" s="7"/>
      <c r="G345" s="7"/>
      <c r="H345" s="7"/>
      <c r="I345" s="7"/>
    </row>
    <row r="346">
      <c r="B346" s="6"/>
      <c r="E346" s="7"/>
      <c r="F346" s="7"/>
      <c r="G346" s="7"/>
      <c r="H346" s="7"/>
      <c r="I346" s="7"/>
    </row>
    <row r="347">
      <c r="B347" s="6"/>
      <c r="E347" s="7"/>
      <c r="F347" s="7"/>
      <c r="G347" s="7"/>
      <c r="H347" s="7"/>
      <c r="I347" s="7"/>
    </row>
    <row r="348">
      <c r="B348" s="6"/>
      <c r="E348" s="7"/>
      <c r="F348" s="7"/>
      <c r="G348" s="7"/>
      <c r="H348" s="7"/>
      <c r="I348" s="7"/>
    </row>
    <row r="349">
      <c r="B349" s="6"/>
      <c r="E349" s="7"/>
      <c r="F349" s="7"/>
      <c r="G349" s="7"/>
      <c r="H349" s="7"/>
      <c r="I349" s="7"/>
    </row>
    <row r="350">
      <c r="B350" s="6"/>
      <c r="E350" s="7"/>
      <c r="F350" s="7"/>
      <c r="G350" s="7"/>
      <c r="H350" s="7"/>
      <c r="I350" s="7"/>
    </row>
    <row r="351">
      <c r="B351" s="6"/>
      <c r="E351" s="7"/>
      <c r="F351" s="7"/>
      <c r="G351" s="7"/>
      <c r="H351" s="7"/>
      <c r="I351" s="7"/>
    </row>
    <row r="352">
      <c r="B352" s="6"/>
      <c r="E352" s="7"/>
      <c r="F352" s="7"/>
      <c r="G352" s="7"/>
      <c r="H352" s="7"/>
      <c r="I352" s="7"/>
    </row>
    <row r="353">
      <c r="B353" s="6"/>
      <c r="E353" s="7"/>
      <c r="F353" s="7"/>
      <c r="G353" s="7"/>
      <c r="H353" s="7"/>
      <c r="I353" s="7"/>
    </row>
    <row r="354">
      <c r="B354" s="6"/>
      <c r="E354" s="7"/>
      <c r="F354" s="7"/>
      <c r="G354" s="7"/>
      <c r="H354" s="7"/>
      <c r="I354" s="7"/>
    </row>
    <row r="355">
      <c r="B355" s="6"/>
      <c r="E355" s="7"/>
      <c r="F355" s="7"/>
      <c r="G355" s="7"/>
      <c r="H355" s="7"/>
      <c r="I355" s="7"/>
    </row>
    <row r="356">
      <c r="B356" s="6"/>
      <c r="E356" s="7"/>
      <c r="F356" s="7"/>
      <c r="G356" s="7"/>
      <c r="H356" s="7"/>
      <c r="I356" s="7"/>
    </row>
    <row r="357">
      <c r="B357" s="6"/>
      <c r="E357" s="7"/>
      <c r="F357" s="7"/>
      <c r="G357" s="7"/>
      <c r="H357" s="7"/>
      <c r="I357" s="7"/>
    </row>
    <row r="358">
      <c r="B358" s="6"/>
      <c r="E358" s="7"/>
      <c r="F358" s="7"/>
      <c r="G358" s="7"/>
      <c r="H358" s="7"/>
      <c r="I358" s="7"/>
    </row>
    <row r="359">
      <c r="B359" s="6"/>
      <c r="E359" s="7"/>
      <c r="F359" s="7"/>
      <c r="G359" s="7"/>
      <c r="H359" s="7"/>
      <c r="I359" s="7"/>
    </row>
    <row r="360">
      <c r="B360" s="6"/>
      <c r="E360" s="7"/>
      <c r="F360" s="7"/>
      <c r="G360" s="7"/>
      <c r="H360" s="7"/>
      <c r="I360" s="7"/>
    </row>
    <row r="361">
      <c r="B361" s="6"/>
      <c r="E361" s="7"/>
      <c r="F361" s="7"/>
      <c r="G361" s="7"/>
      <c r="H361" s="7"/>
      <c r="I361" s="7"/>
    </row>
    <row r="362">
      <c r="B362" s="6"/>
      <c r="E362" s="7"/>
      <c r="F362" s="7"/>
      <c r="G362" s="7"/>
      <c r="H362" s="7"/>
      <c r="I362" s="7"/>
    </row>
    <row r="363">
      <c r="B363" s="6"/>
      <c r="E363" s="7"/>
      <c r="F363" s="7"/>
      <c r="G363" s="7"/>
      <c r="H363" s="7"/>
      <c r="I363" s="7"/>
    </row>
    <row r="364">
      <c r="B364" s="6"/>
      <c r="E364" s="7"/>
      <c r="F364" s="7"/>
      <c r="G364" s="7"/>
      <c r="H364" s="7"/>
      <c r="I364" s="7"/>
    </row>
    <row r="365">
      <c r="B365" s="6"/>
      <c r="E365" s="7"/>
      <c r="F365" s="7"/>
      <c r="G365" s="7"/>
      <c r="H365" s="7"/>
      <c r="I365" s="7"/>
    </row>
    <row r="366">
      <c r="B366" s="6"/>
      <c r="E366" s="7"/>
      <c r="F366" s="7"/>
      <c r="G366" s="7"/>
      <c r="H366" s="7"/>
      <c r="I366" s="7"/>
    </row>
    <row r="367">
      <c r="B367" s="6"/>
      <c r="E367" s="7"/>
      <c r="F367" s="7"/>
      <c r="G367" s="7"/>
      <c r="H367" s="7"/>
      <c r="I367" s="7"/>
    </row>
    <row r="368">
      <c r="B368" s="6"/>
      <c r="E368" s="7"/>
      <c r="F368" s="7"/>
      <c r="G368" s="7"/>
      <c r="H368" s="7"/>
      <c r="I368" s="7"/>
    </row>
    <row r="369">
      <c r="B369" s="6"/>
      <c r="E369" s="7"/>
      <c r="F369" s="7"/>
      <c r="G369" s="7"/>
      <c r="H369" s="7"/>
      <c r="I369" s="7"/>
    </row>
    <row r="370">
      <c r="B370" s="6"/>
      <c r="E370" s="7"/>
      <c r="F370" s="7"/>
      <c r="G370" s="7"/>
      <c r="H370" s="7"/>
      <c r="I370" s="7"/>
    </row>
    <row r="371">
      <c r="B371" s="6"/>
      <c r="E371" s="7"/>
      <c r="F371" s="7"/>
      <c r="G371" s="7"/>
      <c r="H371" s="7"/>
      <c r="I371" s="7"/>
    </row>
    <row r="372">
      <c r="B372" s="6"/>
      <c r="E372" s="7"/>
      <c r="F372" s="7"/>
      <c r="G372" s="7"/>
      <c r="H372" s="7"/>
      <c r="I372" s="7"/>
    </row>
    <row r="373">
      <c r="B373" s="6"/>
      <c r="E373" s="7"/>
      <c r="F373" s="7"/>
      <c r="G373" s="7"/>
      <c r="H373" s="7"/>
      <c r="I373" s="7"/>
    </row>
    <row r="374">
      <c r="B374" s="6"/>
      <c r="E374" s="7"/>
      <c r="F374" s="7"/>
      <c r="G374" s="7"/>
      <c r="H374" s="7"/>
      <c r="I374" s="7"/>
    </row>
    <row r="375">
      <c r="B375" s="6"/>
      <c r="E375" s="7"/>
      <c r="F375" s="7"/>
      <c r="G375" s="7"/>
      <c r="H375" s="7"/>
      <c r="I375" s="7"/>
    </row>
    <row r="376">
      <c r="B376" s="6"/>
      <c r="E376" s="7"/>
      <c r="F376" s="7"/>
      <c r="G376" s="7"/>
      <c r="H376" s="7"/>
      <c r="I376" s="7"/>
    </row>
    <row r="377">
      <c r="B377" s="6"/>
      <c r="E377" s="7"/>
      <c r="F377" s="7"/>
      <c r="G377" s="7"/>
      <c r="H377" s="7"/>
      <c r="I377" s="7"/>
    </row>
    <row r="378">
      <c r="B378" s="6"/>
      <c r="E378" s="7"/>
      <c r="F378" s="7"/>
      <c r="G378" s="7"/>
      <c r="H378" s="7"/>
      <c r="I378" s="7"/>
    </row>
    <row r="379">
      <c r="B379" s="6"/>
      <c r="E379" s="7"/>
      <c r="F379" s="7"/>
      <c r="G379" s="7"/>
      <c r="H379" s="7"/>
      <c r="I379" s="7"/>
    </row>
    <row r="380">
      <c r="B380" s="6"/>
      <c r="E380" s="7"/>
      <c r="F380" s="7"/>
      <c r="G380" s="7"/>
      <c r="H380" s="7"/>
      <c r="I380" s="7"/>
    </row>
    <row r="381">
      <c r="B381" s="6"/>
      <c r="E381" s="7"/>
      <c r="F381" s="7"/>
      <c r="G381" s="7"/>
      <c r="H381" s="7"/>
      <c r="I381" s="7"/>
    </row>
    <row r="382">
      <c r="B382" s="6"/>
      <c r="E382" s="7"/>
      <c r="F382" s="7"/>
      <c r="G382" s="7"/>
      <c r="H382" s="7"/>
      <c r="I382" s="7"/>
    </row>
    <row r="383">
      <c r="B383" s="6"/>
      <c r="E383" s="7"/>
      <c r="F383" s="7"/>
      <c r="G383" s="7"/>
      <c r="H383" s="7"/>
      <c r="I383" s="7"/>
    </row>
    <row r="384">
      <c r="B384" s="6"/>
      <c r="E384" s="7"/>
      <c r="F384" s="7"/>
      <c r="G384" s="7"/>
      <c r="H384" s="7"/>
      <c r="I384" s="7"/>
    </row>
    <row r="385">
      <c r="B385" s="6"/>
      <c r="E385" s="7"/>
      <c r="F385" s="7"/>
      <c r="G385" s="7"/>
      <c r="H385" s="7"/>
      <c r="I385" s="7"/>
    </row>
    <row r="386">
      <c r="B386" s="6"/>
      <c r="E386" s="7"/>
      <c r="F386" s="7"/>
      <c r="G386" s="7"/>
      <c r="H386" s="7"/>
      <c r="I386" s="7"/>
    </row>
    <row r="387">
      <c r="B387" s="6"/>
      <c r="E387" s="7"/>
      <c r="F387" s="7"/>
      <c r="G387" s="7"/>
      <c r="H387" s="7"/>
      <c r="I387" s="7"/>
    </row>
    <row r="388">
      <c r="B388" s="6"/>
      <c r="E388" s="7"/>
      <c r="F388" s="7"/>
      <c r="G388" s="7"/>
      <c r="H388" s="7"/>
      <c r="I388" s="7"/>
    </row>
    <row r="389">
      <c r="B389" s="6"/>
      <c r="E389" s="7"/>
      <c r="F389" s="7"/>
      <c r="G389" s="7"/>
      <c r="H389" s="7"/>
      <c r="I389" s="7"/>
    </row>
    <row r="390">
      <c r="B390" s="6"/>
      <c r="E390" s="7"/>
      <c r="F390" s="7"/>
      <c r="G390" s="7"/>
      <c r="H390" s="7"/>
      <c r="I390" s="7"/>
    </row>
    <row r="391">
      <c r="B391" s="6"/>
      <c r="E391" s="7"/>
      <c r="F391" s="7"/>
      <c r="G391" s="7"/>
      <c r="H391" s="7"/>
      <c r="I391" s="7"/>
    </row>
    <row r="392">
      <c r="B392" s="6"/>
      <c r="E392" s="7"/>
      <c r="F392" s="7"/>
      <c r="G392" s="7"/>
      <c r="H392" s="7"/>
      <c r="I392" s="7"/>
    </row>
    <row r="393">
      <c r="B393" s="6"/>
      <c r="E393" s="7"/>
      <c r="F393" s="7"/>
      <c r="G393" s="7"/>
      <c r="H393" s="7"/>
      <c r="I393" s="7"/>
    </row>
    <row r="394">
      <c r="B394" s="6"/>
      <c r="E394" s="7"/>
      <c r="F394" s="7"/>
      <c r="G394" s="7"/>
      <c r="H394" s="7"/>
      <c r="I394" s="7"/>
    </row>
    <row r="395">
      <c r="B395" s="6"/>
      <c r="E395" s="7"/>
      <c r="F395" s="7"/>
      <c r="G395" s="7"/>
      <c r="H395" s="7"/>
      <c r="I395" s="7"/>
    </row>
    <row r="396">
      <c r="B396" s="6"/>
      <c r="E396" s="7"/>
      <c r="F396" s="7"/>
      <c r="G396" s="7"/>
      <c r="H396" s="7"/>
      <c r="I396" s="7"/>
    </row>
    <row r="397">
      <c r="B397" s="6"/>
      <c r="E397" s="7"/>
      <c r="F397" s="7"/>
      <c r="G397" s="7"/>
      <c r="H397" s="7"/>
      <c r="I397" s="7"/>
    </row>
    <row r="398">
      <c r="B398" s="6"/>
      <c r="E398" s="7"/>
      <c r="F398" s="7"/>
      <c r="G398" s="7"/>
      <c r="H398" s="7"/>
      <c r="I398" s="7"/>
    </row>
    <row r="399">
      <c r="B399" s="6"/>
      <c r="E399" s="7"/>
      <c r="F399" s="7"/>
      <c r="G399" s="7"/>
      <c r="H399" s="7"/>
      <c r="I399" s="7"/>
    </row>
    <row r="400">
      <c r="B400" s="6"/>
      <c r="E400" s="7"/>
      <c r="F400" s="7"/>
      <c r="G400" s="7"/>
      <c r="H400" s="7"/>
      <c r="I400" s="7"/>
    </row>
    <row r="401">
      <c r="B401" s="6"/>
      <c r="E401" s="7"/>
      <c r="F401" s="7"/>
      <c r="G401" s="7"/>
      <c r="H401" s="7"/>
      <c r="I401" s="7"/>
    </row>
    <row r="402">
      <c r="B402" s="6"/>
      <c r="E402" s="7"/>
      <c r="F402" s="7"/>
      <c r="G402" s="7"/>
      <c r="H402" s="7"/>
      <c r="I402" s="7"/>
    </row>
    <row r="403">
      <c r="B403" s="6"/>
      <c r="E403" s="7"/>
      <c r="F403" s="7"/>
      <c r="G403" s="7"/>
      <c r="H403" s="7"/>
      <c r="I403" s="7"/>
    </row>
    <row r="404">
      <c r="B404" s="6"/>
      <c r="E404" s="7"/>
      <c r="F404" s="7"/>
      <c r="G404" s="7"/>
      <c r="H404" s="7"/>
      <c r="I404" s="7"/>
    </row>
    <row r="405">
      <c r="B405" s="6"/>
      <c r="E405" s="7"/>
      <c r="F405" s="7"/>
      <c r="G405" s="7"/>
      <c r="H405" s="7"/>
      <c r="I405" s="7"/>
    </row>
    <row r="406">
      <c r="B406" s="6"/>
      <c r="E406" s="7"/>
      <c r="F406" s="7"/>
      <c r="G406" s="7"/>
      <c r="H406" s="7"/>
      <c r="I406" s="7"/>
    </row>
    <row r="407">
      <c r="B407" s="6"/>
      <c r="E407" s="7"/>
      <c r="F407" s="7"/>
      <c r="G407" s="7"/>
      <c r="H407" s="7"/>
      <c r="I407" s="7"/>
    </row>
    <row r="408">
      <c r="B408" s="6"/>
      <c r="E408" s="7"/>
      <c r="F408" s="7"/>
      <c r="G408" s="7"/>
      <c r="H408" s="7"/>
      <c r="I408" s="7"/>
    </row>
    <row r="409">
      <c r="B409" s="6"/>
      <c r="E409" s="7"/>
      <c r="F409" s="7"/>
      <c r="G409" s="7"/>
      <c r="H409" s="7"/>
      <c r="I409" s="7"/>
    </row>
    <row r="410">
      <c r="B410" s="6"/>
      <c r="E410" s="7"/>
      <c r="F410" s="7"/>
      <c r="G410" s="7"/>
      <c r="H410" s="7"/>
      <c r="I410" s="7"/>
    </row>
    <row r="411">
      <c r="B411" s="6"/>
      <c r="E411" s="7"/>
      <c r="F411" s="7"/>
      <c r="G411" s="7"/>
      <c r="H411" s="7"/>
      <c r="I411" s="7"/>
    </row>
    <row r="412">
      <c r="B412" s="6"/>
      <c r="E412" s="7"/>
      <c r="F412" s="7"/>
      <c r="G412" s="7"/>
      <c r="H412" s="7"/>
      <c r="I412" s="7"/>
    </row>
    <row r="413">
      <c r="B413" s="6"/>
      <c r="E413" s="7"/>
      <c r="F413" s="7"/>
      <c r="G413" s="7"/>
      <c r="H413" s="7"/>
      <c r="I413" s="7"/>
    </row>
    <row r="414">
      <c r="B414" s="6"/>
      <c r="E414" s="7"/>
      <c r="F414" s="7"/>
      <c r="G414" s="7"/>
      <c r="H414" s="7"/>
      <c r="I414" s="7"/>
    </row>
    <row r="415">
      <c r="B415" s="6"/>
      <c r="E415" s="7"/>
      <c r="F415" s="7"/>
      <c r="G415" s="7"/>
      <c r="H415" s="7"/>
      <c r="I415" s="7"/>
    </row>
    <row r="416">
      <c r="B416" s="6"/>
      <c r="E416" s="7"/>
      <c r="F416" s="7"/>
      <c r="G416" s="7"/>
      <c r="H416" s="7"/>
      <c r="I416" s="7"/>
    </row>
    <row r="417">
      <c r="B417" s="6"/>
      <c r="E417" s="7"/>
      <c r="F417" s="7"/>
      <c r="G417" s="7"/>
      <c r="H417" s="7"/>
      <c r="I417" s="7"/>
    </row>
    <row r="418">
      <c r="B418" s="6"/>
      <c r="E418" s="7"/>
      <c r="F418" s="7"/>
      <c r="G418" s="7"/>
      <c r="H418" s="7"/>
      <c r="I418" s="7"/>
    </row>
    <row r="419">
      <c r="B419" s="6"/>
      <c r="E419" s="7"/>
      <c r="F419" s="7"/>
      <c r="G419" s="7"/>
      <c r="H419" s="7"/>
      <c r="I419" s="7"/>
    </row>
    <row r="420">
      <c r="B420" s="6"/>
      <c r="E420" s="7"/>
      <c r="F420" s="7"/>
      <c r="G420" s="7"/>
      <c r="H420" s="7"/>
      <c r="I420" s="7"/>
    </row>
    <row r="421">
      <c r="B421" s="6"/>
      <c r="E421" s="7"/>
      <c r="F421" s="7"/>
      <c r="G421" s="7"/>
      <c r="H421" s="7"/>
      <c r="I421" s="7"/>
    </row>
    <row r="422">
      <c r="B422" s="6"/>
      <c r="E422" s="7"/>
      <c r="F422" s="7"/>
      <c r="G422" s="7"/>
      <c r="H422" s="7"/>
      <c r="I422" s="7"/>
    </row>
    <row r="423">
      <c r="B423" s="6"/>
      <c r="E423" s="7"/>
      <c r="F423" s="7"/>
      <c r="G423" s="7"/>
      <c r="H423" s="7"/>
      <c r="I423" s="7"/>
    </row>
    <row r="424">
      <c r="B424" s="6"/>
      <c r="E424" s="7"/>
      <c r="F424" s="7"/>
      <c r="G424" s="7"/>
      <c r="H424" s="7"/>
      <c r="I424" s="7"/>
    </row>
    <row r="425">
      <c r="B425" s="6"/>
      <c r="E425" s="7"/>
      <c r="F425" s="7"/>
      <c r="G425" s="7"/>
      <c r="H425" s="7"/>
      <c r="I425" s="7"/>
    </row>
    <row r="426">
      <c r="B426" s="6"/>
      <c r="E426" s="7"/>
      <c r="F426" s="7"/>
      <c r="G426" s="7"/>
      <c r="H426" s="7"/>
      <c r="I426" s="7"/>
    </row>
    <row r="427">
      <c r="B427" s="6"/>
      <c r="E427" s="7"/>
      <c r="F427" s="7"/>
      <c r="G427" s="7"/>
      <c r="H427" s="7"/>
      <c r="I427" s="7"/>
    </row>
    <row r="428">
      <c r="B428" s="6"/>
      <c r="E428" s="7"/>
      <c r="F428" s="7"/>
      <c r="G428" s="7"/>
      <c r="H428" s="7"/>
      <c r="I428" s="7"/>
    </row>
    <row r="429">
      <c r="B429" s="6"/>
      <c r="E429" s="7"/>
      <c r="F429" s="7"/>
      <c r="G429" s="7"/>
      <c r="H429" s="7"/>
      <c r="I429" s="7"/>
    </row>
    <row r="430">
      <c r="B430" s="6"/>
      <c r="E430" s="7"/>
      <c r="F430" s="7"/>
      <c r="G430" s="7"/>
      <c r="H430" s="7"/>
      <c r="I430" s="7"/>
    </row>
    <row r="431">
      <c r="B431" s="6"/>
      <c r="E431" s="7"/>
      <c r="F431" s="7"/>
      <c r="G431" s="7"/>
      <c r="H431" s="7"/>
      <c r="I431" s="7"/>
    </row>
    <row r="432">
      <c r="B432" s="6"/>
      <c r="E432" s="7"/>
      <c r="F432" s="7"/>
      <c r="G432" s="7"/>
      <c r="H432" s="7"/>
      <c r="I432" s="7"/>
    </row>
    <row r="433">
      <c r="B433" s="6"/>
      <c r="E433" s="7"/>
      <c r="F433" s="7"/>
      <c r="G433" s="7"/>
      <c r="H433" s="7"/>
      <c r="I433" s="7"/>
    </row>
    <row r="434">
      <c r="B434" s="6"/>
      <c r="E434" s="7"/>
      <c r="F434" s="7"/>
      <c r="G434" s="7"/>
      <c r="H434" s="7"/>
      <c r="I434" s="7"/>
    </row>
    <row r="435">
      <c r="B435" s="6"/>
      <c r="E435" s="7"/>
      <c r="F435" s="7"/>
      <c r="G435" s="7"/>
      <c r="H435" s="7"/>
      <c r="I435" s="7"/>
    </row>
    <row r="436">
      <c r="B436" s="6"/>
      <c r="E436" s="7"/>
      <c r="F436" s="7"/>
      <c r="G436" s="7"/>
      <c r="H436" s="7"/>
      <c r="I436" s="7"/>
    </row>
    <row r="437">
      <c r="B437" s="6"/>
      <c r="E437" s="7"/>
      <c r="F437" s="7"/>
      <c r="G437" s="7"/>
      <c r="H437" s="7"/>
      <c r="I437" s="7"/>
    </row>
    <row r="438">
      <c r="B438" s="6"/>
      <c r="E438" s="7"/>
      <c r="F438" s="7"/>
      <c r="G438" s="7"/>
      <c r="H438" s="7"/>
      <c r="I438" s="7"/>
    </row>
    <row r="439">
      <c r="B439" s="6"/>
      <c r="E439" s="7"/>
      <c r="F439" s="7"/>
      <c r="G439" s="7"/>
      <c r="H439" s="7"/>
      <c r="I439" s="7"/>
    </row>
    <row r="440">
      <c r="B440" s="6"/>
      <c r="E440" s="7"/>
      <c r="F440" s="7"/>
      <c r="G440" s="7"/>
      <c r="H440" s="7"/>
      <c r="I440" s="7"/>
    </row>
    <row r="441">
      <c r="B441" s="6"/>
      <c r="E441" s="7"/>
      <c r="F441" s="7"/>
      <c r="G441" s="7"/>
      <c r="H441" s="7"/>
      <c r="I441" s="7"/>
    </row>
    <row r="442">
      <c r="B442" s="6"/>
      <c r="E442" s="7"/>
      <c r="F442" s="7"/>
      <c r="G442" s="7"/>
      <c r="H442" s="7"/>
      <c r="I442" s="7"/>
    </row>
    <row r="443">
      <c r="B443" s="6"/>
      <c r="E443" s="7"/>
      <c r="F443" s="7"/>
      <c r="G443" s="7"/>
      <c r="H443" s="7"/>
      <c r="I443" s="7"/>
    </row>
    <row r="444">
      <c r="B444" s="6"/>
      <c r="E444" s="7"/>
      <c r="F444" s="7"/>
      <c r="G444" s="7"/>
      <c r="H444" s="7"/>
      <c r="I444" s="7"/>
    </row>
    <row r="445">
      <c r="B445" s="6"/>
      <c r="E445" s="7"/>
      <c r="F445" s="7"/>
      <c r="G445" s="7"/>
      <c r="H445" s="7"/>
      <c r="I445" s="7"/>
    </row>
    <row r="446">
      <c r="B446" s="6"/>
      <c r="E446" s="7"/>
      <c r="F446" s="7"/>
      <c r="G446" s="7"/>
      <c r="H446" s="7"/>
      <c r="I446" s="7"/>
    </row>
    <row r="447">
      <c r="B447" s="6"/>
      <c r="E447" s="7"/>
      <c r="F447" s="7"/>
      <c r="G447" s="7"/>
      <c r="H447" s="7"/>
      <c r="I447" s="7"/>
    </row>
    <row r="448">
      <c r="B448" s="6"/>
      <c r="E448" s="7"/>
      <c r="F448" s="7"/>
      <c r="G448" s="7"/>
      <c r="H448" s="7"/>
      <c r="I448" s="7"/>
    </row>
    <row r="449">
      <c r="B449" s="6"/>
      <c r="E449" s="7"/>
      <c r="F449" s="7"/>
      <c r="G449" s="7"/>
      <c r="H449" s="7"/>
      <c r="I449" s="7"/>
    </row>
    <row r="450">
      <c r="B450" s="6"/>
      <c r="E450" s="7"/>
      <c r="F450" s="7"/>
      <c r="G450" s="7"/>
      <c r="H450" s="7"/>
      <c r="I450" s="7"/>
    </row>
    <row r="451">
      <c r="B451" s="6"/>
      <c r="E451" s="7"/>
      <c r="F451" s="7"/>
      <c r="G451" s="7"/>
      <c r="H451" s="7"/>
      <c r="I451" s="7"/>
    </row>
    <row r="452">
      <c r="B452" s="6"/>
      <c r="E452" s="7"/>
      <c r="F452" s="7"/>
      <c r="G452" s="7"/>
      <c r="H452" s="7"/>
      <c r="I452" s="7"/>
    </row>
    <row r="453">
      <c r="B453" s="6"/>
      <c r="E453" s="7"/>
      <c r="F453" s="7"/>
      <c r="G453" s="7"/>
      <c r="H453" s="7"/>
      <c r="I453" s="7"/>
    </row>
    <row r="454">
      <c r="B454" s="6"/>
      <c r="E454" s="7"/>
      <c r="F454" s="7"/>
      <c r="G454" s="7"/>
      <c r="H454" s="7"/>
      <c r="I454" s="7"/>
    </row>
    <row r="455">
      <c r="B455" s="6"/>
      <c r="E455" s="7"/>
      <c r="F455" s="7"/>
      <c r="G455" s="7"/>
      <c r="H455" s="7"/>
      <c r="I455" s="7"/>
    </row>
    <row r="456">
      <c r="B456" s="6"/>
      <c r="E456" s="7"/>
      <c r="F456" s="7"/>
      <c r="G456" s="7"/>
      <c r="H456" s="7"/>
      <c r="I456" s="7"/>
    </row>
    <row r="457">
      <c r="B457" s="6"/>
      <c r="E457" s="7"/>
      <c r="F457" s="7"/>
      <c r="G457" s="7"/>
      <c r="H457" s="7"/>
      <c r="I457" s="7"/>
    </row>
    <row r="458">
      <c r="B458" s="6"/>
      <c r="E458" s="7"/>
      <c r="F458" s="7"/>
      <c r="G458" s="7"/>
      <c r="H458" s="7"/>
      <c r="I458" s="7"/>
    </row>
    <row r="459">
      <c r="B459" s="6"/>
      <c r="E459" s="7"/>
      <c r="F459" s="7"/>
      <c r="G459" s="7"/>
      <c r="H459" s="7"/>
      <c r="I459" s="7"/>
    </row>
    <row r="460">
      <c r="B460" s="6"/>
      <c r="E460" s="7"/>
      <c r="F460" s="7"/>
      <c r="G460" s="7"/>
      <c r="H460" s="7"/>
      <c r="I460" s="7"/>
    </row>
    <row r="461">
      <c r="B461" s="6"/>
      <c r="E461" s="7"/>
      <c r="F461" s="7"/>
      <c r="G461" s="7"/>
      <c r="H461" s="7"/>
      <c r="I461" s="7"/>
    </row>
    <row r="462">
      <c r="B462" s="6"/>
      <c r="E462" s="7"/>
      <c r="F462" s="7"/>
      <c r="G462" s="7"/>
      <c r="H462" s="7"/>
      <c r="I462" s="7"/>
    </row>
    <row r="463">
      <c r="B463" s="6"/>
      <c r="E463" s="7"/>
      <c r="F463" s="7"/>
      <c r="G463" s="7"/>
      <c r="H463" s="7"/>
      <c r="I463" s="7"/>
    </row>
    <row r="464">
      <c r="B464" s="6"/>
      <c r="E464" s="7"/>
      <c r="F464" s="7"/>
      <c r="G464" s="7"/>
      <c r="H464" s="7"/>
      <c r="I464" s="7"/>
    </row>
    <row r="465">
      <c r="B465" s="6"/>
      <c r="E465" s="7"/>
      <c r="F465" s="7"/>
      <c r="G465" s="7"/>
      <c r="H465" s="7"/>
      <c r="I465" s="7"/>
    </row>
    <row r="466">
      <c r="B466" s="6"/>
      <c r="E466" s="7"/>
      <c r="F466" s="7"/>
      <c r="G466" s="7"/>
      <c r="H466" s="7"/>
      <c r="I466" s="7"/>
    </row>
    <row r="467">
      <c r="B467" s="6"/>
      <c r="E467" s="7"/>
      <c r="F467" s="7"/>
      <c r="G467" s="7"/>
      <c r="H467" s="7"/>
      <c r="I467" s="7"/>
    </row>
    <row r="468">
      <c r="B468" s="6"/>
      <c r="E468" s="7"/>
      <c r="F468" s="7"/>
      <c r="G468" s="7"/>
      <c r="H468" s="7"/>
      <c r="I468" s="7"/>
    </row>
    <row r="469">
      <c r="B469" s="6"/>
      <c r="E469" s="7"/>
      <c r="F469" s="7"/>
      <c r="G469" s="7"/>
      <c r="H469" s="7"/>
      <c r="I469" s="7"/>
    </row>
    <row r="470">
      <c r="B470" s="6"/>
      <c r="E470" s="7"/>
      <c r="F470" s="7"/>
      <c r="G470" s="7"/>
      <c r="H470" s="7"/>
      <c r="I470" s="7"/>
    </row>
    <row r="471">
      <c r="B471" s="6"/>
      <c r="E471" s="7"/>
      <c r="F471" s="7"/>
      <c r="G471" s="7"/>
      <c r="H471" s="7"/>
      <c r="I471" s="7"/>
    </row>
    <row r="472">
      <c r="B472" s="6"/>
      <c r="E472" s="7"/>
      <c r="F472" s="7"/>
      <c r="G472" s="7"/>
      <c r="H472" s="7"/>
      <c r="I472" s="7"/>
    </row>
    <row r="473">
      <c r="B473" s="6"/>
      <c r="E473" s="7"/>
      <c r="F473" s="7"/>
      <c r="G473" s="7"/>
      <c r="H473" s="7"/>
      <c r="I473" s="7"/>
    </row>
    <row r="474">
      <c r="B474" s="6"/>
      <c r="E474" s="7"/>
      <c r="F474" s="7"/>
      <c r="G474" s="7"/>
      <c r="H474" s="7"/>
      <c r="I474" s="7"/>
    </row>
    <row r="475">
      <c r="B475" s="6"/>
      <c r="E475" s="7"/>
      <c r="F475" s="7"/>
      <c r="G475" s="7"/>
      <c r="H475" s="7"/>
      <c r="I475" s="7"/>
    </row>
    <row r="476">
      <c r="B476" s="6"/>
      <c r="E476" s="7"/>
      <c r="F476" s="7"/>
      <c r="G476" s="7"/>
      <c r="H476" s="7"/>
      <c r="I476" s="7"/>
    </row>
    <row r="477">
      <c r="B477" s="6"/>
      <c r="E477" s="7"/>
      <c r="F477" s="7"/>
      <c r="G477" s="7"/>
      <c r="H477" s="7"/>
      <c r="I477" s="7"/>
    </row>
    <row r="478">
      <c r="B478" s="6"/>
      <c r="E478" s="7"/>
      <c r="F478" s="7"/>
      <c r="G478" s="7"/>
      <c r="H478" s="7"/>
      <c r="I478" s="7"/>
    </row>
    <row r="479">
      <c r="B479" s="6"/>
      <c r="E479" s="7"/>
      <c r="F479" s="7"/>
      <c r="G479" s="7"/>
      <c r="H479" s="7"/>
      <c r="I479" s="7"/>
    </row>
    <row r="480">
      <c r="B480" s="6"/>
      <c r="E480" s="7"/>
      <c r="F480" s="7"/>
      <c r="G480" s="7"/>
      <c r="H480" s="7"/>
      <c r="I480" s="7"/>
    </row>
    <row r="481">
      <c r="B481" s="6"/>
      <c r="E481" s="7"/>
      <c r="F481" s="7"/>
      <c r="G481" s="7"/>
      <c r="H481" s="7"/>
      <c r="I481" s="7"/>
    </row>
    <row r="482">
      <c r="B482" s="6"/>
      <c r="E482" s="7"/>
      <c r="F482" s="7"/>
      <c r="G482" s="7"/>
      <c r="H482" s="7"/>
      <c r="I482" s="7"/>
    </row>
    <row r="483">
      <c r="B483" s="6"/>
      <c r="E483" s="7"/>
      <c r="F483" s="7"/>
      <c r="G483" s="7"/>
      <c r="H483" s="7"/>
      <c r="I483" s="7"/>
    </row>
    <row r="484">
      <c r="B484" s="6"/>
      <c r="E484" s="7"/>
      <c r="F484" s="7"/>
      <c r="G484" s="7"/>
      <c r="H484" s="7"/>
      <c r="I484" s="7"/>
    </row>
    <row r="485">
      <c r="B485" s="6"/>
      <c r="E485" s="7"/>
      <c r="F485" s="7"/>
      <c r="G485" s="7"/>
      <c r="H485" s="7"/>
      <c r="I485" s="7"/>
    </row>
    <row r="486">
      <c r="B486" s="6"/>
      <c r="E486" s="7"/>
      <c r="F486" s="7"/>
      <c r="G486" s="7"/>
      <c r="H486" s="7"/>
      <c r="I486" s="7"/>
    </row>
    <row r="487">
      <c r="B487" s="6"/>
      <c r="E487" s="7"/>
      <c r="F487" s="7"/>
      <c r="G487" s="7"/>
      <c r="H487" s="7"/>
      <c r="I487" s="7"/>
    </row>
    <row r="488">
      <c r="B488" s="6"/>
      <c r="E488" s="7"/>
      <c r="F488" s="7"/>
      <c r="G488" s="7"/>
      <c r="H488" s="7"/>
      <c r="I488" s="7"/>
    </row>
    <row r="489">
      <c r="B489" s="6"/>
      <c r="E489" s="7"/>
      <c r="F489" s="7"/>
      <c r="G489" s="7"/>
      <c r="H489" s="7"/>
      <c r="I489" s="7"/>
    </row>
    <row r="490">
      <c r="B490" s="6"/>
      <c r="E490" s="7"/>
      <c r="F490" s="7"/>
      <c r="G490" s="7"/>
      <c r="H490" s="7"/>
      <c r="I490" s="7"/>
    </row>
    <row r="491">
      <c r="B491" s="6"/>
      <c r="E491" s="7"/>
      <c r="F491" s="7"/>
      <c r="G491" s="7"/>
      <c r="H491" s="7"/>
      <c r="I491" s="7"/>
    </row>
    <row r="492">
      <c r="B492" s="6"/>
      <c r="E492" s="7"/>
      <c r="F492" s="7"/>
      <c r="G492" s="7"/>
      <c r="H492" s="7"/>
      <c r="I492" s="7"/>
    </row>
    <row r="493">
      <c r="B493" s="6"/>
      <c r="E493" s="7"/>
      <c r="F493" s="7"/>
      <c r="G493" s="7"/>
      <c r="H493" s="7"/>
      <c r="I493" s="7"/>
    </row>
    <row r="494">
      <c r="B494" s="6"/>
      <c r="E494" s="7"/>
      <c r="F494" s="7"/>
      <c r="G494" s="7"/>
      <c r="H494" s="7"/>
      <c r="I494" s="7"/>
    </row>
    <row r="495">
      <c r="B495" s="6"/>
      <c r="E495" s="7"/>
      <c r="F495" s="7"/>
      <c r="G495" s="7"/>
      <c r="H495" s="7"/>
      <c r="I495" s="7"/>
    </row>
    <row r="496">
      <c r="B496" s="6"/>
      <c r="E496" s="7"/>
      <c r="F496" s="7"/>
      <c r="G496" s="7"/>
      <c r="H496" s="7"/>
      <c r="I496" s="7"/>
    </row>
    <row r="497">
      <c r="B497" s="6"/>
      <c r="E497" s="7"/>
      <c r="F497" s="7"/>
      <c r="G497" s="7"/>
      <c r="H497" s="7"/>
      <c r="I497" s="7"/>
    </row>
    <row r="498">
      <c r="B498" s="6"/>
      <c r="E498" s="7"/>
      <c r="F498" s="7"/>
      <c r="G498" s="7"/>
      <c r="H498" s="7"/>
      <c r="I498" s="7"/>
    </row>
    <row r="499">
      <c r="B499" s="6"/>
      <c r="E499" s="7"/>
      <c r="F499" s="7"/>
      <c r="G499" s="7"/>
      <c r="H499" s="7"/>
      <c r="I499" s="7"/>
    </row>
    <row r="500">
      <c r="B500" s="6"/>
      <c r="E500" s="7"/>
      <c r="F500" s="7"/>
      <c r="G500" s="7"/>
      <c r="H500" s="7"/>
      <c r="I500" s="7"/>
    </row>
    <row r="501">
      <c r="B501" s="6"/>
      <c r="E501" s="7"/>
      <c r="F501" s="7"/>
      <c r="G501" s="7"/>
      <c r="H501" s="7"/>
      <c r="I501" s="7"/>
    </row>
    <row r="502">
      <c r="B502" s="6"/>
      <c r="E502" s="7"/>
      <c r="F502" s="7"/>
      <c r="G502" s="7"/>
      <c r="H502" s="7"/>
      <c r="I502" s="7"/>
    </row>
    <row r="503">
      <c r="B503" s="6"/>
      <c r="E503" s="7"/>
      <c r="F503" s="7"/>
      <c r="G503" s="7"/>
      <c r="H503" s="7"/>
      <c r="I503" s="7"/>
    </row>
    <row r="504">
      <c r="B504" s="6"/>
      <c r="E504" s="7"/>
      <c r="F504" s="7"/>
      <c r="G504" s="7"/>
      <c r="H504" s="7"/>
      <c r="I504" s="7"/>
    </row>
    <row r="505">
      <c r="B505" s="6"/>
      <c r="E505" s="7"/>
      <c r="F505" s="7"/>
      <c r="G505" s="7"/>
      <c r="H505" s="7"/>
      <c r="I505" s="7"/>
    </row>
    <row r="506">
      <c r="B506" s="6"/>
      <c r="E506" s="7"/>
      <c r="F506" s="7"/>
      <c r="G506" s="7"/>
      <c r="H506" s="7"/>
      <c r="I506" s="7"/>
    </row>
    <row r="507">
      <c r="B507" s="6"/>
      <c r="E507" s="7"/>
      <c r="F507" s="7"/>
      <c r="G507" s="7"/>
      <c r="H507" s="7"/>
      <c r="I507" s="7"/>
    </row>
    <row r="508">
      <c r="B508" s="6"/>
      <c r="E508" s="7"/>
      <c r="F508" s="7"/>
      <c r="G508" s="7"/>
      <c r="H508" s="7"/>
      <c r="I508" s="7"/>
    </row>
    <row r="509">
      <c r="B509" s="6"/>
      <c r="E509" s="7"/>
      <c r="F509" s="7"/>
      <c r="G509" s="7"/>
      <c r="H509" s="7"/>
      <c r="I509" s="7"/>
    </row>
    <row r="510">
      <c r="B510" s="6"/>
      <c r="E510" s="7"/>
      <c r="F510" s="7"/>
      <c r="G510" s="7"/>
      <c r="H510" s="7"/>
      <c r="I510" s="7"/>
    </row>
    <row r="511">
      <c r="B511" s="6"/>
      <c r="E511" s="7"/>
      <c r="F511" s="7"/>
      <c r="G511" s="7"/>
      <c r="H511" s="7"/>
      <c r="I511" s="7"/>
    </row>
    <row r="512">
      <c r="B512" s="6"/>
      <c r="E512" s="7"/>
      <c r="F512" s="7"/>
      <c r="G512" s="7"/>
      <c r="H512" s="7"/>
      <c r="I512" s="7"/>
    </row>
    <row r="513">
      <c r="B513" s="6"/>
      <c r="E513" s="7"/>
      <c r="F513" s="7"/>
      <c r="G513" s="7"/>
      <c r="H513" s="7"/>
      <c r="I513" s="7"/>
    </row>
    <row r="514">
      <c r="B514" s="6"/>
      <c r="E514" s="7"/>
      <c r="F514" s="7"/>
      <c r="G514" s="7"/>
      <c r="H514" s="7"/>
      <c r="I514" s="7"/>
    </row>
    <row r="515">
      <c r="B515" s="6"/>
      <c r="E515" s="7"/>
      <c r="F515" s="7"/>
      <c r="G515" s="7"/>
      <c r="H515" s="7"/>
      <c r="I515" s="7"/>
    </row>
    <row r="516">
      <c r="B516" s="6"/>
      <c r="E516" s="7"/>
      <c r="F516" s="7"/>
      <c r="G516" s="7"/>
      <c r="H516" s="7"/>
      <c r="I516" s="7"/>
    </row>
    <row r="517">
      <c r="B517" s="6"/>
      <c r="E517" s="7"/>
      <c r="F517" s="7"/>
      <c r="G517" s="7"/>
      <c r="H517" s="7"/>
      <c r="I517" s="7"/>
    </row>
    <row r="518">
      <c r="B518" s="6"/>
      <c r="E518" s="7"/>
      <c r="F518" s="7"/>
      <c r="G518" s="7"/>
      <c r="H518" s="7"/>
      <c r="I518" s="7"/>
    </row>
    <row r="519">
      <c r="B519" s="6"/>
      <c r="E519" s="7"/>
      <c r="F519" s="7"/>
      <c r="G519" s="7"/>
      <c r="H519" s="7"/>
      <c r="I519" s="7"/>
    </row>
    <row r="520">
      <c r="B520" s="6"/>
      <c r="E520" s="7"/>
      <c r="F520" s="7"/>
      <c r="G520" s="7"/>
      <c r="H520" s="7"/>
      <c r="I520" s="7"/>
    </row>
    <row r="521">
      <c r="B521" s="6"/>
      <c r="E521" s="7"/>
      <c r="F521" s="7"/>
      <c r="G521" s="7"/>
      <c r="H521" s="7"/>
      <c r="I521" s="7"/>
    </row>
    <row r="522">
      <c r="B522" s="6"/>
      <c r="E522" s="7"/>
      <c r="F522" s="7"/>
      <c r="G522" s="7"/>
      <c r="H522" s="7"/>
      <c r="I522" s="7"/>
    </row>
    <row r="523">
      <c r="B523" s="6"/>
      <c r="E523" s="7"/>
      <c r="F523" s="7"/>
      <c r="G523" s="7"/>
      <c r="H523" s="7"/>
      <c r="I523" s="7"/>
    </row>
    <row r="524">
      <c r="B524" s="6"/>
      <c r="E524" s="7"/>
      <c r="F524" s="7"/>
      <c r="G524" s="7"/>
      <c r="H524" s="7"/>
      <c r="I524" s="7"/>
    </row>
    <row r="525">
      <c r="B525" s="6"/>
      <c r="E525" s="7"/>
      <c r="F525" s="7"/>
      <c r="G525" s="7"/>
      <c r="H525" s="7"/>
      <c r="I525" s="7"/>
    </row>
    <row r="526">
      <c r="B526" s="6"/>
      <c r="E526" s="7"/>
      <c r="F526" s="7"/>
      <c r="G526" s="7"/>
      <c r="H526" s="7"/>
      <c r="I526" s="7"/>
    </row>
    <row r="527">
      <c r="B527" s="6"/>
      <c r="E527" s="7"/>
      <c r="F527" s="7"/>
      <c r="G527" s="7"/>
      <c r="H527" s="7"/>
      <c r="I527" s="7"/>
    </row>
    <row r="528">
      <c r="B528" s="6"/>
      <c r="E528" s="7"/>
      <c r="F528" s="7"/>
      <c r="G528" s="7"/>
      <c r="H528" s="7"/>
      <c r="I528" s="7"/>
    </row>
    <row r="529">
      <c r="B529" s="6"/>
      <c r="E529" s="7"/>
      <c r="F529" s="7"/>
      <c r="G529" s="7"/>
      <c r="H529" s="7"/>
      <c r="I529" s="7"/>
    </row>
    <row r="530">
      <c r="B530" s="6"/>
      <c r="E530" s="7"/>
      <c r="F530" s="7"/>
      <c r="G530" s="7"/>
      <c r="H530" s="7"/>
      <c r="I530" s="7"/>
    </row>
    <row r="531">
      <c r="B531" s="6"/>
      <c r="E531" s="7"/>
      <c r="F531" s="7"/>
      <c r="G531" s="7"/>
      <c r="H531" s="7"/>
      <c r="I531" s="7"/>
    </row>
    <row r="532">
      <c r="B532" s="6"/>
      <c r="E532" s="7"/>
      <c r="F532" s="7"/>
      <c r="G532" s="7"/>
      <c r="H532" s="7"/>
      <c r="I532" s="7"/>
    </row>
    <row r="533">
      <c r="B533" s="6"/>
      <c r="E533" s="7"/>
      <c r="F533" s="7"/>
      <c r="G533" s="7"/>
      <c r="H533" s="7"/>
      <c r="I533" s="7"/>
    </row>
    <row r="534">
      <c r="B534" s="6"/>
      <c r="E534" s="7"/>
      <c r="F534" s="7"/>
      <c r="G534" s="7"/>
      <c r="H534" s="7"/>
      <c r="I534" s="7"/>
    </row>
    <row r="535">
      <c r="B535" s="6"/>
      <c r="E535" s="7"/>
      <c r="F535" s="7"/>
      <c r="G535" s="7"/>
      <c r="H535" s="7"/>
      <c r="I535" s="7"/>
    </row>
    <row r="536">
      <c r="B536" s="6"/>
      <c r="E536" s="7"/>
      <c r="F536" s="7"/>
      <c r="G536" s="7"/>
      <c r="H536" s="7"/>
      <c r="I536" s="7"/>
    </row>
    <row r="537">
      <c r="B537" s="6"/>
      <c r="E537" s="7"/>
      <c r="F537" s="7"/>
      <c r="G537" s="7"/>
      <c r="H537" s="7"/>
      <c r="I537" s="7"/>
    </row>
    <row r="538">
      <c r="B538" s="6"/>
      <c r="E538" s="7"/>
      <c r="F538" s="7"/>
      <c r="G538" s="7"/>
      <c r="H538" s="7"/>
      <c r="I538" s="7"/>
    </row>
    <row r="539">
      <c r="B539" s="6"/>
      <c r="E539" s="7"/>
      <c r="F539" s="7"/>
      <c r="G539" s="7"/>
      <c r="H539" s="7"/>
      <c r="I539" s="7"/>
    </row>
    <row r="540">
      <c r="B540" s="6"/>
      <c r="E540" s="7"/>
      <c r="F540" s="7"/>
      <c r="G540" s="7"/>
      <c r="H540" s="7"/>
      <c r="I540" s="7"/>
    </row>
    <row r="541">
      <c r="B541" s="6"/>
      <c r="E541" s="7"/>
      <c r="F541" s="7"/>
      <c r="G541" s="7"/>
      <c r="H541" s="7"/>
      <c r="I541" s="7"/>
    </row>
    <row r="542">
      <c r="B542" s="6"/>
      <c r="E542" s="7"/>
      <c r="F542" s="7"/>
      <c r="G542" s="7"/>
      <c r="H542" s="7"/>
      <c r="I542" s="7"/>
    </row>
    <row r="543">
      <c r="B543" s="6"/>
      <c r="E543" s="7"/>
      <c r="F543" s="7"/>
      <c r="G543" s="7"/>
      <c r="H543" s="7"/>
      <c r="I543" s="7"/>
    </row>
    <row r="544">
      <c r="B544" s="6"/>
      <c r="E544" s="7"/>
      <c r="F544" s="7"/>
      <c r="G544" s="7"/>
      <c r="H544" s="7"/>
      <c r="I544" s="7"/>
    </row>
    <row r="545">
      <c r="B545" s="6"/>
      <c r="E545" s="7"/>
      <c r="F545" s="7"/>
      <c r="G545" s="7"/>
      <c r="H545" s="7"/>
      <c r="I545" s="7"/>
    </row>
    <row r="546">
      <c r="B546" s="6"/>
      <c r="E546" s="7"/>
      <c r="F546" s="7"/>
      <c r="G546" s="7"/>
      <c r="H546" s="7"/>
      <c r="I546" s="7"/>
    </row>
    <row r="547">
      <c r="B547" s="6"/>
      <c r="E547" s="7"/>
      <c r="F547" s="7"/>
      <c r="G547" s="7"/>
      <c r="H547" s="7"/>
      <c r="I547" s="7"/>
    </row>
    <row r="548">
      <c r="B548" s="6"/>
      <c r="E548" s="7"/>
      <c r="F548" s="7"/>
      <c r="G548" s="7"/>
      <c r="H548" s="7"/>
      <c r="I548" s="7"/>
    </row>
    <row r="549">
      <c r="B549" s="6"/>
      <c r="E549" s="7"/>
      <c r="F549" s="7"/>
      <c r="G549" s="7"/>
      <c r="H549" s="7"/>
      <c r="I549" s="7"/>
    </row>
    <row r="550">
      <c r="B550" s="6"/>
      <c r="E550" s="7"/>
      <c r="F550" s="7"/>
      <c r="G550" s="7"/>
      <c r="H550" s="7"/>
      <c r="I550" s="7"/>
    </row>
    <row r="551">
      <c r="B551" s="6"/>
      <c r="E551" s="7"/>
      <c r="F551" s="7"/>
      <c r="G551" s="7"/>
      <c r="H551" s="7"/>
      <c r="I551" s="7"/>
    </row>
    <row r="552">
      <c r="B552" s="6"/>
      <c r="E552" s="7"/>
      <c r="F552" s="7"/>
      <c r="G552" s="7"/>
      <c r="H552" s="7"/>
      <c r="I552" s="7"/>
    </row>
    <row r="553">
      <c r="B553" s="6"/>
      <c r="E553" s="7"/>
      <c r="F553" s="7"/>
      <c r="G553" s="7"/>
      <c r="H553" s="7"/>
      <c r="I553" s="7"/>
    </row>
    <row r="554">
      <c r="B554" s="6"/>
      <c r="E554" s="7"/>
      <c r="F554" s="7"/>
      <c r="G554" s="7"/>
      <c r="H554" s="7"/>
      <c r="I554" s="7"/>
    </row>
    <row r="555">
      <c r="B555" s="6"/>
      <c r="E555" s="7"/>
      <c r="F555" s="7"/>
      <c r="G555" s="7"/>
      <c r="H555" s="7"/>
      <c r="I555" s="7"/>
    </row>
    <row r="556">
      <c r="B556" s="6"/>
      <c r="E556" s="7"/>
      <c r="F556" s="7"/>
      <c r="G556" s="7"/>
      <c r="H556" s="7"/>
      <c r="I556" s="7"/>
    </row>
    <row r="557">
      <c r="B557" s="6"/>
      <c r="E557" s="7"/>
      <c r="F557" s="7"/>
      <c r="G557" s="7"/>
      <c r="H557" s="7"/>
      <c r="I557" s="7"/>
    </row>
    <row r="558">
      <c r="B558" s="6"/>
      <c r="E558" s="7"/>
      <c r="F558" s="7"/>
      <c r="G558" s="7"/>
      <c r="H558" s="7"/>
      <c r="I558" s="7"/>
    </row>
    <row r="559">
      <c r="B559" s="6"/>
      <c r="E559" s="7"/>
      <c r="F559" s="7"/>
      <c r="G559" s="7"/>
      <c r="H559" s="7"/>
      <c r="I559" s="7"/>
    </row>
    <row r="560">
      <c r="B560" s="6"/>
      <c r="E560" s="7"/>
      <c r="F560" s="7"/>
      <c r="G560" s="7"/>
      <c r="H560" s="7"/>
      <c r="I560" s="7"/>
    </row>
    <row r="561">
      <c r="B561" s="6"/>
      <c r="E561" s="7"/>
      <c r="F561" s="7"/>
      <c r="G561" s="7"/>
      <c r="H561" s="7"/>
      <c r="I561" s="7"/>
    </row>
    <row r="562">
      <c r="B562" s="6"/>
      <c r="E562" s="7"/>
      <c r="F562" s="7"/>
      <c r="G562" s="7"/>
      <c r="H562" s="7"/>
      <c r="I562" s="7"/>
    </row>
    <row r="563">
      <c r="B563" s="6"/>
      <c r="E563" s="7"/>
      <c r="F563" s="7"/>
      <c r="G563" s="7"/>
      <c r="H563" s="7"/>
      <c r="I563" s="7"/>
    </row>
    <row r="564">
      <c r="B564" s="6"/>
      <c r="E564" s="7"/>
      <c r="F564" s="7"/>
      <c r="G564" s="7"/>
      <c r="H564" s="7"/>
      <c r="I564" s="7"/>
    </row>
    <row r="565">
      <c r="B565" s="6"/>
      <c r="E565" s="7"/>
      <c r="F565" s="7"/>
      <c r="G565" s="7"/>
      <c r="H565" s="7"/>
      <c r="I565" s="7"/>
    </row>
    <row r="566">
      <c r="B566" s="6"/>
      <c r="E566" s="7"/>
      <c r="F566" s="7"/>
      <c r="G566" s="7"/>
      <c r="H566" s="7"/>
      <c r="I566" s="7"/>
    </row>
    <row r="567">
      <c r="B567" s="6"/>
      <c r="E567" s="7"/>
      <c r="F567" s="7"/>
      <c r="G567" s="7"/>
      <c r="H567" s="7"/>
      <c r="I567" s="7"/>
    </row>
    <row r="568">
      <c r="B568" s="6"/>
      <c r="E568" s="7"/>
      <c r="F568" s="7"/>
      <c r="G568" s="7"/>
      <c r="H568" s="7"/>
      <c r="I568" s="7"/>
    </row>
    <row r="569">
      <c r="B569" s="6"/>
      <c r="E569" s="7"/>
      <c r="F569" s="7"/>
      <c r="G569" s="7"/>
      <c r="H569" s="7"/>
      <c r="I569" s="7"/>
    </row>
    <row r="570">
      <c r="B570" s="6"/>
      <c r="E570" s="7"/>
      <c r="F570" s="7"/>
      <c r="G570" s="7"/>
      <c r="H570" s="7"/>
      <c r="I570" s="7"/>
    </row>
    <row r="571">
      <c r="B571" s="6"/>
      <c r="E571" s="7"/>
      <c r="F571" s="7"/>
      <c r="G571" s="7"/>
      <c r="H571" s="7"/>
      <c r="I571" s="7"/>
    </row>
    <row r="572">
      <c r="B572" s="6"/>
      <c r="E572" s="7"/>
      <c r="F572" s="7"/>
      <c r="G572" s="7"/>
      <c r="H572" s="7"/>
      <c r="I572" s="7"/>
    </row>
    <row r="573">
      <c r="B573" s="6"/>
      <c r="E573" s="7"/>
      <c r="F573" s="7"/>
      <c r="G573" s="7"/>
      <c r="H573" s="7"/>
      <c r="I573" s="7"/>
    </row>
    <row r="574">
      <c r="B574" s="6"/>
      <c r="E574" s="7"/>
      <c r="F574" s="7"/>
      <c r="G574" s="7"/>
      <c r="H574" s="7"/>
      <c r="I574" s="7"/>
    </row>
    <row r="575">
      <c r="B575" s="6"/>
      <c r="E575" s="7"/>
      <c r="F575" s="7"/>
      <c r="G575" s="7"/>
      <c r="H575" s="7"/>
      <c r="I575" s="7"/>
    </row>
    <row r="576">
      <c r="B576" s="6"/>
      <c r="E576" s="7"/>
      <c r="F576" s="7"/>
      <c r="G576" s="7"/>
      <c r="H576" s="7"/>
      <c r="I576" s="7"/>
    </row>
    <row r="577">
      <c r="B577" s="6"/>
      <c r="E577" s="7"/>
      <c r="F577" s="7"/>
      <c r="G577" s="7"/>
      <c r="H577" s="7"/>
      <c r="I577" s="7"/>
    </row>
    <row r="578">
      <c r="B578" s="6"/>
      <c r="E578" s="7"/>
      <c r="F578" s="7"/>
      <c r="G578" s="7"/>
      <c r="H578" s="7"/>
      <c r="I578" s="7"/>
    </row>
    <row r="579">
      <c r="B579" s="6"/>
      <c r="E579" s="7"/>
      <c r="F579" s="7"/>
      <c r="G579" s="7"/>
      <c r="H579" s="7"/>
      <c r="I579" s="7"/>
    </row>
    <row r="580">
      <c r="B580" s="6"/>
      <c r="E580" s="7"/>
      <c r="F580" s="7"/>
      <c r="G580" s="7"/>
      <c r="H580" s="7"/>
      <c r="I580" s="7"/>
    </row>
    <row r="581">
      <c r="B581" s="6"/>
      <c r="E581" s="7"/>
      <c r="F581" s="7"/>
      <c r="G581" s="7"/>
      <c r="H581" s="7"/>
      <c r="I581" s="7"/>
    </row>
    <row r="582">
      <c r="B582" s="6"/>
      <c r="E582" s="7"/>
      <c r="F582" s="7"/>
      <c r="G582" s="7"/>
      <c r="H582" s="7"/>
      <c r="I582" s="7"/>
    </row>
    <row r="583">
      <c r="B583" s="6"/>
      <c r="E583" s="7"/>
      <c r="F583" s="7"/>
      <c r="G583" s="7"/>
      <c r="H583" s="7"/>
      <c r="I583" s="7"/>
    </row>
    <row r="584">
      <c r="B584" s="6"/>
      <c r="E584" s="7"/>
      <c r="F584" s="7"/>
      <c r="G584" s="7"/>
      <c r="H584" s="7"/>
      <c r="I584" s="7"/>
    </row>
    <row r="585">
      <c r="B585" s="6"/>
      <c r="E585" s="7"/>
      <c r="F585" s="7"/>
      <c r="G585" s="7"/>
      <c r="H585" s="7"/>
      <c r="I585" s="7"/>
    </row>
    <row r="586">
      <c r="B586" s="6"/>
      <c r="E586" s="7"/>
      <c r="F586" s="7"/>
      <c r="G586" s="7"/>
      <c r="H586" s="7"/>
      <c r="I586" s="7"/>
    </row>
    <row r="587">
      <c r="B587" s="6"/>
      <c r="E587" s="7"/>
      <c r="F587" s="7"/>
      <c r="G587" s="7"/>
      <c r="H587" s="7"/>
      <c r="I587" s="7"/>
    </row>
    <row r="588">
      <c r="B588" s="6"/>
      <c r="E588" s="7"/>
      <c r="F588" s="7"/>
      <c r="G588" s="7"/>
      <c r="H588" s="7"/>
      <c r="I588" s="7"/>
    </row>
    <row r="589">
      <c r="B589" s="6"/>
      <c r="E589" s="7"/>
      <c r="F589" s="7"/>
      <c r="G589" s="7"/>
      <c r="H589" s="7"/>
      <c r="I589" s="7"/>
    </row>
    <row r="590">
      <c r="B590" s="6"/>
      <c r="E590" s="7"/>
      <c r="F590" s="7"/>
      <c r="G590" s="7"/>
      <c r="H590" s="7"/>
      <c r="I590" s="7"/>
    </row>
    <row r="591">
      <c r="B591" s="6"/>
      <c r="E591" s="7"/>
      <c r="F591" s="7"/>
      <c r="G591" s="7"/>
      <c r="H591" s="7"/>
      <c r="I591" s="7"/>
    </row>
    <row r="592">
      <c r="B592" s="6"/>
      <c r="E592" s="7"/>
      <c r="F592" s="7"/>
      <c r="G592" s="7"/>
      <c r="H592" s="7"/>
      <c r="I592" s="7"/>
    </row>
    <row r="593">
      <c r="B593" s="6"/>
      <c r="E593" s="7"/>
      <c r="F593" s="7"/>
      <c r="G593" s="7"/>
      <c r="H593" s="7"/>
      <c r="I593" s="7"/>
    </row>
    <row r="594">
      <c r="B594" s="6"/>
      <c r="E594" s="7"/>
      <c r="F594" s="7"/>
      <c r="G594" s="7"/>
      <c r="H594" s="7"/>
      <c r="I594" s="7"/>
    </row>
    <row r="595">
      <c r="B595" s="6"/>
      <c r="E595" s="7"/>
      <c r="F595" s="7"/>
      <c r="G595" s="7"/>
      <c r="H595" s="7"/>
      <c r="I595" s="7"/>
    </row>
    <row r="596">
      <c r="B596" s="6"/>
      <c r="E596" s="7"/>
      <c r="F596" s="7"/>
      <c r="G596" s="7"/>
      <c r="H596" s="7"/>
      <c r="I596" s="7"/>
    </row>
    <row r="597">
      <c r="B597" s="6"/>
      <c r="E597" s="7"/>
      <c r="F597" s="7"/>
      <c r="G597" s="7"/>
      <c r="H597" s="7"/>
      <c r="I597" s="7"/>
    </row>
    <row r="598">
      <c r="B598" s="6"/>
      <c r="E598" s="7"/>
      <c r="F598" s="7"/>
      <c r="G598" s="7"/>
      <c r="H598" s="7"/>
      <c r="I598" s="7"/>
    </row>
    <row r="599">
      <c r="B599" s="6"/>
      <c r="E599" s="7"/>
      <c r="F599" s="7"/>
      <c r="G599" s="7"/>
      <c r="H599" s="7"/>
      <c r="I599" s="7"/>
    </row>
    <row r="600">
      <c r="B600" s="6"/>
      <c r="E600" s="7"/>
      <c r="F600" s="7"/>
      <c r="G600" s="7"/>
      <c r="H600" s="7"/>
      <c r="I600" s="7"/>
    </row>
    <row r="601">
      <c r="B601" s="6"/>
      <c r="E601" s="7"/>
      <c r="F601" s="7"/>
      <c r="G601" s="7"/>
      <c r="H601" s="7"/>
      <c r="I601" s="7"/>
    </row>
    <row r="602">
      <c r="B602" s="6"/>
      <c r="E602" s="7"/>
      <c r="F602" s="7"/>
      <c r="G602" s="7"/>
      <c r="H602" s="7"/>
      <c r="I602" s="7"/>
    </row>
    <row r="603">
      <c r="B603" s="6"/>
      <c r="E603" s="7"/>
      <c r="F603" s="7"/>
      <c r="G603" s="7"/>
      <c r="H603" s="7"/>
      <c r="I603" s="7"/>
    </row>
    <row r="604">
      <c r="B604" s="6"/>
      <c r="E604" s="7"/>
      <c r="F604" s="7"/>
      <c r="G604" s="7"/>
      <c r="H604" s="7"/>
      <c r="I604" s="7"/>
    </row>
    <row r="605">
      <c r="B605" s="6"/>
      <c r="E605" s="7"/>
      <c r="F605" s="7"/>
      <c r="G605" s="7"/>
      <c r="H605" s="7"/>
      <c r="I605" s="7"/>
    </row>
    <row r="606">
      <c r="B606" s="6"/>
      <c r="E606" s="7"/>
      <c r="F606" s="7"/>
      <c r="G606" s="7"/>
      <c r="H606" s="7"/>
      <c r="I606" s="7"/>
    </row>
    <row r="607">
      <c r="B607" s="6"/>
      <c r="E607" s="7"/>
      <c r="F607" s="7"/>
      <c r="G607" s="7"/>
      <c r="H607" s="7"/>
      <c r="I607" s="7"/>
    </row>
    <row r="608">
      <c r="B608" s="6"/>
      <c r="E608" s="7"/>
      <c r="F608" s="7"/>
      <c r="G608" s="7"/>
      <c r="H608" s="7"/>
      <c r="I608" s="7"/>
    </row>
    <row r="609">
      <c r="B609" s="6"/>
      <c r="E609" s="7"/>
      <c r="F609" s="7"/>
      <c r="G609" s="7"/>
      <c r="H609" s="7"/>
      <c r="I609" s="7"/>
    </row>
    <row r="610">
      <c r="B610" s="6"/>
      <c r="E610" s="7"/>
      <c r="F610" s="7"/>
      <c r="G610" s="7"/>
      <c r="H610" s="7"/>
      <c r="I610" s="7"/>
    </row>
    <row r="611">
      <c r="B611" s="6"/>
      <c r="E611" s="7"/>
      <c r="F611" s="7"/>
      <c r="G611" s="7"/>
      <c r="H611" s="7"/>
      <c r="I611" s="7"/>
    </row>
    <row r="612">
      <c r="B612" s="6"/>
      <c r="E612" s="7"/>
      <c r="F612" s="7"/>
      <c r="G612" s="7"/>
      <c r="H612" s="7"/>
      <c r="I612" s="7"/>
    </row>
    <row r="613">
      <c r="B613" s="6"/>
      <c r="E613" s="7"/>
      <c r="F613" s="7"/>
      <c r="G613" s="7"/>
      <c r="H613" s="7"/>
      <c r="I613" s="7"/>
    </row>
    <row r="614">
      <c r="B614" s="6"/>
      <c r="E614" s="7"/>
      <c r="F614" s="7"/>
      <c r="G614" s="7"/>
      <c r="H614" s="7"/>
      <c r="I614" s="7"/>
    </row>
    <row r="615">
      <c r="B615" s="6"/>
      <c r="E615" s="7"/>
      <c r="F615" s="7"/>
      <c r="G615" s="7"/>
      <c r="H615" s="7"/>
      <c r="I615" s="7"/>
    </row>
    <row r="616">
      <c r="B616" s="6"/>
      <c r="E616" s="7"/>
      <c r="F616" s="7"/>
      <c r="G616" s="7"/>
      <c r="H616" s="7"/>
      <c r="I616" s="7"/>
    </row>
    <row r="617">
      <c r="B617" s="6"/>
      <c r="E617" s="7"/>
      <c r="F617" s="7"/>
      <c r="G617" s="7"/>
      <c r="H617" s="7"/>
      <c r="I617" s="7"/>
    </row>
    <row r="618">
      <c r="B618" s="6"/>
      <c r="E618" s="7"/>
      <c r="F618" s="7"/>
      <c r="G618" s="7"/>
      <c r="H618" s="7"/>
      <c r="I618" s="7"/>
    </row>
    <row r="619">
      <c r="B619" s="6"/>
      <c r="E619" s="7"/>
      <c r="F619" s="7"/>
      <c r="G619" s="7"/>
      <c r="H619" s="7"/>
      <c r="I619" s="7"/>
    </row>
    <row r="620">
      <c r="B620" s="6"/>
      <c r="E620" s="7"/>
      <c r="F620" s="7"/>
      <c r="G620" s="7"/>
      <c r="H620" s="7"/>
      <c r="I620" s="7"/>
    </row>
    <row r="621">
      <c r="B621" s="6"/>
      <c r="E621" s="7"/>
      <c r="F621" s="7"/>
      <c r="G621" s="7"/>
      <c r="H621" s="7"/>
      <c r="I621" s="7"/>
    </row>
    <row r="622">
      <c r="B622" s="6"/>
      <c r="E622" s="7"/>
      <c r="F622" s="7"/>
      <c r="G622" s="7"/>
      <c r="H622" s="7"/>
      <c r="I622" s="7"/>
    </row>
    <row r="623">
      <c r="B623" s="6"/>
      <c r="E623" s="7"/>
      <c r="F623" s="7"/>
      <c r="G623" s="7"/>
      <c r="H623" s="7"/>
      <c r="I623" s="7"/>
    </row>
    <row r="624">
      <c r="B624" s="6"/>
      <c r="E624" s="7"/>
      <c r="F624" s="7"/>
      <c r="G624" s="7"/>
      <c r="H624" s="7"/>
      <c r="I624" s="7"/>
    </row>
    <row r="625">
      <c r="B625" s="6"/>
      <c r="E625" s="7"/>
      <c r="F625" s="7"/>
      <c r="G625" s="7"/>
      <c r="H625" s="7"/>
      <c r="I625" s="7"/>
    </row>
    <row r="626">
      <c r="B626" s="6"/>
      <c r="E626" s="7"/>
      <c r="F626" s="7"/>
      <c r="G626" s="7"/>
      <c r="H626" s="7"/>
      <c r="I626" s="7"/>
    </row>
    <row r="627">
      <c r="B627" s="6"/>
      <c r="E627" s="7"/>
      <c r="F627" s="7"/>
      <c r="G627" s="7"/>
      <c r="H627" s="7"/>
      <c r="I627" s="7"/>
    </row>
    <row r="628">
      <c r="B628" s="6"/>
      <c r="E628" s="7"/>
      <c r="F628" s="7"/>
      <c r="G628" s="7"/>
      <c r="H628" s="7"/>
      <c r="I628" s="7"/>
    </row>
    <row r="629">
      <c r="B629" s="6"/>
      <c r="E629" s="7"/>
      <c r="F629" s="7"/>
      <c r="G629" s="7"/>
      <c r="H629" s="7"/>
      <c r="I629" s="7"/>
    </row>
    <row r="630">
      <c r="B630" s="6"/>
      <c r="E630" s="7"/>
      <c r="F630" s="7"/>
      <c r="G630" s="7"/>
      <c r="H630" s="7"/>
      <c r="I630" s="7"/>
    </row>
    <row r="631">
      <c r="B631" s="6"/>
      <c r="E631" s="7"/>
      <c r="F631" s="7"/>
      <c r="G631" s="7"/>
      <c r="H631" s="7"/>
      <c r="I631" s="7"/>
    </row>
    <row r="632">
      <c r="B632" s="6"/>
      <c r="E632" s="7"/>
      <c r="F632" s="7"/>
      <c r="G632" s="7"/>
      <c r="H632" s="7"/>
      <c r="I632" s="7"/>
    </row>
    <row r="633">
      <c r="B633" s="6"/>
      <c r="E633" s="7"/>
      <c r="F633" s="7"/>
      <c r="G633" s="7"/>
      <c r="H633" s="7"/>
      <c r="I633" s="7"/>
    </row>
    <row r="634">
      <c r="B634" s="6"/>
      <c r="E634" s="7"/>
      <c r="F634" s="7"/>
      <c r="G634" s="7"/>
      <c r="H634" s="7"/>
      <c r="I634" s="7"/>
    </row>
    <row r="635">
      <c r="B635" s="6"/>
      <c r="E635" s="7"/>
      <c r="F635" s="7"/>
      <c r="G635" s="7"/>
      <c r="H635" s="7"/>
      <c r="I635" s="7"/>
    </row>
    <row r="636">
      <c r="B636" s="6"/>
      <c r="E636" s="7"/>
      <c r="F636" s="7"/>
      <c r="G636" s="7"/>
      <c r="H636" s="7"/>
      <c r="I636" s="7"/>
    </row>
    <row r="637">
      <c r="B637" s="6"/>
      <c r="E637" s="7"/>
      <c r="F637" s="7"/>
      <c r="G637" s="7"/>
      <c r="H637" s="7"/>
      <c r="I637" s="7"/>
    </row>
    <row r="638">
      <c r="B638" s="6"/>
      <c r="E638" s="7"/>
      <c r="F638" s="7"/>
      <c r="G638" s="7"/>
      <c r="H638" s="7"/>
      <c r="I638" s="7"/>
    </row>
    <row r="639">
      <c r="B639" s="6"/>
      <c r="E639" s="7"/>
      <c r="F639" s="7"/>
      <c r="G639" s="7"/>
      <c r="H639" s="7"/>
      <c r="I639" s="7"/>
    </row>
    <row r="640">
      <c r="B640" s="6"/>
      <c r="E640" s="7"/>
      <c r="F640" s="7"/>
      <c r="G640" s="7"/>
      <c r="H640" s="7"/>
      <c r="I640" s="7"/>
    </row>
    <row r="641">
      <c r="B641" s="6"/>
      <c r="E641" s="7"/>
      <c r="F641" s="7"/>
      <c r="G641" s="7"/>
      <c r="H641" s="7"/>
      <c r="I641" s="7"/>
    </row>
    <row r="642">
      <c r="B642" s="6"/>
      <c r="E642" s="7"/>
      <c r="F642" s="7"/>
      <c r="G642" s="7"/>
      <c r="H642" s="7"/>
      <c r="I642" s="7"/>
    </row>
    <row r="643">
      <c r="B643" s="6"/>
      <c r="E643" s="7"/>
      <c r="F643" s="7"/>
      <c r="G643" s="7"/>
      <c r="H643" s="7"/>
      <c r="I643" s="7"/>
    </row>
    <row r="644">
      <c r="B644" s="6"/>
      <c r="E644" s="7"/>
      <c r="F644" s="7"/>
      <c r="G644" s="7"/>
      <c r="H644" s="7"/>
      <c r="I644" s="7"/>
    </row>
    <row r="645">
      <c r="B645" s="6"/>
      <c r="E645" s="7"/>
      <c r="F645" s="7"/>
      <c r="G645" s="7"/>
      <c r="H645" s="7"/>
      <c r="I645" s="7"/>
    </row>
    <row r="646">
      <c r="B646" s="6"/>
      <c r="E646" s="7"/>
      <c r="F646" s="7"/>
      <c r="G646" s="7"/>
      <c r="H646" s="7"/>
      <c r="I646" s="7"/>
    </row>
    <row r="647">
      <c r="B647" s="6"/>
      <c r="E647" s="7"/>
      <c r="F647" s="7"/>
      <c r="G647" s="7"/>
      <c r="H647" s="7"/>
      <c r="I647" s="7"/>
    </row>
    <row r="648">
      <c r="B648" s="6"/>
      <c r="E648" s="7"/>
      <c r="F648" s="7"/>
      <c r="G648" s="7"/>
      <c r="H648" s="7"/>
      <c r="I648" s="7"/>
    </row>
    <row r="649">
      <c r="B649" s="6"/>
      <c r="E649" s="7"/>
      <c r="F649" s="7"/>
      <c r="G649" s="7"/>
      <c r="H649" s="7"/>
      <c r="I649" s="7"/>
    </row>
    <row r="650">
      <c r="B650" s="6"/>
      <c r="E650" s="7"/>
      <c r="F650" s="7"/>
      <c r="G650" s="7"/>
      <c r="H650" s="7"/>
      <c r="I650" s="7"/>
    </row>
    <row r="651">
      <c r="B651" s="6"/>
      <c r="E651" s="7"/>
      <c r="F651" s="7"/>
      <c r="G651" s="7"/>
      <c r="H651" s="7"/>
      <c r="I651" s="7"/>
    </row>
    <row r="652">
      <c r="B652" s="6"/>
      <c r="E652" s="7"/>
      <c r="F652" s="7"/>
      <c r="G652" s="7"/>
      <c r="H652" s="7"/>
      <c r="I652" s="7"/>
    </row>
    <row r="653">
      <c r="B653" s="6"/>
      <c r="E653" s="7"/>
      <c r="F653" s="7"/>
      <c r="G653" s="7"/>
      <c r="H653" s="7"/>
      <c r="I653" s="7"/>
    </row>
    <row r="654">
      <c r="B654" s="6"/>
      <c r="E654" s="7"/>
      <c r="F654" s="7"/>
      <c r="G654" s="7"/>
      <c r="H654" s="7"/>
      <c r="I654" s="7"/>
    </row>
    <row r="655">
      <c r="B655" s="6"/>
      <c r="E655" s="7"/>
      <c r="F655" s="7"/>
      <c r="G655" s="7"/>
      <c r="H655" s="7"/>
      <c r="I655" s="7"/>
    </row>
    <row r="656">
      <c r="B656" s="6"/>
      <c r="E656" s="7"/>
      <c r="F656" s="7"/>
      <c r="G656" s="7"/>
      <c r="H656" s="7"/>
      <c r="I656" s="7"/>
    </row>
    <row r="657">
      <c r="B657" s="6"/>
      <c r="E657" s="7"/>
      <c r="F657" s="7"/>
      <c r="G657" s="7"/>
      <c r="H657" s="7"/>
      <c r="I657" s="7"/>
    </row>
    <row r="658">
      <c r="B658" s="6"/>
      <c r="E658" s="7"/>
      <c r="F658" s="7"/>
      <c r="G658" s="7"/>
      <c r="H658" s="7"/>
      <c r="I658" s="7"/>
    </row>
    <row r="659">
      <c r="B659" s="6"/>
      <c r="E659" s="7"/>
      <c r="F659" s="7"/>
      <c r="G659" s="7"/>
      <c r="H659" s="7"/>
      <c r="I659" s="7"/>
    </row>
    <row r="660">
      <c r="B660" s="6"/>
      <c r="E660" s="7"/>
      <c r="F660" s="7"/>
      <c r="G660" s="7"/>
      <c r="H660" s="7"/>
      <c r="I660" s="7"/>
    </row>
    <row r="661">
      <c r="B661" s="6"/>
      <c r="E661" s="7"/>
      <c r="F661" s="7"/>
      <c r="G661" s="7"/>
      <c r="H661" s="7"/>
      <c r="I661" s="7"/>
    </row>
    <row r="662">
      <c r="B662" s="6"/>
      <c r="E662" s="7"/>
      <c r="F662" s="7"/>
      <c r="G662" s="7"/>
      <c r="H662" s="7"/>
      <c r="I662" s="7"/>
    </row>
    <row r="663">
      <c r="B663" s="6"/>
      <c r="E663" s="7"/>
      <c r="F663" s="7"/>
      <c r="G663" s="7"/>
      <c r="H663" s="7"/>
      <c r="I663" s="7"/>
    </row>
    <row r="664">
      <c r="B664" s="6"/>
      <c r="E664" s="7"/>
      <c r="F664" s="7"/>
      <c r="G664" s="7"/>
      <c r="H664" s="7"/>
      <c r="I664" s="7"/>
    </row>
    <row r="665">
      <c r="B665" s="6"/>
      <c r="E665" s="7"/>
      <c r="F665" s="7"/>
      <c r="G665" s="7"/>
      <c r="H665" s="7"/>
      <c r="I665" s="7"/>
    </row>
    <row r="666">
      <c r="B666" s="6"/>
      <c r="E666" s="7"/>
      <c r="F666" s="7"/>
      <c r="G666" s="7"/>
      <c r="H666" s="7"/>
      <c r="I666" s="7"/>
    </row>
    <row r="667">
      <c r="B667" s="6"/>
      <c r="E667" s="7"/>
      <c r="F667" s="7"/>
      <c r="G667" s="7"/>
      <c r="H667" s="7"/>
      <c r="I667" s="7"/>
    </row>
    <row r="668">
      <c r="B668" s="6"/>
      <c r="E668" s="7"/>
      <c r="F668" s="7"/>
      <c r="G668" s="7"/>
      <c r="H668" s="7"/>
      <c r="I668" s="7"/>
    </row>
    <row r="669">
      <c r="B669" s="6"/>
      <c r="E669" s="7"/>
      <c r="F669" s="7"/>
      <c r="G669" s="7"/>
      <c r="H669" s="7"/>
      <c r="I669" s="7"/>
    </row>
    <row r="670">
      <c r="B670" s="6"/>
      <c r="E670" s="7"/>
      <c r="F670" s="7"/>
      <c r="G670" s="7"/>
      <c r="H670" s="7"/>
      <c r="I670" s="7"/>
    </row>
    <row r="671">
      <c r="B671" s="6"/>
      <c r="E671" s="7"/>
      <c r="F671" s="7"/>
      <c r="G671" s="7"/>
      <c r="H671" s="7"/>
      <c r="I671" s="7"/>
    </row>
    <row r="672">
      <c r="B672" s="6"/>
      <c r="E672" s="7"/>
      <c r="F672" s="7"/>
      <c r="G672" s="7"/>
      <c r="H672" s="7"/>
      <c r="I672" s="7"/>
    </row>
    <row r="673">
      <c r="B673" s="6"/>
      <c r="E673" s="7"/>
      <c r="F673" s="7"/>
      <c r="G673" s="7"/>
      <c r="H673" s="7"/>
      <c r="I673" s="7"/>
    </row>
    <row r="674">
      <c r="B674" s="6"/>
      <c r="E674" s="7"/>
      <c r="F674" s="7"/>
      <c r="G674" s="7"/>
      <c r="H674" s="7"/>
      <c r="I674" s="7"/>
    </row>
    <row r="675">
      <c r="B675" s="6"/>
      <c r="E675" s="7"/>
      <c r="F675" s="7"/>
      <c r="G675" s="7"/>
      <c r="H675" s="7"/>
      <c r="I675" s="7"/>
    </row>
    <row r="676">
      <c r="B676" s="6"/>
      <c r="E676" s="7"/>
      <c r="F676" s="7"/>
      <c r="G676" s="7"/>
      <c r="H676" s="7"/>
      <c r="I676" s="7"/>
    </row>
    <row r="677">
      <c r="B677" s="6"/>
      <c r="E677" s="7"/>
      <c r="F677" s="7"/>
      <c r="G677" s="7"/>
      <c r="H677" s="7"/>
      <c r="I677" s="7"/>
    </row>
    <row r="678">
      <c r="B678" s="6"/>
      <c r="E678" s="7"/>
      <c r="F678" s="7"/>
      <c r="G678" s="7"/>
      <c r="H678" s="7"/>
      <c r="I678" s="7"/>
    </row>
    <row r="679">
      <c r="B679" s="6"/>
      <c r="E679" s="7"/>
      <c r="F679" s="7"/>
      <c r="G679" s="7"/>
      <c r="H679" s="7"/>
      <c r="I679" s="7"/>
    </row>
    <row r="680">
      <c r="B680" s="6"/>
      <c r="E680" s="7"/>
      <c r="F680" s="7"/>
      <c r="G680" s="7"/>
      <c r="H680" s="7"/>
      <c r="I680" s="7"/>
    </row>
    <row r="681">
      <c r="B681" s="6"/>
      <c r="E681" s="7"/>
      <c r="F681" s="7"/>
      <c r="G681" s="7"/>
      <c r="H681" s="7"/>
      <c r="I681" s="7"/>
    </row>
    <row r="682">
      <c r="B682" s="6"/>
      <c r="E682" s="7"/>
      <c r="F682" s="7"/>
      <c r="G682" s="7"/>
      <c r="H682" s="7"/>
      <c r="I682" s="7"/>
    </row>
    <row r="683">
      <c r="B683" s="6"/>
      <c r="E683" s="7"/>
      <c r="F683" s="7"/>
      <c r="G683" s="7"/>
      <c r="H683" s="7"/>
      <c r="I683" s="7"/>
    </row>
    <row r="684">
      <c r="B684" s="6"/>
      <c r="E684" s="7"/>
      <c r="F684" s="7"/>
      <c r="G684" s="7"/>
      <c r="H684" s="7"/>
      <c r="I684" s="7"/>
    </row>
    <row r="685">
      <c r="B685" s="6"/>
      <c r="E685" s="7"/>
      <c r="F685" s="7"/>
      <c r="G685" s="7"/>
      <c r="H685" s="7"/>
      <c r="I685" s="7"/>
    </row>
    <row r="686">
      <c r="B686" s="6"/>
      <c r="E686" s="7"/>
      <c r="F686" s="7"/>
      <c r="G686" s="7"/>
      <c r="H686" s="7"/>
      <c r="I686" s="7"/>
    </row>
    <row r="687">
      <c r="B687" s="6"/>
      <c r="E687" s="7"/>
      <c r="F687" s="7"/>
      <c r="G687" s="7"/>
      <c r="H687" s="7"/>
      <c r="I687" s="7"/>
    </row>
    <row r="688">
      <c r="B688" s="6"/>
      <c r="E688" s="7"/>
      <c r="F688" s="7"/>
      <c r="G688" s="7"/>
      <c r="H688" s="7"/>
      <c r="I688" s="7"/>
    </row>
    <row r="689">
      <c r="B689" s="6"/>
      <c r="E689" s="7"/>
      <c r="F689" s="7"/>
      <c r="G689" s="7"/>
      <c r="H689" s="7"/>
      <c r="I689" s="7"/>
    </row>
    <row r="690">
      <c r="B690" s="6"/>
      <c r="E690" s="7"/>
      <c r="F690" s="7"/>
      <c r="G690" s="7"/>
      <c r="H690" s="7"/>
      <c r="I690" s="7"/>
    </row>
    <row r="691">
      <c r="B691" s="6"/>
      <c r="E691" s="7"/>
      <c r="F691" s="7"/>
      <c r="G691" s="7"/>
      <c r="H691" s="7"/>
      <c r="I691" s="7"/>
    </row>
    <row r="692">
      <c r="B692" s="6"/>
      <c r="E692" s="7"/>
      <c r="F692" s="7"/>
      <c r="G692" s="7"/>
      <c r="H692" s="7"/>
      <c r="I692" s="7"/>
    </row>
    <row r="693">
      <c r="B693" s="6"/>
      <c r="E693" s="7"/>
      <c r="F693" s="7"/>
      <c r="G693" s="7"/>
      <c r="H693" s="7"/>
      <c r="I693" s="7"/>
    </row>
    <row r="694">
      <c r="B694" s="6"/>
      <c r="E694" s="7"/>
      <c r="F694" s="7"/>
      <c r="G694" s="7"/>
      <c r="H694" s="7"/>
      <c r="I694" s="7"/>
    </row>
    <row r="695">
      <c r="B695" s="6"/>
      <c r="E695" s="7"/>
      <c r="F695" s="7"/>
      <c r="G695" s="7"/>
      <c r="H695" s="7"/>
      <c r="I695" s="7"/>
    </row>
    <row r="696">
      <c r="B696" s="6"/>
      <c r="E696" s="7"/>
      <c r="F696" s="7"/>
      <c r="G696" s="7"/>
      <c r="H696" s="7"/>
      <c r="I696" s="7"/>
    </row>
    <row r="697">
      <c r="B697" s="6"/>
      <c r="E697" s="7"/>
      <c r="F697" s="7"/>
      <c r="G697" s="7"/>
      <c r="H697" s="7"/>
      <c r="I697" s="7"/>
    </row>
    <row r="698">
      <c r="B698" s="6"/>
      <c r="E698" s="7"/>
      <c r="F698" s="7"/>
      <c r="G698" s="7"/>
      <c r="H698" s="7"/>
      <c r="I698" s="7"/>
    </row>
    <row r="699">
      <c r="B699" s="6"/>
      <c r="E699" s="7"/>
      <c r="F699" s="7"/>
      <c r="G699" s="7"/>
      <c r="H699" s="7"/>
      <c r="I699" s="7"/>
    </row>
    <row r="700">
      <c r="B700" s="6"/>
      <c r="E700" s="7"/>
      <c r="F700" s="7"/>
      <c r="G700" s="7"/>
      <c r="H700" s="7"/>
      <c r="I700" s="7"/>
    </row>
    <row r="701">
      <c r="B701" s="6"/>
      <c r="E701" s="7"/>
      <c r="F701" s="7"/>
      <c r="G701" s="7"/>
      <c r="H701" s="7"/>
      <c r="I701" s="7"/>
    </row>
    <row r="702">
      <c r="B702" s="6"/>
      <c r="E702" s="7"/>
      <c r="F702" s="7"/>
      <c r="G702" s="7"/>
      <c r="H702" s="7"/>
      <c r="I702" s="7"/>
    </row>
    <row r="703">
      <c r="B703" s="6"/>
      <c r="E703" s="7"/>
      <c r="F703" s="7"/>
      <c r="G703" s="7"/>
      <c r="H703" s="7"/>
      <c r="I703" s="7"/>
    </row>
    <row r="704">
      <c r="B704" s="6"/>
      <c r="E704" s="7"/>
      <c r="F704" s="7"/>
      <c r="G704" s="7"/>
      <c r="H704" s="7"/>
      <c r="I704" s="7"/>
    </row>
    <row r="705">
      <c r="B705" s="6"/>
      <c r="E705" s="7"/>
      <c r="F705" s="7"/>
      <c r="G705" s="7"/>
      <c r="H705" s="7"/>
      <c r="I705" s="7"/>
    </row>
    <row r="706">
      <c r="B706" s="6"/>
      <c r="E706" s="7"/>
      <c r="F706" s="7"/>
      <c r="G706" s="7"/>
      <c r="H706" s="7"/>
      <c r="I706" s="7"/>
    </row>
    <row r="707">
      <c r="B707" s="6"/>
      <c r="E707" s="7"/>
      <c r="F707" s="7"/>
      <c r="G707" s="7"/>
      <c r="H707" s="7"/>
      <c r="I707" s="7"/>
    </row>
    <row r="708">
      <c r="B708" s="6"/>
      <c r="E708" s="7"/>
      <c r="F708" s="7"/>
      <c r="G708" s="7"/>
      <c r="H708" s="7"/>
      <c r="I708" s="7"/>
    </row>
    <row r="709">
      <c r="B709" s="6"/>
      <c r="E709" s="7"/>
      <c r="F709" s="7"/>
      <c r="G709" s="7"/>
      <c r="H709" s="7"/>
      <c r="I709" s="7"/>
    </row>
    <row r="710">
      <c r="B710" s="6"/>
      <c r="E710" s="7"/>
      <c r="F710" s="7"/>
      <c r="G710" s="7"/>
      <c r="H710" s="7"/>
      <c r="I710" s="7"/>
    </row>
    <row r="711">
      <c r="B711" s="6"/>
      <c r="E711" s="7"/>
      <c r="F711" s="7"/>
      <c r="G711" s="7"/>
      <c r="H711" s="7"/>
      <c r="I711" s="7"/>
    </row>
    <row r="712">
      <c r="B712" s="6"/>
      <c r="E712" s="7"/>
      <c r="F712" s="7"/>
      <c r="G712" s="7"/>
      <c r="H712" s="7"/>
      <c r="I712" s="7"/>
    </row>
    <row r="713">
      <c r="B713" s="6"/>
      <c r="E713" s="7"/>
      <c r="F713" s="7"/>
      <c r="G713" s="7"/>
      <c r="H713" s="7"/>
      <c r="I713" s="7"/>
    </row>
    <row r="714">
      <c r="B714" s="6"/>
      <c r="E714" s="7"/>
      <c r="F714" s="7"/>
      <c r="G714" s="7"/>
      <c r="H714" s="7"/>
      <c r="I714" s="7"/>
    </row>
    <row r="715">
      <c r="B715" s="6"/>
      <c r="E715" s="7"/>
      <c r="F715" s="7"/>
      <c r="G715" s="7"/>
      <c r="H715" s="7"/>
      <c r="I715" s="7"/>
    </row>
    <row r="716">
      <c r="B716" s="6"/>
      <c r="E716" s="7"/>
      <c r="F716" s="7"/>
      <c r="G716" s="7"/>
      <c r="H716" s="7"/>
      <c r="I716" s="7"/>
    </row>
    <row r="717">
      <c r="B717" s="6"/>
      <c r="E717" s="7"/>
      <c r="F717" s="7"/>
      <c r="G717" s="7"/>
      <c r="H717" s="7"/>
      <c r="I717" s="7"/>
    </row>
    <row r="718">
      <c r="B718" s="6"/>
      <c r="E718" s="7"/>
      <c r="F718" s="7"/>
      <c r="G718" s="7"/>
      <c r="H718" s="7"/>
      <c r="I718" s="7"/>
    </row>
    <row r="719">
      <c r="B719" s="6"/>
      <c r="E719" s="7"/>
      <c r="F719" s="7"/>
      <c r="G719" s="7"/>
      <c r="H719" s="7"/>
      <c r="I719" s="7"/>
    </row>
    <row r="720">
      <c r="B720" s="6"/>
      <c r="E720" s="7"/>
      <c r="F720" s="7"/>
      <c r="G720" s="7"/>
      <c r="H720" s="7"/>
      <c r="I720" s="7"/>
    </row>
    <row r="721">
      <c r="B721" s="6"/>
      <c r="E721" s="7"/>
      <c r="F721" s="7"/>
      <c r="G721" s="7"/>
      <c r="H721" s="7"/>
      <c r="I721" s="7"/>
    </row>
    <row r="722">
      <c r="B722" s="6"/>
      <c r="E722" s="7"/>
      <c r="F722" s="7"/>
      <c r="G722" s="7"/>
      <c r="H722" s="7"/>
      <c r="I722" s="7"/>
    </row>
    <row r="723">
      <c r="B723" s="6"/>
      <c r="E723" s="7"/>
      <c r="F723" s="7"/>
      <c r="G723" s="7"/>
      <c r="H723" s="7"/>
      <c r="I723" s="7"/>
    </row>
    <row r="724">
      <c r="B724" s="6"/>
      <c r="E724" s="7"/>
      <c r="F724" s="7"/>
      <c r="G724" s="7"/>
      <c r="H724" s="7"/>
      <c r="I724" s="7"/>
    </row>
    <row r="725">
      <c r="B725" s="6"/>
      <c r="E725" s="7"/>
      <c r="F725" s="7"/>
      <c r="G725" s="7"/>
      <c r="H725" s="7"/>
      <c r="I725" s="7"/>
    </row>
    <row r="726">
      <c r="B726" s="6"/>
      <c r="E726" s="7"/>
      <c r="F726" s="7"/>
      <c r="G726" s="7"/>
      <c r="H726" s="7"/>
      <c r="I726" s="7"/>
    </row>
    <row r="727">
      <c r="B727" s="6"/>
      <c r="E727" s="7"/>
      <c r="F727" s="7"/>
      <c r="G727" s="7"/>
      <c r="H727" s="7"/>
      <c r="I727" s="7"/>
    </row>
    <row r="728">
      <c r="B728" s="6"/>
      <c r="E728" s="7"/>
      <c r="F728" s="7"/>
      <c r="G728" s="7"/>
      <c r="H728" s="7"/>
      <c r="I728" s="7"/>
    </row>
    <row r="729">
      <c r="B729" s="6"/>
      <c r="E729" s="7"/>
      <c r="F729" s="7"/>
      <c r="G729" s="7"/>
      <c r="H729" s="7"/>
      <c r="I729" s="7"/>
    </row>
    <row r="730">
      <c r="B730" s="6"/>
      <c r="E730" s="7"/>
      <c r="F730" s="7"/>
      <c r="G730" s="7"/>
      <c r="H730" s="7"/>
      <c r="I730" s="7"/>
    </row>
    <row r="731">
      <c r="B731" s="6"/>
      <c r="E731" s="7"/>
      <c r="F731" s="7"/>
      <c r="G731" s="7"/>
      <c r="H731" s="7"/>
      <c r="I731" s="7"/>
    </row>
    <row r="732">
      <c r="B732" s="6"/>
      <c r="E732" s="7"/>
      <c r="F732" s="7"/>
      <c r="G732" s="7"/>
      <c r="H732" s="7"/>
      <c r="I732" s="7"/>
    </row>
    <row r="733">
      <c r="B733" s="6"/>
      <c r="E733" s="7"/>
      <c r="F733" s="7"/>
      <c r="G733" s="7"/>
      <c r="H733" s="7"/>
      <c r="I733" s="7"/>
    </row>
    <row r="734">
      <c r="B734" s="6"/>
      <c r="E734" s="7"/>
      <c r="F734" s="7"/>
      <c r="G734" s="7"/>
      <c r="H734" s="7"/>
      <c r="I734" s="7"/>
    </row>
    <row r="735">
      <c r="B735" s="6"/>
      <c r="E735" s="7"/>
      <c r="F735" s="7"/>
      <c r="G735" s="7"/>
      <c r="H735" s="7"/>
      <c r="I735" s="7"/>
    </row>
    <row r="736">
      <c r="B736" s="6"/>
      <c r="E736" s="7"/>
      <c r="F736" s="7"/>
      <c r="G736" s="7"/>
      <c r="H736" s="7"/>
      <c r="I736" s="7"/>
    </row>
    <row r="737">
      <c r="B737" s="6"/>
      <c r="E737" s="7"/>
      <c r="F737" s="7"/>
      <c r="G737" s="7"/>
      <c r="H737" s="7"/>
      <c r="I737" s="7"/>
    </row>
    <row r="738">
      <c r="B738" s="6"/>
      <c r="E738" s="7"/>
      <c r="F738" s="7"/>
      <c r="G738" s="7"/>
      <c r="H738" s="7"/>
      <c r="I738" s="7"/>
    </row>
    <row r="739">
      <c r="B739" s="6"/>
      <c r="E739" s="7"/>
      <c r="F739" s="7"/>
      <c r="G739" s="7"/>
      <c r="H739" s="7"/>
      <c r="I739" s="7"/>
    </row>
    <row r="740">
      <c r="B740" s="6"/>
      <c r="E740" s="7"/>
      <c r="F740" s="7"/>
      <c r="G740" s="7"/>
      <c r="H740" s="7"/>
      <c r="I740" s="7"/>
    </row>
    <row r="741">
      <c r="B741" s="6"/>
      <c r="E741" s="7"/>
      <c r="F741" s="7"/>
      <c r="G741" s="7"/>
      <c r="H741" s="7"/>
      <c r="I741" s="7"/>
    </row>
    <row r="742">
      <c r="B742" s="6"/>
      <c r="E742" s="7"/>
      <c r="F742" s="7"/>
      <c r="G742" s="7"/>
      <c r="H742" s="7"/>
      <c r="I742" s="7"/>
    </row>
    <row r="743">
      <c r="B743" s="6"/>
      <c r="E743" s="7"/>
      <c r="F743" s="7"/>
      <c r="G743" s="7"/>
      <c r="H743" s="7"/>
      <c r="I743" s="7"/>
    </row>
    <row r="744">
      <c r="B744" s="6"/>
      <c r="E744" s="7"/>
      <c r="F744" s="7"/>
      <c r="G744" s="7"/>
      <c r="H744" s="7"/>
      <c r="I744" s="7"/>
    </row>
    <row r="745">
      <c r="B745" s="6"/>
      <c r="E745" s="7"/>
      <c r="F745" s="7"/>
      <c r="G745" s="7"/>
      <c r="H745" s="7"/>
      <c r="I745" s="7"/>
    </row>
    <row r="746">
      <c r="B746" s="6"/>
      <c r="E746" s="7"/>
      <c r="F746" s="7"/>
      <c r="G746" s="7"/>
      <c r="H746" s="7"/>
      <c r="I746" s="7"/>
    </row>
    <row r="747">
      <c r="B747" s="6"/>
      <c r="E747" s="7"/>
      <c r="F747" s="7"/>
      <c r="G747" s="7"/>
      <c r="H747" s="7"/>
      <c r="I747" s="7"/>
    </row>
    <row r="748">
      <c r="B748" s="6"/>
      <c r="E748" s="7"/>
      <c r="F748" s="7"/>
      <c r="G748" s="7"/>
      <c r="H748" s="7"/>
      <c r="I748" s="7"/>
    </row>
    <row r="749">
      <c r="B749" s="6"/>
      <c r="E749" s="7"/>
      <c r="F749" s="7"/>
      <c r="G749" s="7"/>
      <c r="H749" s="7"/>
      <c r="I749" s="7"/>
    </row>
    <row r="750">
      <c r="B750" s="6"/>
      <c r="E750" s="7"/>
      <c r="F750" s="7"/>
      <c r="G750" s="7"/>
      <c r="H750" s="7"/>
      <c r="I750" s="7"/>
    </row>
    <row r="751">
      <c r="B751" s="6"/>
      <c r="E751" s="7"/>
      <c r="F751" s="7"/>
      <c r="G751" s="7"/>
      <c r="H751" s="7"/>
      <c r="I751" s="7"/>
    </row>
    <row r="752">
      <c r="B752" s="6"/>
      <c r="E752" s="7"/>
      <c r="F752" s="7"/>
      <c r="G752" s="7"/>
      <c r="H752" s="7"/>
      <c r="I752" s="7"/>
    </row>
    <row r="753">
      <c r="B753" s="6"/>
      <c r="E753" s="7"/>
      <c r="F753" s="7"/>
      <c r="G753" s="7"/>
      <c r="H753" s="7"/>
      <c r="I753" s="7"/>
    </row>
    <row r="754">
      <c r="B754" s="6"/>
      <c r="E754" s="7"/>
      <c r="F754" s="7"/>
      <c r="G754" s="7"/>
      <c r="H754" s="7"/>
      <c r="I754" s="7"/>
    </row>
    <row r="755">
      <c r="B755" s="6"/>
      <c r="E755" s="7"/>
      <c r="F755" s="7"/>
      <c r="G755" s="7"/>
      <c r="H755" s="7"/>
      <c r="I755" s="7"/>
    </row>
    <row r="756">
      <c r="B756" s="6"/>
      <c r="E756" s="7"/>
      <c r="F756" s="7"/>
      <c r="G756" s="7"/>
      <c r="H756" s="7"/>
      <c r="I756" s="7"/>
    </row>
    <row r="757">
      <c r="B757" s="6"/>
      <c r="E757" s="7"/>
      <c r="F757" s="7"/>
      <c r="G757" s="7"/>
      <c r="H757" s="7"/>
      <c r="I757" s="7"/>
    </row>
    <row r="758">
      <c r="B758" s="6"/>
      <c r="E758" s="7"/>
      <c r="F758" s="7"/>
      <c r="G758" s="7"/>
      <c r="H758" s="7"/>
      <c r="I758" s="7"/>
    </row>
    <row r="759">
      <c r="B759" s="6"/>
      <c r="E759" s="7"/>
      <c r="F759" s="7"/>
      <c r="G759" s="7"/>
      <c r="H759" s="7"/>
      <c r="I759" s="7"/>
    </row>
    <row r="760">
      <c r="B760" s="6"/>
      <c r="E760" s="7"/>
      <c r="F760" s="7"/>
      <c r="G760" s="7"/>
      <c r="H760" s="7"/>
      <c r="I760" s="7"/>
    </row>
    <row r="761">
      <c r="B761" s="6"/>
      <c r="E761" s="7"/>
      <c r="F761" s="7"/>
      <c r="G761" s="7"/>
      <c r="H761" s="7"/>
      <c r="I761" s="7"/>
    </row>
    <row r="762">
      <c r="B762" s="6"/>
      <c r="E762" s="7"/>
      <c r="F762" s="7"/>
      <c r="G762" s="7"/>
      <c r="H762" s="7"/>
      <c r="I762" s="7"/>
    </row>
    <row r="763">
      <c r="B763" s="6"/>
      <c r="E763" s="7"/>
      <c r="F763" s="7"/>
      <c r="G763" s="7"/>
      <c r="H763" s="7"/>
      <c r="I763" s="7"/>
    </row>
    <row r="764">
      <c r="B764" s="6"/>
      <c r="E764" s="7"/>
      <c r="F764" s="7"/>
      <c r="G764" s="7"/>
      <c r="H764" s="7"/>
      <c r="I764" s="7"/>
    </row>
    <row r="765">
      <c r="B765" s="6"/>
      <c r="E765" s="7"/>
      <c r="F765" s="7"/>
      <c r="G765" s="7"/>
      <c r="H765" s="7"/>
      <c r="I765" s="7"/>
    </row>
    <row r="766">
      <c r="B766" s="6"/>
      <c r="E766" s="7"/>
      <c r="F766" s="7"/>
      <c r="G766" s="7"/>
      <c r="H766" s="7"/>
      <c r="I766" s="7"/>
    </row>
    <row r="767">
      <c r="B767" s="6"/>
      <c r="E767" s="7"/>
      <c r="F767" s="7"/>
      <c r="G767" s="7"/>
      <c r="H767" s="7"/>
      <c r="I767" s="7"/>
    </row>
    <row r="768">
      <c r="B768" s="6"/>
      <c r="E768" s="7"/>
      <c r="F768" s="7"/>
      <c r="G768" s="7"/>
      <c r="H768" s="7"/>
      <c r="I768" s="7"/>
    </row>
    <row r="769">
      <c r="B769" s="6"/>
      <c r="E769" s="7"/>
      <c r="F769" s="7"/>
      <c r="G769" s="7"/>
      <c r="H769" s="7"/>
      <c r="I769" s="7"/>
    </row>
    <row r="770">
      <c r="B770" s="6"/>
      <c r="E770" s="7"/>
      <c r="F770" s="7"/>
      <c r="G770" s="7"/>
      <c r="H770" s="7"/>
      <c r="I770" s="7"/>
    </row>
    <row r="771">
      <c r="B771" s="6"/>
      <c r="E771" s="7"/>
      <c r="F771" s="7"/>
      <c r="G771" s="7"/>
      <c r="H771" s="7"/>
      <c r="I771" s="7"/>
    </row>
    <row r="772">
      <c r="B772" s="6"/>
      <c r="E772" s="7"/>
      <c r="F772" s="7"/>
      <c r="G772" s="7"/>
      <c r="H772" s="7"/>
      <c r="I772" s="7"/>
    </row>
    <row r="773">
      <c r="B773" s="6"/>
      <c r="E773" s="7"/>
      <c r="F773" s="7"/>
      <c r="G773" s="7"/>
      <c r="H773" s="7"/>
      <c r="I773" s="7"/>
    </row>
    <row r="774">
      <c r="B774" s="6"/>
      <c r="E774" s="7"/>
      <c r="F774" s="7"/>
      <c r="G774" s="7"/>
      <c r="H774" s="7"/>
      <c r="I774" s="7"/>
    </row>
    <row r="775">
      <c r="B775" s="6"/>
      <c r="E775" s="7"/>
      <c r="F775" s="7"/>
      <c r="G775" s="7"/>
      <c r="H775" s="7"/>
      <c r="I775" s="7"/>
    </row>
    <row r="776">
      <c r="B776" s="6"/>
      <c r="E776" s="7"/>
      <c r="F776" s="7"/>
      <c r="G776" s="7"/>
      <c r="H776" s="7"/>
      <c r="I776" s="7"/>
    </row>
    <row r="777">
      <c r="B777" s="6"/>
      <c r="E777" s="7"/>
      <c r="F777" s="7"/>
      <c r="G777" s="7"/>
      <c r="H777" s="7"/>
      <c r="I777" s="7"/>
    </row>
    <row r="778">
      <c r="B778" s="6"/>
      <c r="E778" s="7"/>
      <c r="F778" s="7"/>
      <c r="G778" s="7"/>
      <c r="H778" s="7"/>
      <c r="I778" s="7"/>
    </row>
    <row r="779">
      <c r="B779" s="6"/>
      <c r="E779" s="7"/>
      <c r="F779" s="7"/>
      <c r="G779" s="7"/>
      <c r="H779" s="7"/>
      <c r="I779" s="7"/>
    </row>
    <row r="780">
      <c r="B780" s="6"/>
      <c r="E780" s="7"/>
      <c r="F780" s="7"/>
      <c r="G780" s="7"/>
      <c r="H780" s="7"/>
      <c r="I780" s="7"/>
    </row>
    <row r="781">
      <c r="B781" s="6"/>
      <c r="E781" s="7"/>
      <c r="F781" s="7"/>
      <c r="G781" s="7"/>
      <c r="H781" s="7"/>
      <c r="I781" s="7"/>
    </row>
    <row r="782">
      <c r="B782" s="6"/>
      <c r="E782" s="7"/>
      <c r="F782" s="7"/>
      <c r="G782" s="7"/>
      <c r="H782" s="7"/>
      <c r="I782" s="7"/>
    </row>
    <row r="783">
      <c r="B783" s="6"/>
      <c r="E783" s="7"/>
      <c r="F783" s="7"/>
      <c r="G783" s="7"/>
      <c r="H783" s="7"/>
      <c r="I783" s="7"/>
    </row>
    <row r="784">
      <c r="B784" s="6"/>
      <c r="E784" s="7"/>
      <c r="F784" s="7"/>
      <c r="G784" s="7"/>
      <c r="H784" s="7"/>
      <c r="I784" s="7"/>
    </row>
    <row r="785">
      <c r="B785" s="6"/>
      <c r="E785" s="7"/>
      <c r="F785" s="7"/>
      <c r="G785" s="7"/>
      <c r="H785" s="7"/>
      <c r="I785" s="7"/>
    </row>
    <row r="786">
      <c r="B786" s="6"/>
      <c r="E786" s="7"/>
      <c r="F786" s="7"/>
      <c r="G786" s="7"/>
      <c r="H786" s="7"/>
      <c r="I786" s="7"/>
    </row>
    <row r="787">
      <c r="B787" s="6"/>
      <c r="E787" s="7"/>
      <c r="F787" s="7"/>
      <c r="G787" s="7"/>
      <c r="H787" s="7"/>
      <c r="I787" s="7"/>
    </row>
    <row r="788">
      <c r="B788" s="6"/>
      <c r="E788" s="7"/>
      <c r="F788" s="7"/>
      <c r="G788" s="7"/>
      <c r="H788" s="7"/>
      <c r="I788" s="7"/>
    </row>
    <row r="789">
      <c r="B789" s="6"/>
      <c r="E789" s="7"/>
      <c r="F789" s="7"/>
      <c r="G789" s="7"/>
      <c r="H789" s="7"/>
      <c r="I789" s="7"/>
    </row>
    <row r="790">
      <c r="B790" s="6"/>
      <c r="E790" s="7"/>
      <c r="F790" s="7"/>
      <c r="G790" s="7"/>
      <c r="H790" s="7"/>
      <c r="I790" s="7"/>
    </row>
    <row r="791">
      <c r="B791" s="6"/>
      <c r="E791" s="7"/>
      <c r="F791" s="7"/>
      <c r="G791" s="7"/>
      <c r="H791" s="7"/>
      <c r="I791" s="7"/>
    </row>
    <row r="792">
      <c r="B792" s="6"/>
      <c r="E792" s="7"/>
      <c r="F792" s="7"/>
      <c r="G792" s="7"/>
      <c r="H792" s="7"/>
      <c r="I792" s="7"/>
    </row>
    <row r="793">
      <c r="B793" s="6"/>
      <c r="E793" s="7"/>
      <c r="F793" s="7"/>
      <c r="G793" s="7"/>
      <c r="H793" s="7"/>
      <c r="I793" s="7"/>
    </row>
    <row r="794">
      <c r="B794" s="6"/>
      <c r="E794" s="7"/>
      <c r="F794" s="7"/>
      <c r="G794" s="7"/>
      <c r="H794" s="7"/>
      <c r="I794" s="7"/>
    </row>
    <row r="795">
      <c r="B795" s="6"/>
      <c r="E795" s="7"/>
      <c r="F795" s="7"/>
      <c r="G795" s="7"/>
      <c r="H795" s="7"/>
      <c r="I795" s="7"/>
    </row>
    <row r="796">
      <c r="B796" s="6"/>
      <c r="E796" s="7"/>
      <c r="F796" s="7"/>
      <c r="G796" s="7"/>
      <c r="H796" s="7"/>
      <c r="I796" s="7"/>
    </row>
    <row r="797">
      <c r="B797" s="6"/>
      <c r="E797" s="7"/>
      <c r="F797" s="7"/>
      <c r="G797" s="7"/>
      <c r="H797" s="7"/>
      <c r="I797" s="7"/>
    </row>
    <row r="798">
      <c r="B798" s="6"/>
      <c r="E798" s="7"/>
      <c r="F798" s="7"/>
      <c r="G798" s="7"/>
      <c r="H798" s="7"/>
      <c r="I798" s="7"/>
    </row>
    <row r="799">
      <c r="B799" s="6"/>
      <c r="E799" s="7"/>
      <c r="F799" s="7"/>
      <c r="G799" s="7"/>
      <c r="H799" s="7"/>
      <c r="I799" s="7"/>
    </row>
    <row r="800">
      <c r="B800" s="6"/>
      <c r="E800" s="7"/>
      <c r="F800" s="7"/>
      <c r="G800" s="7"/>
      <c r="H800" s="7"/>
      <c r="I800" s="7"/>
    </row>
    <row r="801">
      <c r="B801" s="6"/>
      <c r="E801" s="7"/>
      <c r="F801" s="7"/>
      <c r="G801" s="7"/>
      <c r="H801" s="7"/>
      <c r="I801" s="7"/>
    </row>
    <row r="802">
      <c r="B802" s="6"/>
      <c r="E802" s="7"/>
      <c r="F802" s="7"/>
      <c r="G802" s="7"/>
      <c r="H802" s="7"/>
      <c r="I802" s="7"/>
    </row>
    <row r="803">
      <c r="B803" s="6"/>
      <c r="E803" s="7"/>
      <c r="F803" s="7"/>
      <c r="G803" s="7"/>
      <c r="H803" s="7"/>
      <c r="I803" s="7"/>
    </row>
    <row r="804">
      <c r="B804" s="6"/>
      <c r="E804" s="7"/>
      <c r="F804" s="7"/>
      <c r="G804" s="7"/>
      <c r="H804" s="7"/>
      <c r="I804" s="7"/>
    </row>
    <row r="805">
      <c r="B805" s="6"/>
      <c r="E805" s="7"/>
      <c r="F805" s="7"/>
      <c r="G805" s="7"/>
      <c r="H805" s="7"/>
      <c r="I805" s="7"/>
    </row>
    <row r="806">
      <c r="B806" s="6"/>
      <c r="E806" s="7"/>
      <c r="F806" s="7"/>
      <c r="G806" s="7"/>
      <c r="H806" s="7"/>
      <c r="I806" s="7"/>
    </row>
    <row r="807">
      <c r="B807" s="6"/>
      <c r="E807" s="7"/>
      <c r="F807" s="7"/>
      <c r="G807" s="7"/>
      <c r="H807" s="7"/>
      <c r="I807" s="7"/>
    </row>
    <row r="808">
      <c r="B808" s="6"/>
      <c r="E808" s="7"/>
      <c r="F808" s="7"/>
      <c r="G808" s="7"/>
      <c r="H808" s="7"/>
      <c r="I808" s="7"/>
    </row>
    <row r="809">
      <c r="B809" s="6"/>
      <c r="E809" s="7"/>
      <c r="F809" s="7"/>
      <c r="G809" s="7"/>
      <c r="H809" s="7"/>
      <c r="I809" s="7"/>
    </row>
    <row r="810">
      <c r="B810" s="6"/>
      <c r="E810" s="7"/>
      <c r="F810" s="7"/>
      <c r="G810" s="7"/>
      <c r="H810" s="7"/>
      <c r="I810" s="7"/>
    </row>
    <row r="811">
      <c r="B811" s="6"/>
      <c r="E811" s="7"/>
      <c r="F811" s="7"/>
      <c r="G811" s="7"/>
      <c r="H811" s="7"/>
      <c r="I811" s="7"/>
    </row>
    <row r="812">
      <c r="B812" s="6"/>
      <c r="E812" s="7"/>
      <c r="F812" s="7"/>
      <c r="G812" s="7"/>
      <c r="H812" s="7"/>
      <c r="I812" s="7"/>
    </row>
    <row r="813">
      <c r="B813" s="6"/>
      <c r="E813" s="7"/>
      <c r="F813" s="7"/>
      <c r="G813" s="7"/>
      <c r="H813" s="7"/>
      <c r="I813" s="7"/>
    </row>
    <row r="814">
      <c r="B814" s="6"/>
      <c r="E814" s="7"/>
      <c r="F814" s="7"/>
      <c r="G814" s="7"/>
      <c r="H814" s="7"/>
      <c r="I814" s="7"/>
    </row>
    <row r="815">
      <c r="B815" s="6"/>
      <c r="E815" s="7"/>
      <c r="F815" s="7"/>
      <c r="G815" s="7"/>
      <c r="H815" s="7"/>
      <c r="I815" s="7"/>
    </row>
    <row r="816">
      <c r="B816" s="6"/>
      <c r="E816" s="7"/>
      <c r="F816" s="7"/>
      <c r="G816" s="7"/>
      <c r="H816" s="7"/>
      <c r="I816" s="7"/>
    </row>
    <row r="817">
      <c r="B817" s="6"/>
      <c r="E817" s="7"/>
      <c r="F817" s="7"/>
      <c r="G817" s="7"/>
      <c r="H817" s="7"/>
      <c r="I817" s="7"/>
    </row>
    <row r="818">
      <c r="B818" s="6"/>
      <c r="E818" s="7"/>
      <c r="F818" s="7"/>
      <c r="G818" s="7"/>
      <c r="H818" s="7"/>
      <c r="I818" s="7"/>
    </row>
    <row r="819">
      <c r="B819" s="6"/>
      <c r="E819" s="7"/>
      <c r="F819" s="7"/>
      <c r="G819" s="7"/>
      <c r="H819" s="7"/>
      <c r="I819" s="7"/>
    </row>
    <row r="820">
      <c r="B820" s="6"/>
      <c r="E820" s="7"/>
      <c r="F820" s="7"/>
      <c r="G820" s="7"/>
      <c r="H820" s="7"/>
      <c r="I820" s="7"/>
    </row>
    <row r="821">
      <c r="B821" s="6"/>
      <c r="E821" s="7"/>
      <c r="F821" s="7"/>
      <c r="G821" s="7"/>
      <c r="H821" s="7"/>
      <c r="I821" s="7"/>
    </row>
    <row r="822">
      <c r="B822" s="6"/>
      <c r="E822" s="7"/>
      <c r="F822" s="7"/>
      <c r="G822" s="7"/>
      <c r="H822" s="7"/>
      <c r="I822" s="7"/>
    </row>
    <row r="823">
      <c r="B823" s="6"/>
      <c r="E823" s="7"/>
      <c r="F823" s="7"/>
      <c r="G823" s="7"/>
      <c r="H823" s="7"/>
      <c r="I823" s="7"/>
    </row>
    <row r="824">
      <c r="B824" s="6"/>
      <c r="E824" s="7"/>
      <c r="F824" s="7"/>
      <c r="G824" s="7"/>
      <c r="H824" s="7"/>
      <c r="I824" s="7"/>
    </row>
    <row r="825">
      <c r="B825" s="6"/>
      <c r="E825" s="7"/>
      <c r="F825" s="7"/>
      <c r="G825" s="7"/>
      <c r="H825" s="7"/>
      <c r="I825" s="7"/>
    </row>
    <row r="826">
      <c r="B826" s="6"/>
      <c r="E826" s="7"/>
      <c r="F826" s="7"/>
      <c r="G826" s="7"/>
      <c r="H826" s="7"/>
      <c r="I826" s="7"/>
    </row>
    <row r="827">
      <c r="B827" s="6"/>
      <c r="E827" s="7"/>
      <c r="F827" s="7"/>
      <c r="G827" s="7"/>
      <c r="H827" s="7"/>
      <c r="I827" s="7"/>
    </row>
    <row r="828">
      <c r="B828" s="6"/>
      <c r="E828" s="7"/>
      <c r="F828" s="7"/>
      <c r="G828" s="7"/>
      <c r="H828" s="7"/>
      <c r="I828" s="7"/>
    </row>
    <row r="829">
      <c r="B829" s="6"/>
      <c r="E829" s="7"/>
      <c r="F829" s="7"/>
      <c r="G829" s="7"/>
      <c r="H829" s="7"/>
      <c r="I829" s="7"/>
    </row>
    <row r="830">
      <c r="B830" s="6"/>
      <c r="E830" s="7"/>
      <c r="F830" s="7"/>
      <c r="G830" s="7"/>
      <c r="H830" s="7"/>
      <c r="I830" s="7"/>
    </row>
    <row r="831">
      <c r="B831" s="6"/>
      <c r="E831" s="7"/>
      <c r="F831" s="7"/>
      <c r="G831" s="7"/>
      <c r="H831" s="7"/>
      <c r="I831" s="7"/>
    </row>
    <row r="832">
      <c r="B832" s="6"/>
      <c r="E832" s="7"/>
      <c r="F832" s="7"/>
      <c r="G832" s="7"/>
      <c r="H832" s="7"/>
      <c r="I832" s="7"/>
    </row>
    <row r="833">
      <c r="B833" s="6"/>
      <c r="E833" s="7"/>
      <c r="F833" s="7"/>
      <c r="G833" s="7"/>
      <c r="H833" s="7"/>
      <c r="I833" s="7"/>
    </row>
    <row r="834">
      <c r="B834" s="6"/>
      <c r="E834" s="7"/>
      <c r="F834" s="7"/>
      <c r="G834" s="7"/>
      <c r="H834" s="7"/>
      <c r="I834" s="7"/>
    </row>
    <row r="835">
      <c r="B835" s="6"/>
      <c r="E835" s="7"/>
      <c r="F835" s="7"/>
      <c r="G835" s="7"/>
      <c r="H835" s="7"/>
      <c r="I835" s="7"/>
    </row>
    <row r="836">
      <c r="B836" s="6"/>
      <c r="E836" s="7"/>
      <c r="F836" s="7"/>
      <c r="G836" s="7"/>
      <c r="H836" s="7"/>
      <c r="I836" s="7"/>
    </row>
    <row r="837">
      <c r="B837" s="6"/>
      <c r="E837" s="7"/>
      <c r="F837" s="7"/>
      <c r="G837" s="7"/>
      <c r="H837" s="7"/>
      <c r="I837" s="7"/>
    </row>
    <row r="838">
      <c r="B838" s="6"/>
      <c r="E838" s="7"/>
      <c r="F838" s="7"/>
      <c r="G838" s="7"/>
      <c r="H838" s="7"/>
      <c r="I838" s="7"/>
    </row>
    <row r="839">
      <c r="B839" s="6"/>
      <c r="E839" s="7"/>
      <c r="F839" s="7"/>
      <c r="G839" s="7"/>
      <c r="H839" s="7"/>
      <c r="I839" s="7"/>
    </row>
    <row r="840">
      <c r="B840" s="6"/>
      <c r="E840" s="7"/>
      <c r="F840" s="7"/>
      <c r="G840" s="7"/>
      <c r="H840" s="7"/>
      <c r="I840" s="7"/>
    </row>
    <row r="841">
      <c r="B841" s="6"/>
      <c r="E841" s="7"/>
      <c r="F841" s="7"/>
      <c r="G841" s="7"/>
      <c r="H841" s="7"/>
      <c r="I841" s="7"/>
    </row>
    <row r="842">
      <c r="B842" s="6"/>
      <c r="E842" s="7"/>
      <c r="F842" s="7"/>
      <c r="G842" s="7"/>
      <c r="H842" s="7"/>
      <c r="I842" s="7"/>
    </row>
    <row r="843">
      <c r="B843" s="6"/>
      <c r="E843" s="7"/>
      <c r="F843" s="7"/>
      <c r="G843" s="7"/>
      <c r="H843" s="7"/>
      <c r="I843" s="7"/>
    </row>
    <row r="844">
      <c r="B844" s="6"/>
      <c r="E844" s="7"/>
      <c r="F844" s="7"/>
      <c r="G844" s="7"/>
      <c r="H844" s="7"/>
      <c r="I844" s="7"/>
    </row>
    <row r="845">
      <c r="B845" s="6"/>
      <c r="E845" s="7"/>
      <c r="F845" s="7"/>
      <c r="G845" s="7"/>
      <c r="H845" s="7"/>
      <c r="I845" s="7"/>
    </row>
    <row r="846">
      <c r="B846" s="6"/>
      <c r="E846" s="7"/>
      <c r="F846" s="7"/>
      <c r="G846" s="7"/>
      <c r="H846" s="7"/>
      <c r="I846" s="7"/>
    </row>
    <row r="847">
      <c r="B847" s="6"/>
      <c r="E847" s="7"/>
      <c r="F847" s="7"/>
      <c r="G847" s="7"/>
      <c r="H847" s="7"/>
      <c r="I847" s="7"/>
    </row>
    <row r="848">
      <c r="B848" s="6"/>
      <c r="E848" s="7"/>
      <c r="F848" s="7"/>
      <c r="G848" s="7"/>
      <c r="H848" s="7"/>
      <c r="I848" s="7"/>
    </row>
    <row r="849">
      <c r="B849" s="6"/>
      <c r="E849" s="7"/>
      <c r="F849" s="7"/>
      <c r="G849" s="7"/>
      <c r="H849" s="7"/>
      <c r="I849" s="7"/>
    </row>
  </sheetData>
  <autoFilter ref="$A$1:$J$34">
    <sortState ref="A1:J34">
      <sortCondition descending="1" ref="C1:C3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customWidth="1" min="2" max="33" width="5.63"/>
    <col customWidth="1" min="34" max="34" width="5.5"/>
    <col customWidth="1" min="35" max="47" width="5.63"/>
  </cols>
  <sheetData>
    <row r="1">
      <c r="A1" s="18" t="s">
        <v>43</v>
      </c>
      <c r="B1" s="19" t="s">
        <v>41</v>
      </c>
      <c r="C1" s="20" t="s">
        <v>15</v>
      </c>
      <c r="D1" s="20" t="s">
        <v>38</v>
      </c>
      <c r="E1" s="20" t="s">
        <v>35</v>
      </c>
      <c r="F1" s="20" t="s">
        <v>24</v>
      </c>
      <c r="G1" s="20" t="s">
        <v>27</v>
      </c>
      <c r="H1" s="20" t="s">
        <v>17</v>
      </c>
      <c r="I1" s="20" t="s">
        <v>39</v>
      </c>
      <c r="J1" s="20" t="s">
        <v>14</v>
      </c>
      <c r="K1" s="20" t="s">
        <v>22</v>
      </c>
      <c r="L1" s="20" t="s">
        <v>36</v>
      </c>
      <c r="M1" s="20" t="s">
        <v>23</v>
      </c>
      <c r="N1" s="20" t="s">
        <v>10</v>
      </c>
      <c r="O1" s="20" t="s">
        <v>42</v>
      </c>
      <c r="P1" s="20" t="s">
        <v>16</v>
      </c>
      <c r="Q1" s="20" t="s">
        <v>28</v>
      </c>
      <c r="R1" s="20" t="s">
        <v>25</v>
      </c>
      <c r="S1" s="20" t="s">
        <v>26</v>
      </c>
      <c r="T1" s="20" t="s">
        <v>21</v>
      </c>
      <c r="U1" s="20" t="s">
        <v>32</v>
      </c>
      <c r="V1" s="20" t="s">
        <v>33</v>
      </c>
      <c r="W1" s="20" t="s">
        <v>31</v>
      </c>
      <c r="X1" s="20" t="s">
        <v>18</v>
      </c>
      <c r="Y1" s="20" t="s">
        <v>29</v>
      </c>
      <c r="Z1" s="20" t="s">
        <v>20</v>
      </c>
      <c r="AA1" s="20" t="s">
        <v>9</v>
      </c>
      <c r="AB1" s="20" t="s">
        <v>30</v>
      </c>
      <c r="AC1" s="20" t="s">
        <v>34</v>
      </c>
      <c r="AD1" s="20" t="s">
        <v>37</v>
      </c>
      <c r="AE1" s="20" t="s">
        <v>12</v>
      </c>
      <c r="AF1" s="20" t="s">
        <v>19</v>
      </c>
      <c r="AG1" s="20" t="s">
        <v>13</v>
      </c>
      <c r="AH1" s="21" t="s">
        <v>7</v>
      </c>
      <c r="AI1" s="22" t="s">
        <v>44</v>
      </c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>
      <c r="A2" s="24" t="s">
        <v>45</v>
      </c>
      <c r="B2" s="25">
        <v>4.0</v>
      </c>
      <c r="C2" s="26">
        <v>1.0</v>
      </c>
      <c r="D2" s="25">
        <v>4.0</v>
      </c>
      <c r="E2" s="25">
        <v>4.0</v>
      </c>
      <c r="F2" s="25">
        <v>4.0</v>
      </c>
      <c r="G2" s="25">
        <v>5.0</v>
      </c>
      <c r="H2" s="25">
        <v>4.0</v>
      </c>
      <c r="I2" s="25">
        <v>4.0</v>
      </c>
      <c r="J2" s="25">
        <v>4.0</v>
      </c>
      <c r="K2" s="25">
        <v>4.0</v>
      </c>
      <c r="L2" s="25">
        <v>3.0</v>
      </c>
      <c r="M2" s="25">
        <v>4.0</v>
      </c>
      <c r="N2" s="25">
        <v>4.0</v>
      </c>
      <c r="O2" s="25">
        <v>3.0</v>
      </c>
      <c r="P2" s="25">
        <v>3.0</v>
      </c>
      <c r="Q2" s="25">
        <v>3.0</v>
      </c>
      <c r="R2" s="25">
        <v>4.0</v>
      </c>
      <c r="S2" s="25">
        <v>3.0</v>
      </c>
      <c r="T2" s="25">
        <v>4.0</v>
      </c>
      <c r="U2" s="25">
        <v>4.0</v>
      </c>
      <c r="V2" s="25">
        <v>4.0</v>
      </c>
      <c r="W2" s="25">
        <v>4.0</v>
      </c>
      <c r="X2" s="25">
        <v>5.0</v>
      </c>
      <c r="Y2" s="25">
        <v>4.0</v>
      </c>
      <c r="Z2" s="25">
        <v>5.0</v>
      </c>
      <c r="AA2" s="25">
        <v>5.0</v>
      </c>
      <c r="AB2" s="25">
        <v>3.0</v>
      </c>
      <c r="AC2" s="25">
        <v>3.0</v>
      </c>
      <c r="AD2" s="25">
        <v>4.0</v>
      </c>
      <c r="AE2" s="25">
        <v>5.0</v>
      </c>
      <c r="AF2" s="25">
        <v>5.0</v>
      </c>
      <c r="AG2" s="25">
        <v>5.0</v>
      </c>
      <c r="AH2" s="25">
        <v>5.0</v>
      </c>
      <c r="AI2" s="27">
        <f t="shared" ref="AI2:AI35" si="1">SUM(B2:AH2)</f>
        <v>130</v>
      </c>
      <c r="AJ2" s="28">
        <f t="shared" ref="AJ2:AJ35" si="2">(AI2-$B$48)/$B$48</f>
        <v>0.08546168959</v>
      </c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</row>
    <row r="3">
      <c r="A3" s="24" t="s">
        <v>46</v>
      </c>
      <c r="B3" s="25">
        <v>4.0</v>
      </c>
      <c r="C3" s="25">
        <v>3.0</v>
      </c>
      <c r="D3" s="26">
        <v>1.0</v>
      </c>
      <c r="E3" s="25">
        <v>3.0</v>
      </c>
      <c r="F3" s="25">
        <v>4.0</v>
      </c>
      <c r="G3" s="25">
        <v>3.0</v>
      </c>
      <c r="H3" s="25">
        <v>4.0</v>
      </c>
      <c r="I3" s="25">
        <v>3.0</v>
      </c>
      <c r="J3" s="25">
        <v>4.0</v>
      </c>
      <c r="K3" s="25">
        <v>4.0</v>
      </c>
      <c r="L3" s="25">
        <v>3.0</v>
      </c>
      <c r="M3" s="25">
        <v>3.0</v>
      </c>
      <c r="N3" s="25">
        <v>3.0</v>
      </c>
      <c r="O3" s="25">
        <v>3.0</v>
      </c>
      <c r="P3" s="25">
        <v>4.0</v>
      </c>
      <c r="Q3" s="25">
        <v>3.0</v>
      </c>
      <c r="R3" s="25">
        <v>3.0</v>
      </c>
      <c r="S3" s="25">
        <v>3.0</v>
      </c>
      <c r="T3" s="25">
        <v>4.0</v>
      </c>
      <c r="U3" s="25">
        <v>4.0</v>
      </c>
      <c r="V3" s="25">
        <v>3.0</v>
      </c>
      <c r="W3" s="25">
        <v>3.0</v>
      </c>
      <c r="X3" s="25">
        <v>4.0</v>
      </c>
      <c r="Y3" s="25">
        <v>4.0</v>
      </c>
      <c r="Z3" s="25">
        <v>4.0</v>
      </c>
      <c r="AA3" s="25">
        <v>4.0</v>
      </c>
      <c r="AB3" s="25">
        <v>3.0</v>
      </c>
      <c r="AC3" s="25">
        <v>3.0</v>
      </c>
      <c r="AD3" s="25">
        <v>3.0</v>
      </c>
      <c r="AE3" s="25">
        <v>4.0</v>
      </c>
      <c r="AF3" s="25">
        <v>4.0</v>
      </c>
      <c r="AG3" s="25">
        <v>4.0</v>
      </c>
      <c r="AH3" s="25">
        <v>4.0</v>
      </c>
      <c r="AI3" s="27">
        <f t="shared" si="1"/>
        <v>113</v>
      </c>
      <c r="AJ3" s="28">
        <f t="shared" si="2"/>
        <v>-0.05648330059</v>
      </c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>
      <c r="A4" s="24" t="s">
        <v>47</v>
      </c>
      <c r="B4" s="25">
        <v>3.0</v>
      </c>
      <c r="C4" s="25">
        <v>3.0</v>
      </c>
      <c r="D4" s="25">
        <v>3.0</v>
      </c>
      <c r="E4" s="26">
        <v>1.0</v>
      </c>
      <c r="F4" s="25">
        <v>4.0</v>
      </c>
      <c r="G4" s="25">
        <v>3.0</v>
      </c>
      <c r="H4" s="25">
        <v>4.0</v>
      </c>
      <c r="I4" s="25">
        <v>3.0</v>
      </c>
      <c r="J4" s="25">
        <v>3.0</v>
      </c>
      <c r="K4" s="25">
        <v>4.0</v>
      </c>
      <c r="L4" s="25">
        <v>3.0</v>
      </c>
      <c r="M4" s="25">
        <v>3.0</v>
      </c>
      <c r="N4" s="25">
        <v>4.0</v>
      </c>
      <c r="O4" s="25">
        <v>3.0</v>
      </c>
      <c r="P4" s="25">
        <v>4.0</v>
      </c>
      <c r="Q4" s="25">
        <v>3.0</v>
      </c>
      <c r="R4" s="25">
        <v>3.0</v>
      </c>
      <c r="S4" s="25">
        <v>3.0</v>
      </c>
      <c r="T4" s="25">
        <v>5.0</v>
      </c>
      <c r="U4" s="25">
        <v>3.0</v>
      </c>
      <c r="V4" s="25">
        <v>3.0</v>
      </c>
      <c r="W4" s="25">
        <v>3.0</v>
      </c>
      <c r="X4" s="25">
        <v>3.0</v>
      </c>
      <c r="Y4" s="25">
        <v>3.0</v>
      </c>
      <c r="Z4" s="25">
        <v>3.0</v>
      </c>
      <c r="AA4" s="25">
        <v>5.0</v>
      </c>
      <c r="AB4" s="25">
        <v>3.0</v>
      </c>
      <c r="AC4" s="25">
        <v>3.0</v>
      </c>
      <c r="AD4" s="25">
        <v>3.0</v>
      </c>
      <c r="AE4" s="25">
        <v>4.0</v>
      </c>
      <c r="AF4" s="25">
        <v>3.0</v>
      </c>
      <c r="AG4" s="25">
        <v>4.0</v>
      </c>
      <c r="AH4" s="25">
        <v>5.0</v>
      </c>
      <c r="AI4" s="27">
        <f t="shared" si="1"/>
        <v>110</v>
      </c>
      <c r="AJ4" s="28">
        <f t="shared" si="2"/>
        <v>-0.0815324165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</row>
    <row r="5">
      <c r="A5" s="24" t="s">
        <v>48</v>
      </c>
      <c r="B5" s="25">
        <v>3.0</v>
      </c>
      <c r="C5" s="25">
        <v>4.0</v>
      </c>
      <c r="D5" s="25">
        <v>3.0</v>
      </c>
      <c r="E5" s="25">
        <v>4.0</v>
      </c>
      <c r="F5" s="26">
        <v>1.0</v>
      </c>
      <c r="G5" s="25">
        <v>4.0</v>
      </c>
      <c r="H5" s="25">
        <v>4.0</v>
      </c>
      <c r="I5" s="25">
        <v>4.0</v>
      </c>
      <c r="J5" s="25">
        <v>5.0</v>
      </c>
      <c r="K5" s="25">
        <v>5.0</v>
      </c>
      <c r="L5" s="25">
        <v>4.0</v>
      </c>
      <c r="M5" s="25">
        <v>4.0</v>
      </c>
      <c r="N5" s="25">
        <v>5.0</v>
      </c>
      <c r="O5" s="25">
        <v>3.0</v>
      </c>
      <c r="P5" s="25">
        <v>4.0</v>
      </c>
      <c r="Q5" s="25">
        <v>4.0</v>
      </c>
      <c r="R5" s="25">
        <v>3.0</v>
      </c>
      <c r="S5" s="25">
        <v>5.0</v>
      </c>
      <c r="T5" s="25">
        <v>4.0</v>
      </c>
      <c r="U5" s="25">
        <v>3.0</v>
      </c>
      <c r="V5" s="25">
        <v>5.0</v>
      </c>
      <c r="W5" s="25">
        <v>4.0</v>
      </c>
      <c r="X5" s="25">
        <v>5.0</v>
      </c>
      <c r="Y5" s="25">
        <v>4.0</v>
      </c>
      <c r="Z5" s="25">
        <v>5.0</v>
      </c>
      <c r="AA5" s="25">
        <v>5.0</v>
      </c>
      <c r="AB5" s="25">
        <v>4.0</v>
      </c>
      <c r="AC5" s="25">
        <v>4.0</v>
      </c>
      <c r="AD5" s="25">
        <v>3.0</v>
      </c>
      <c r="AE5" s="25">
        <v>5.0</v>
      </c>
      <c r="AF5" s="25">
        <v>5.0</v>
      </c>
      <c r="AG5" s="25">
        <v>5.0</v>
      </c>
      <c r="AH5" s="25">
        <v>5.0</v>
      </c>
      <c r="AI5" s="27">
        <f t="shared" si="1"/>
        <v>135</v>
      </c>
      <c r="AJ5" s="28">
        <f t="shared" si="2"/>
        <v>0.1272102161</v>
      </c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</row>
    <row r="6">
      <c r="A6" s="29" t="s">
        <v>49</v>
      </c>
      <c r="B6" s="25">
        <v>3.0</v>
      </c>
      <c r="C6" s="25">
        <v>3.0</v>
      </c>
      <c r="D6" s="25">
        <v>2.0</v>
      </c>
      <c r="E6" s="25">
        <v>2.0</v>
      </c>
      <c r="F6" s="25">
        <v>4.0</v>
      </c>
      <c r="G6" s="26">
        <v>1.0</v>
      </c>
      <c r="H6" s="25">
        <v>2.0</v>
      </c>
      <c r="I6" s="25">
        <v>3.0</v>
      </c>
      <c r="J6" s="25">
        <v>4.0</v>
      </c>
      <c r="K6" s="25">
        <v>5.0</v>
      </c>
      <c r="L6" s="25">
        <v>2.0</v>
      </c>
      <c r="M6" s="25">
        <v>4.0</v>
      </c>
      <c r="N6" s="25">
        <v>4.0</v>
      </c>
      <c r="O6" s="25">
        <v>3.0</v>
      </c>
      <c r="P6" s="25">
        <v>4.0</v>
      </c>
      <c r="Q6" s="25">
        <v>3.0</v>
      </c>
      <c r="R6" s="25">
        <v>4.0</v>
      </c>
      <c r="S6" s="25">
        <v>3.0</v>
      </c>
      <c r="T6" s="25">
        <v>3.0</v>
      </c>
      <c r="U6" s="25">
        <v>4.0</v>
      </c>
      <c r="V6" s="25">
        <v>3.0</v>
      </c>
      <c r="W6" s="25">
        <v>3.0</v>
      </c>
      <c r="X6" s="25">
        <v>4.0</v>
      </c>
      <c r="Y6" s="25">
        <v>4.0</v>
      </c>
      <c r="Z6" s="25">
        <v>5.0</v>
      </c>
      <c r="AA6" s="25">
        <v>5.0</v>
      </c>
      <c r="AB6" s="25">
        <v>3.0</v>
      </c>
      <c r="AC6" s="25">
        <v>3.0</v>
      </c>
      <c r="AD6" s="25">
        <v>2.0</v>
      </c>
      <c r="AE6" s="25">
        <v>4.0</v>
      </c>
      <c r="AF6" s="25">
        <v>5.0</v>
      </c>
      <c r="AG6" s="25">
        <v>3.0</v>
      </c>
      <c r="AH6" s="25">
        <v>5.0</v>
      </c>
      <c r="AI6" s="27">
        <f t="shared" si="1"/>
        <v>112</v>
      </c>
      <c r="AJ6" s="28">
        <f t="shared" si="2"/>
        <v>-0.06483300589</v>
      </c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</row>
    <row r="7">
      <c r="A7" s="24" t="s">
        <v>50</v>
      </c>
      <c r="B7" s="25">
        <v>2.0</v>
      </c>
      <c r="C7" s="25">
        <v>5.0</v>
      </c>
      <c r="D7" s="25">
        <v>3.0</v>
      </c>
      <c r="E7" s="25">
        <v>2.0</v>
      </c>
      <c r="F7" s="25">
        <v>4.0</v>
      </c>
      <c r="G7" s="25">
        <v>4.0</v>
      </c>
      <c r="H7" s="26">
        <v>1.0</v>
      </c>
      <c r="I7" s="25">
        <v>3.0</v>
      </c>
      <c r="J7" s="25">
        <v>4.0</v>
      </c>
      <c r="K7" s="25">
        <v>3.0</v>
      </c>
      <c r="L7" s="25">
        <v>3.0</v>
      </c>
      <c r="M7" s="25">
        <v>5.0</v>
      </c>
      <c r="N7" s="25">
        <v>4.0</v>
      </c>
      <c r="O7" s="25">
        <v>2.0</v>
      </c>
      <c r="P7" s="25">
        <v>5.0</v>
      </c>
      <c r="Q7" s="25">
        <v>5.0</v>
      </c>
      <c r="R7" s="25">
        <v>3.0</v>
      </c>
      <c r="S7" s="25">
        <v>3.0</v>
      </c>
      <c r="T7" s="25">
        <v>4.0</v>
      </c>
      <c r="U7" s="25">
        <v>3.0</v>
      </c>
      <c r="V7" s="25">
        <v>4.0</v>
      </c>
      <c r="W7" s="25">
        <v>4.0</v>
      </c>
      <c r="X7" s="25">
        <v>3.0</v>
      </c>
      <c r="Y7" s="25">
        <v>4.0</v>
      </c>
      <c r="Z7" s="25">
        <v>3.0</v>
      </c>
      <c r="AA7" s="25">
        <v>5.0</v>
      </c>
      <c r="AB7" s="25">
        <v>3.0</v>
      </c>
      <c r="AC7" s="25">
        <v>3.0</v>
      </c>
      <c r="AD7" s="25">
        <v>3.0</v>
      </c>
      <c r="AE7" s="25">
        <v>5.0</v>
      </c>
      <c r="AF7" s="25">
        <v>3.0</v>
      </c>
      <c r="AG7" s="25">
        <v>5.0</v>
      </c>
      <c r="AH7" s="25">
        <v>5.0</v>
      </c>
      <c r="AI7" s="27">
        <f t="shared" si="1"/>
        <v>118</v>
      </c>
      <c r="AJ7" s="28">
        <f t="shared" si="2"/>
        <v>-0.01473477407</v>
      </c>
      <c r="AK7" s="25"/>
      <c r="AL7" s="25"/>
      <c r="AM7" s="1"/>
      <c r="AN7" s="1"/>
      <c r="AO7" s="1"/>
      <c r="AP7" s="1"/>
      <c r="AQ7" s="1"/>
      <c r="AR7" s="1"/>
      <c r="AS7" s="1"/>
      <c r="AT7" s="1"/>
      <c r="AU7" s="1"/>
    </row>
    <row r="8">
      <c r="A8" s="24" t="s">
        <v>51</v>
      </c>
      <c r="B8" s="25">
        <v>2.0</v>
      </c>
      <c r="C8" s="25">
        <v>5.0</v>
      </c>
      <c r="D8" s="25">
        <v>4.0</v>
      </c>
      <c r="E8" s="25">
        <v>4.0</v>
      </c>
      <c r="F8" s="25">
        <v>4.0</v>
      </c>
      <c r="G8" s="25">
        <v>3.0</v>
      </c>
      <c r="H8" s="25">
        <v>5.0</v>
      </c>
      <c r="I8" s="26">
        <v>1.0</v>
      </c>
      <c r="J8" s="25">
        <v>4.0</v>
      </c>
      <c r="K8" s="25">
        <v>5.0</v>
      </c>
      <c r="L8" s="25">
        <v>3.0</v>
      </c>
      <c r="M8" s="25">
        <v>4.0</v>
      </c>
      <c r="N8" s="25">
        <v>3.0</v>
      </c>
      <c r="O8" s="25">
        <v>2.0</v>
      </c>
      <c r="P8" s="25">
        <v>5.0</v>
      </c>
      <c r="Q8" s="25">
        <v>4.0</v>
      </c>
      <c r="R8" s="25">
        <v>4.0</v>
      </c>
      <c r="S8" s="25">
        <v>3.0</v>
      </c>
      <c r="T8" s="25">
        <v>5.0</v>
      </c>
      <c r="U8" s="25">
        <v>2.0</v>
      </c>
      <c r="V8" s="25">
        <v>4.0</v>
      </c>
      <c r="W8" s="25">
        <v>3.0</v>
      </c>
      <c r="X8" s="25">
        <v>4.0</v>
      </c>
      <c r="Y8" s="25">
        <v>4.0</v>
      </c>
      <c r="Z8" s="25">
        <v>4.0</v>
      </c>
      <c r="AA8" s="25">
        <v>4.0</v>
      </c>
      <c r="AB8" s="25">
        <v>4.0</v>
      </c>
      <c r="AC8" s="25">
        <v>4.0</v>
      </c>
      <c r="AD8" s="25">
        <v>3.0</v>
      </c>
      <c r="AE8" s="25">
        <v>5.0</v>
      </c>
      <c r="AF8" s="25">
        <v>4.0</v>
      </c>
      <c r="AG8" s="25">
        <v>5.0</v>
      </c>
      <c r="AH8" s="25">
        <v>5.0</v>
      </c>
      <c r="AI8" s="27">
        <f t="shared" si="1"/>
        <v>125</v>
      </c>
      <c r="AJ8" s="28">
        <f t="shared" si="2"/>
        <v>0.04371316306</v>
      </c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</row>
    <row r="9">
      <c r="A9" s="30" t="s">
        <v>52</v>
      </c>
      <c r="B9" s="25">
        <v>4.0</v>
      </c>
      <c r="C9" s="25">
        <v>5.0</v>
      </c>
      <c r="D9" s="25">
        <v>3.0</v>
      </c>
      <c r="E9" s="25">
        <v>3.0</v>
      </c>
      <c r="F9" s="25">
        <v>3.0</v>
      </c>
      <c r="G9" s="25">
        <v>4.0</v>
      </c>
      <c r="H9" s="25">
        <v>4.0</v>
      </c>
      <c r="I9" s="25">
        <v>3.0</v>
      </c>
      <c r="J9" s="31">
        <v>5.0</v>
      </c>
      <c r="K9" s="25">
        <v>3.0</v>
      </c>
      <c r="L9" s="25">
        <v>3.0</v>
      </c>
      <c r="M9" s="25">
        <v>4.0</v>
      </c>
      <c r="N9" s="25">
        <v>5.0</v>
      </c>
      <c r="O9" s="25">
        <v>3.0</v>
      </c>
      <c r="P9" s="25">
        <v>3.0</v>
      </c>
      <c r="Q9" s="25">
        <v>4.0</v>
      </c>
      <c r="R9" s="25">
        <v>3.0</v>
      </c>
      <c r="S9" s="25">
        <v>3.0</v>
      </c>
      <c r="T9" s="25">
        <v>3.0</v>
      </c>
      <c r="U9" s="25">
        <v>4.0</v>
      </c>
      <c r="V9" s="25">
        <v>4.0</v>
      </c>
      <c r="W9" s="25">
        <v>4.0</v>
      </c>
      <c r="X9" s="25">
        <v>3.0</v>
      </c>
      <c r="Y9" s="25">
        <v>3.0</v>
      </c>
      <c r="Z9" s="25">
        <v>3.0</v>
      </c>
      <c r="AA9" s="25">
        <v>5.0</v>
      </c>
      <c r="AB9" s="25">
        <v>3.0</v>
      </c>
      <c r="AC9" s="25">
        <v>3.0</v>
      </c>
      <c r="AD9" s="25">
        <v>3.0</v>
      </c>
      <c r="AE9" s="25">
        <v>4.0</v>
      </c>
      <c r="AF9" s="25">
        <v>4.0</v>
      </c>
      <c r="AG9" s="25">
        <v>5.0</v>
      </c>
      <c r="AH9" s="25">
        <v>5.0</v>
      </c>
      <c r="AI9" s="27">
        <f t="shared" si="1"/>
        <v>121</v>
      </c>
      <c r="AJ9" s="28">
        <f t="shared" si="2"/>
        <v>0.01031434185</v>
      </c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</row>
    <row r="10">
      <c r="A10" s="24" t="s">
        <v>53</v>
      </c>
      <c r="B10" s="25">
        <v>4.0</v>
      </c>
      <c r="C10" s="25">
        <v>5.0</v>
      </c>
      <c r="D10" s="25">
        <v>3.0</v>
      </c>
      <c r="E10" s="25">
        <v>3.0</v>
      </c>
      <c r="F10" s="25">
        <v>4.0</v>
      </c>
      <c r="G10" s="25">
        <v>4.0</v>
      </c>
      <c r="H10" s="25">
        <v>3.0</v>
      </c>
      <c r="I10" s="25">
        <v>3.0</v>
      </c>
      <c r="J10" s="26">
        <v>1.0</v>
      </c>
      <c r="K10" s="25">
        <v>3.0</v>
      </c>
      <c r="L10" s="25">
        <v>3.0</v>
      </c>
      <c r="M10" s="25">
        <v>4.0</v>
      </c>
      <c r="N10" s="25">
        <v>5.0</v>
      </c>
      <c r="O10" s="25">
        <v>3.0</v>
      </c>
      <c r="P10" s="25">
        <v>4.0</v>
      </c>
      <c r="Q10" s="25">
        <v>3.0</v>
      </c>
      <c r="R10" s="25">
        <v>5.0</v>
      </c>
      <c r="S10" s="25">
        <v>4.0</v>
      </c>
      <c r="T10" s="25">
        <v>3.0</v>
      </c>
      <c r="U10" s="25">
        <v>5.0</v>
      </c>
      <c r="V10" s="25">
        <v>4.0</v>
      </c>
      <c r="W10" s="25">
        <v>3.0</v>
      </c>
      <c r="X10" s="25">
        <v>3.0</v>
      </c>
      <c r="Y10" s="25">
        <v>5.0</v>
      </c>
      <c r="Z10" s="25">
        <v>4.0</v>
      </c>
      <c r="AA10" s="25">
        <v>4.0</v>
      </c>
      <c r="AB10" s="25">
        <v>5.0</v>
      </c>
      <c r="AC10" s="25">
        <v>4.0</v>
      </c>
      <c r="AD10" s="25">
        <v>3.0</v>
      </c>
      <c r="AE10" s="25">
        <v>4.0</v>
      </c>
      <c r="AF10" s="25">
        <v>5.0</v>
      </c>
      <c r="AG10" s="25">
        <v>4.0</v>
      </c>
      <c r="AH10" s="25">
        <v>5.0</v>
      </c>
      <c r="AI10" s="27">
        <f t="shared" si="1"/>
        <v>125</v>
      </c>
      <c r="AJ10" s="28">
        <f t="shared" si="2"/>
        <v>0.04371316306</v>
      </c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</row>
    <row r="11">
      <c r="A11" s="24" t="s">
        <v>54</v>
      </c>
      <c r="B11" s="25">
        <v>2.0</v>
      </c>
      <c r="C11" s="25">
        <v>4.0</v>
      </c>
      <c r="D11" s="25">
        <v>3.0</v>
      </c>
      <c r="E11" s="25">
        <v>5.0</v>
      </c>
      <c r="F11" s="25">
        <v>3.0</v>
      </c>
      <c r="G11" s="25">
        <v>3.0</v>
      </c>
      <c r="H11" s="25">
        <v>4.0</v>
      </c>
      <c r="I11" s="25">
        <v>3.0</v>
      </c>
      <c r="J11" s="25">
        <v>3.0</v>
      </c>
      <c r="K11" s="26">
        <v>1.0</v>
      </c>
      <c r="L11" s="25">
        <v>3.0</v>
      </c>
      <c r="M11" s="25">
        <v>3.0</v>
      </c>
      <c r="N11" s="25">
        <v>3.0</v>
      </c>
      <c r="O11" s="25">
        <v>2.0</v>
      </c>
      <c r="P11" s="25">
        <v>3.0</v>
      </c>
      <c r="Q11" s="25">
        <v>4.0</v>
      </c>
      <c r="R11" s="25">
        <v>3.0</v>
      </c>
      <c r="S11" s="25">
        <v>5.0</v>
      </c>
      <c r="T11" s="25">
        <v>4.0</v>
      </c>
      <c r="U11" s="25">
        <v>4.0</v>
      </c>
      <c r="V11" s="25">
        <v>4.0</v>
      </c>
      <c r="W11" s="25">
        <v>3.0</v>
      </c>
      <c r="X11" s="25">
        <v>3.0</v>
      </c>
      <c r="Y11" s="25">
        <v>4.0</v>
      </c>
      <c r="Z11" s="25">
        <v>3.0</v>
      </c>
      <c r="AA11" s="25">
        <v>5.0</v>
      </c>
      <c r="AB11" s="25">
        <v>3.0</v>
      </c>
      <c r="AC11" s="25">
        <v>3.0</v>
      </c>
      <c r="AD11" s="25">
        <v>3.0</v>
      </c>
      <c r="AE11" s="25">
        <v>5.0</v>
      </c>
      <c r="AF11" s="25">
        <v>3.0</v>
      </c>
      <c r="AG11" s="25">
        <v>3.0</v>
      </c>
      <c r="AH11" s="25">
        <v>4.0</v>
      </c>
      <c r="AI11" s="27">
        <f t="shared" si="1"/>
        <v>111</v>
      </c>
      <c r="AJ11" s="28">
        <f t="shared" si="2"/>
        <v>-0.0731827112</v>
      </c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</row>
    <row r="12">
      <c r="A12" s="24" t="s">
        <v>55</v>
      </c>
      <c r="B12" s="25">
        <v>3.0</v>
      </c>
      <c r="C12" s="25">
        <v>5.0</v>
      </c>
      <c r="D12" s="25">
        <v>3.0</v>
      </c>
      <c r="E12" s="25">
        <v>3.0</v>
      </c>
      <c r="F12" s="25">
        <v>4.0</v>
      </c>
      <c r="G12" s="25">
        <v>5.0</v>
      </c>
      <c r="H12" s="25">
        <v>4.0</v>
      </c>
      <c r="I12" s="25">
        <v>3.0</v>
      </c>
      <c r="J12" s="25">
        <v>5.0</v>
      </c>
      <c r="K12" s="25">
        <v>5.0</v>
      </c>
      <c r="L12" s="26">
        <v>1.0</v>
      </c>
      <c r="M12" s="25">
        <v>5.0</v>
      </c>
      <c r="N12" s="25">
        <v>5.0</v>
      </c>
      <c r="O12" s="25">
        <v>3.0</v>
      </c>
      <c r="P12" s="25">
        <v>4.0</v>
      </c>
      <c r="Q12" s="25">
        <v>4.0</v>
      </c>
      <c r="R12" s="25">
        <v>4.0</v>
      </c>
      <c r="S12" s="25">
        <v>3.0</v>
      </c>
      <c r="T12" s="25">
        <v>4.0</v>
      </c>
      <c r="U12" s="25">
        <v>3.0</v>
      </c>
      <c r="V12" s="25">
        <v>4.0</v>
      </c>
      <c r="W12" s="25">
        <v>3.0</v>
      </c>
      <c r="X12" s="25">
        <v>4.0</v>
      </c>
      <c r="Y12" s="25">
        <v>3.0</v>
      </c>
      <c r="Z12" s="25">
        <v>3.0</v>
      </c>
      <c r="AA12" s="25">
        <v>4.0</v>
      </c>
      <c r="AB12" s="25">
        <v>4.0</v>
      </c>
      <c r="AC12" s="25">
        <v>5.0</v>
      </c>
      <c r="AD12" s="25">
        <v>5.0</v>
      </c>
      <c r="AE12" s="25">
        <v>3.0</v>
      </c>
      <c r="AF12" s="25">
        <v>5.0</v>
      </c>
      <c r="AG12" s="25">
        <v>5.0</v>
      </c>
      <c r="AH12" s="25">
        <v>4.0</v>
      </c>
      <c r="AI12" s="27">
        <f t="shared" si="1"/>
        <v>128</v>
      </c>
      <c r="AJ12" s="28">
        <f t="shared" si="2"/>
        <v>0.06876227898</v>
      </c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</row>
    <row r="13">
      <c r="A13" s="24" t="s">
        <v>56</v>
      </c>
      <c r="B13" s="25">
        <v>3.0</v>
      </c>
      <c r="C13" s="25">
        <v>5.0</v>
      </c>
      <c r="D13" s="25">
        <v>3.0</v>
      </c>
      <c r="E13" s="25">
        <v>3.0</v>
      </c>
      <c r="F13" s="25">
        <v>4.0</v>
      </c>
      <c r="G13" s="25">
        <v>5.0</v>
      </c>
      <c r="H13" s="25">
        <v>5.0</v>
      </c>
      <c r="I13" s="25">
        <v>3.0</v>
      </c>
      <c r="J13" s="25">
        <v>4.0</v>
      </c>
      <c r="K13" s="25">
        <v>4.0</v>
      </c>
      <c r="L13" s="25">
        <v>3.0</v>
      </c>
      <c r="M13" s="26">
        <v>1.0</v>
      </c>
      <c r="N13" s="25">
        <v>4.0</v>
      </c>
      <c r="O13" s="25">
        <v>3.0</v>
      </c>
      <c r="P13" s="25">
        <v>4.0</v>
      </c>
      <c r="Q13" s="25">
        <v>4.0</v>
      </c>
      <c r="R13" s="25">
        <v>4.0</v>
      </c>
      <c r="S13" s="25">
        <v>4.0</v>
      </c>
      <c r="T13" s="25">
        <v>3.0</v>
      </c>
      <c r="U13" s="25">
        <v>3.0</v>
      </c>
      <c r="V13" s="25">
        <v>4.0</v>
      </c>
      <c r="W13" s="25">
        <v>5.0</v>
      </c>
      <c r="X13" s="25">
        <v>5.0</v>
      </c>
      <c r="Y13" s="25">
        <v>3.0</v>
      </c>
      <c r="Z13" s="25">
        <v>5.0</v>
      </c>
      <c r="AA13" s="25">
        <v>5.0</v>
      </c>
      <c r="AB13" s="25">
        <v>4.0</v>
      </c>
      <c r="AC13" s="25">
        <v>4.0</v>
      </c>
      <c r="AD13" s="25">
        <v>3.0</v>
      </c>
      <c r="AE13" s="25">
        <v>3.0</v>
      </c>
      <c r="AF13" s="25">
        <v>5.0</v>
      </c>
      <c r="AG13" s="25">
        <v>4.0</v>
      </c>
      <c r="AH13" s="25">
        <v>5.0</v>
      </c>
      <c r="AI13" s="27">
        <f t="shared" si="1"/>
        <v>127</v>
      </c>
      <c r="AJ13" s="28">
        <f t="shared" si="2"/>
        <v>0.06041257367</v>
      </c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</row>
    <row r="14">
      <c r="A14" s="24" t="s">
        <v>57</v>
      </c>
      <c r="B14" s="25">
        <v>2.0</v>
      </c>
      <c r="C14" s="25">
        <v>5.0</v>
      </c>
      <c r="D14" s="25">
        <v>2.0</v>
      </c>
      <c r="E14" s="25">
        <v>3.0</v>
      </c>
      <c r="F14" s="25">
        <v>3.0</v>
      </c>
      <c r="G14" s="25">
        <v>3.0</v>
      </c>
      <c r="H14" s="25">
        <v>4.0</v>
      </c>
      <c r="I14" s="25">
        <v>3.0</v>
      </c>
      <c r="J14" s="25">
        <v>5.0</v>
      </c>
      <c r="K14" s="25">
        <v>3.0</v>
      </c>
      <c r="L14" s="25">
        <v>3.0</v>
      </c>
      <c r="M14" s="25">
        <v>4.0</v>
      </c>
      <c r="N14" s="26">
        <v>1.0</v>
      </c>
      <c r="O14" s="25">
        <v>2.0</v>
      </c>
      <c r="P14" s="25">
        <v>5.0</v>
      </c>
      <c r="Q14" s="25">
        <v>4.0</v>
      </c>
      <c r="R14" s="25">
        <v>3.0</v>
      </c>
      <c r="S14" s="25">
        <v>3.0</v>
      </c>
      <c r="T14" s="25">
        <v>3.0</v>
      </c>
      <c r="U14" s="25">
        <v>3.0</v>
      </c>
      <c r="V14" s="25">
        <v>3.0</v>
      </c>
      <c r="W14" s="25">
        <v>3.0</v>
      </c>
      <c r="X14" s="25">
        <v>5.0</v>
      </c>
      <c r="Y14" s="25">
        <v>3.0</v>
      </c>
      <c r="Z14" s="25">
        <v>3.0</v>
      </c>
      <c r="AA14" s="25">
        <v>5.0</v>
      </c>
      <c r="AB14" s="25">
        <v>4.0</v>
      </c>
      <c r="AC14" s="25">
        <v>3.0</v>
      </c>
      <c r="AD14" s="25">
        <v>2.0</v>
      </c>
      <c r="AE14" s="25">
        <v>4.0</v>
      </c>
      <c r="AF14" s="25">
        <v>5.0</v>
      </c>
      <c r="AG14" s="25">
        <v>4.0</v>
      </c>
      <c r="AH14" s="25">
        <v>5.0</v>
      </c>
      <c r="AI14" s="27">
        <f t="shared" si="1"/>
        <v>113</v>
      </c>
      <c r="AJ14" s="28">
        <f t="shared" si="2"/>
        <v>-0.05648330059</v>
      </c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</row>
    <row r="15">
      <c r="A15" s="24" t="s">
        <v>58</v>
      </c>
      <c r="B15" s="25">
        <v>3.0</v>
      </c>
      <c r="C15" s="25">
        <v>3.0</v>
      </c>
      <c r="D15" s="25">
        <v>3.0</v>
      </c>
      <c r="E15" s="25">
        <v>3.0</v>
      </c>
      <c r="F15" s="25">
        <v>4.0</v>
      </c>
      <c r="G15" s="25">
        <v>3.0</v>
      </c>
      <c r="H15" s="25">
        <v>4.0</v>
      </c>
      <c r="I15" s="25">
        <v>3.0</v>
      </c>
      <c r="J15" s="25">
        <v>5.0</v>
      </c>
      <c r="K15" s="25">
        <v>3.0</v>
      </c>
      <c r="L15" s="25">
        <v>3.0</v>
      </c>
      <c r="M15" s="25">
        <v>4.0</v>
      </c>
      <c r="N15" s="25">
        <v>4.0</v>
      </c>
      <c r="O15" s="26">
        <v>1.0</v>
      </c>
      <c r="P15" s="25">
        <v>4.0</v>
      </c>
      <c r="Q15" s="25">
        <v>4.0</v>
      </c>
      <c r="R15" s="25">
        <v>5.0</v>
      </c>
      <c r="S15" s="25">
        <v>4.0</v>
      </c>
      <c r="T15" s="25">
        <v>4.0</v>
      </c>
      <c r="U15" s="25">
        <v>3.0</v>
      </c>
      <c r="V15" s="25">
        <v>3.0</v>
      </c>
      <c r="W15" s="25">
        <v>3.0</v>
      </c>
      <c r="X15" s="25">
        <v>3.0</v>
      </c>
      <c r="Y15" s="25">
        <v>5.0</v>
      </c>
      <c r="Z15" s="25">
        <v>5.0</v>
      </c>
      <c r="AA15" s="25">
        <v>4.0</v>
      </c>
      <c r="AB15" s="25">
        <v>3.0</v>
      </c>
      <c r="AC15" s="25">
        <v>3.0</v>
      </c>
      <c r="AD15" s="25">
        <v>3.0</v>
      </c>
      <c r="AE15" s="25">
        <v>5.0</v>
      </c>
      <c r="AF15" s="25">
        <v>3.0</v>
      </c>
      <c r="AG15" s="25">
        <v>4.0</v>
      </c>
      <c r="AH15" s="25">
        <v>5.0</v>
      </c>
      <c r="AI15" s="27">
        <f t="shared" si="1"/>
        <v>119</v>
      </c>
      <c r="AJ15" s="28">
        <f t="shared" si="2"/>
        <v>-0.006385068762</v>
      </c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6">
      <c r="A16" s="24" t="s">
        <v>59</v>
      </c>
      <c r="B16" s="25">
        <v>4.0</v>
      </c>
      <c r="C16" s="25">
        <v>4.0</v>
      </c>
      <c r="D16" s="25">
        <v>3.0</v>
      </c>
      <c r="E16" s="25">
        <v>4.0</v>
      </c>
      <c r="F16" s="25">
        <v>4.0</v>
      </c>
      <c r="G16" s="25">
        <v>4.0</v>
      </c>
      <c r="H16" s="25">
        <v>5.0</v>
      </c>
      <c r="I16" s="25">
        <v>4.0</v>
      </c>
      <c r="J16" s="25">
        <v>3.0</v>
      </c>
      <c r="K16" s="25">
        <v>4.0</v>
      </c>
      <c r="L16" s="25">
        <v>4.0</v>
      </c>
      <c r="M16" s="25">
        <v>4.0</v>
      </c>
      <c r="N16" s="25">
        <v>5.0</v>
      </c>
      <c r="O16" s="25">
        <v>3.0</v>
      </c>
      <c r="P16" s="26">
        <v>1.0</v>
      </c>
      <c r="Q16" s="25">
        <v>5.0</v>
      </c>
      <c r="R16" s="25">
        <v>3.0</v>
      </c>
      <c r="S16" s="25">
        <v>5.0</v>
      </c>
      <c r="T16" s="25">
        <v>4.0</v>
      </c>
      <c r="U16" s="25">
        <v>4.0</v>
      </c>
      <c r="V16" s="25">
        <v>4.0</v>
      </c>
      <c r="W16" s="25">
        <v>3.0</v>
      </c>
      <c r="X16" s="25">
        <v>4.0</v>
      </c>
      <c r="Y16" s="25">
        <v>4.0</v>
      </c>
      <c r="Z16" s="25">
        <v>4.0</v>
      </c>
      <c r="AA16" s="25">
        <v>4.0</v>
      </c>
      <c r="AB16" s="25">
        <v>4.0</v>
      </c>
      <c r="AC16" s="25">
        <v>3.0</v>
      </c>
      <c r="AD16" s="25">
        <v>4.0</v>
      </c>
      <c r="AE16" s="25">
        <v>3.0</v>
      </c>
      <c r="AF16" s="25">
        <v>5.0</v>
      </c>
      <c r="AG16" s="25">
        <v>4.0</v>
      </c>
      <c r="AH16" s="25">
        <v>4.0</v>
      </c>
      <c r="AI16" s="27">
        <f t="shared" si="1"/>
        <v>127</v>
      </c>
      <c r="AJ16" s="28">
        <f t="shared" si="2"/>
        <v>0.06041257367</v>
      </c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</row>
    <row r="17">
      <c r="A17" s="24" t="s">
        <v>60</v>
      </c>
      <c r="B17" s="25">
        <v>2.0</v>
      </c>
      <c r="C17" s="25">
        <v>4.0</v>
      </c>
      <c r="D17" s="25">
        <v>3.0</v>
      </c>
      <c r="E17" s="25">
        <v>3.0</v>
      </c>
      <c r="F17" s="25">
        <v>3.0</v>
      </c>
      <c r="G17" s="25">
        <v>4.0</v>
      </c>
      <c r="H17" s="25">
        <v>5.0</v>
      </c>
      <c r="I17" s="25">
        <v>2.0</v>
      </c>
      <c r="J17" s="25">
        <v>4.0</v>
      </c>
      <c r="K17" s="25">
        <v>4.0</v>
      </c>
      <c r="L17" s="25">
        <v>3.0</v>
      </c>
      <c r="M17" s="25">
        <v>3.0</v>
      </c>
      <c r="N17" s="25">
        <v>5.0</v>
      </c>
      <c r="O17" s="25">
        <v>2.0</v>
      </c>
      <c r="P17" s="25">
        <v>3.0</v>
      </c>
      <c r="Q17" s="26">
        <v>1.0</v>
      </c>
      <c r="R17" s="25">
        <v>3.0</v>
      </c>
      <c r="S17" s="25">
        <v>4.0</v>
      </c>
      <c r="T17" s="25">
        <v>5.0</v>
      </c>
      <c r="U17" s="25">
        <v>5.0</v>
      </c>
      <c r="V17" s="25">
        <v>3.0</v>
      </c>
      <c r="W17" s="25">
        <v>4.0</v>
      </c>
      <c r="X17" s="25">
        <v>5.0</v>
      </c>
      <c r="Y17" s="25">
        <v>3.0</v>
      </c>
      <c r="Z17" s="25">
        <v>5.0</v>
      </c>
      <c r="AA17" s="25">
        <v>5.0</v>
      </c>
      <c r="AB17" s="25">
        <v>5.0</v>
      </c>
      <c r="AC17" s="25">
        <v>3.0</v>
      </c>
      <c r="AD17" s="25">
        <v>3.0</v>
      </c>
      <c r="AE17" s="25">
        <v>4.0</v>
      </c>
      <c r="AF17" s="25">
        <v>4.0</v>
      </c>
      <c r="AG17" s="25">
        <v>5.0</v>
      </c>
      <c r="AH17" s="25">
        <v>5.0</v>
      </c>
      <c r="AI17" s="27">
        <f t="shared" si="1"/>
        <v>122</v>
      </c>
      <c r="AJ17" s="28">
        <f t="shared" si="2"/>
        <v>0.01866404715</v>
      </c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</row>
    <row r="18">
      <c r="A18" s="24" t="s">
        <v>61</v>
      </c>
      <c r="B18" s="25">
        <v>2.0</v>
      </c>
      <c r="C18" s="25">
        <v>3.0</v>
      </c>
      <c r="D18" s="25">
        <v>3.0</v>
      </c>
      <c r="E18" s="25">
        <v>3.0</v>
      </c>
      <c r="F18" s="25">
        <v>4.0</v>
      </c>
      <c r="G18" s="25">
        <v>3.0</v>
      </c>
      <c r="H18" s="25">
        <v>4.0</v>
      </c>
      <c r="I18" s="25">
        <v>3.0</v>
      </c>
      <c r="J18" s="25">
        <v>4.0</v>
      </c>
      <c r="K18" s="25">
        <v>3.0</v>
      </c>
      <c r="L18" s="25">
        <v>3.0</v>
      </c>
      <c r="M18" s="25">
        <v>3.0</v>
      </c>
      <c r="N18" s="25">
        <v>5.0</v>
      </c>
      <c r="O18" s="25">
        <v>2.0</v>
      </c>
      <c r="P18" s="25">
        <v>3.0</v>
      </c>
      <c r="Q18" s="25">
        <v>3.0</v>
      </c>
      <c r="R18" s="26">
        <v>1.0</v>
      </c>
      <c r="S18" s="25">
        <v>3.0</v>
      </c>
      <c r="T18" s="25">
        <v>4.0</v>
      </c>
      <c r="U18" s="25">
        <v>3.0</v>
      </c>
      <c r="V18" s="25">
        <v>3.0</v>
      </c>
      <c r="W18" s="25">
        <v>4.0</v>
      </c>
      <c r="X18" s="25">
        <v>4.0</v>
      </c>
      <c r="Y18" s="25">
        <v>3.0</v>
      </c>
      <c r="Z18" s="25">
        <v>5.0</v>
      </c>
      <c r="AA18" s="25">
        <v>5.0</v>
      </c>
      <c r="AB18" s="25">
        <v>3.0</v>
      </c>
      <c r="AC18" s="25">
        <v>4.0</v>
      </c>
      <c r="AD18" s="25">
        <v>3.0</v>
      </c>
      <c r="AE18" s="25">
        <v>5.0</v>
      </c>
      <c r="AF18" s="25">
        <v>4.0</v>
      </c>
      <c r="AG18" s="25">
        <v>5.0</v>
      </c>
      <c r="AH18" s="25">
        <v>5.0</v>
      </c>
      <c r="AI18" s="27">
        <f t="shared" si="1"/>
        <v>115</v>
      </c>
      <c r="AJ18" s="28">
        <f t="shared" si="2"/>
        <v>-0.03978388998</v>
      </c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</row>
    <row r="19">
      <c r="A19" s="24" t="s">
        <v>62</v>
      </c>
      <c r="B19" s="25">
        <v>3.0</v>
      </c>
      <c r="C19" s="25">
        <v>4.0</v>
      </c>
      <c r="D19" s="25">
        <v>3.0</v>
      </c>
      <c r="E19" s="25">
        <v>3.0</v>
      </c>
      <c r="F19" s="25">
        <v>5.0</v>
      </c>
      <c r="G19" s="25">
        <v>4.0</v>
      </c>
      <c r="H19" s="25">
        <v>5.0</v>
      </c>
      <c r="I19" s="25">
        <v>3.0</v>
      </c>
      <c r="J19" s="25">
        <v>5.0</v>
      </c>
      <c r="K19" s="25">
        <v>5.0</v>
      </c>
      <c r="L19" s="25">
        <v>3.0</v>
      </c>
      <c r="M19" s="25">
        <v>4.0</v>
      </c>
      <c r="N19" s="25">
        <v>5.0</v>
      </c>
      <c r="O19" s="25">
        <v>3.0</v>
      </c>
      <c r="P19" s="25">
        <v>4.0</v>
      </c>
      <c r="Q19" s="25">
        <v>4.0</v>
      </c>
      <c r="R19" s="25">
        <v>4.0</v>
      </c>
      <c r="S19" s="26">
        <v>1.0</v>
      </c>
      <c r="T19" s="25">
        <v>5.0</v>
      </c>
      <c r="U19" s="25">
        <v>5.0</v>
      </c>
      <c r="V19" s="25">
        <v>5.0</v>
      </c>
      <c r="W19" s="25">
        <v>4.0</v>
      </c>
      <c r="X19" s="25">
        <v>5.0</v>
      </c>
      <c r="Y19" s="25">
        <v>4.0</v>
      </c>
      <c r="Z19" s="25">
        <v>5.0</v>
      </c>
      <c r="AA19" s="25">
        <v>5.0</v>
      </c>
      <c r="AB19" s="25">
        <v>3.0</v>
      </c>
      <c r="AC19" s="25">
        <v>4.0</v>
      </c>
      <c r="AD19" s="25">
        <v>3.0</v>
      </c>
      <c r="AE19" s="25">
        <v>4.0</v>
      </c>
      <c r="AF19" s="25">
        <v>4.0</v>
      </c>
      <c r="AG19" s="25">
        <v>4.0</v>
      </c>
      <c r="AH19" s="25">
        <v>5.0</v>
      </c>
      <c r="AI19" s="27">
        <f t="shared" si="1"/>
        <v>133</v>
      </c>
      <c r="AJ19" s="28">
        <f t="shared" si="2"/>
        <v>0.1105108055</v>
      </c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  <row r="20">
      <c r="A20" s="24" t="s">
        <v>63</v>
      </c>
      <c r="B20" s="25">
        <v>2.0</v>
      </c>
      <c r="C20" s="25">
        <v>5.0</v>
      </c>
      <c r="D20" s="25">
        <v>4.0</v>
      </c>
      <c r="E20" s="25">
        <v>3.0</v>
      </c>
      <c r="F20" s="25">
        <v>4.0</v>
      </c>
      <c r="G20" s="25">
        <v>3.0</v>
      </c>
      <c r="H20" s="25">
        <v>5.0</v>
      </c>
      <c r="I20" s="25">
        <v>3.0</v>
      </c>
      <c r="J20" s="25">
        <v>4.0</v>
      </c>
      <c r="K20" s="25">
        <v>4.0</v>
      </c>
      <c r="L20" s="25">
        <v>3.0</v>
      </c>
      <c r="M20" s="25">
        <v>3.0</v>
      </c>
      <c r="N20" s="25">
        <v>3.0</v>
      </c>
      <c r="O20" s="25">
        <v>2.0</v>
      </c>
      <c r="P20" s="25">
        <v>4.0</v>
      </c>
      <c r="Q20" s="25">
        <v>4.0</v>
      </c>
      <c r="R20" s="25">
        <v>5.0</v>
      </c>
      <c r="S20" s="25">
        <v>3.0</v>
      </c>
      <c r="T20" s="26">
        <v>1.0</v>
      </c>
      <c r="U20" s="25">
        <v>3.0</v>
      </c>
      <c r="V20" s="25">
        <v>3.0</v>
      </c>
      <c r="W20" s="25">
        <v>4.0</v>
      </c>
      <c r="X20" s="25">
        <v>3.0</v>
      </c>
      <c r="Y20" s="25">
        <v>4.0</v>
      </c>
      <c r="Z20" s="25">
        <v>4.0</v>
      </c>
      <c r="AA20" s="25">
        <v>5.0</v>
      </c>
      <c r="AB20" s="25">
        <v>5.0</v>
      </c>
      <c r="AC20" s="25">
        <v>3.0</v>
      </c>
      <c r="AD20" s="25">
        <v>3.0</v>
      </c>
      <c r="AE20" s="25">
        <v>5.0</v>
      </c>
      <c r="AF20" s="25">
        <v>4.0</v>
      </c>
      <c r="AG20" s="25">
        <v>5.0</v>
      </c>
      <c r="AH20" s="25">
        <v>4.0</v>
      </c>
      <c r="AI20" s="27">
        <f t="shared" si="1"/>
        <v>120</v>
      </c>
      <c r="AJ20" s="28">
        <f t="shared" si="2"/>
        <v>0.001964636542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</row>
    <row r="21">
      <c r="A21" s="24" t="s">
        <v>64</v>
      </c>
      <c r="B21" s="25">
        <v>3.0</v>
      </c>
      <c r="C21" s="25">
        <v>3.0</v>
      </c>
      <c r="D21" s="25">
        <v>4.0</v>
      </c>
      <c r="E21" s="25">
        <v>2.0</v>
      </c>
      <c r="F21" s="25">
        <v>3.0</v>
      </c>
      <c r="G21" s="25">
        <v>3.0</v>
      </c>
      <c r="H21" s="25">
        <v>3.0</v>
      </c>
      <c r="I21" s="25">
        <v>3.0</v>
      </c>
      <c r="J21" s="25">
        <v>4.0</v>
      </c>
      <c r="K21" s="25">
        <v>3.0</v>
      </c>
      <c r="L21" s="25">
        <v>4.0</v>
      </c>
      <c r="M21" s="25">
        <v>3.0</v>
      </c>
      <c r="N21" s="25">
        <v>5.0</v>
      </c>
      <c r="O21" s="25">
        <v>4.0</v>
      </c>
      <c r="P21" s="25">
        <v>4.0</v>
      </c>
      <c r="Q21" s="25">
        <v>4.0</v>
      </c>
      <c r="R21" s="25">
        <v>5.0</v>
      </c>
      <c r="S21" s="25">
        <v>5.0</v>
      </c>
      <c r="T21" s="25">
        <v>4.0</v>
      </c>
      <c r="U21" s="26">
        <v>1.0</v>
      </c>
      <c r="V21" s="25">
        <v>3.0</v>
      </c>
      <c r="W21" s="25">
        <v>3.0</v>
      </c>
      <c r="X21" s="25">
        <v>5.0</v>
      </c>
      <c r="Y21" s="25">
        <v>3.0</v>
      </c>
      <c r="Z21" s="25">
        <v>3.0</v>
      </c>
      <c r="AA21" s="25">
        <v>4.0</v>
      </c>
      <c r="AB21" s="25">
        <v>5.0</v>
      </c>
      <c r="AC21" s="25">
        <v>5.0</v>
      </c>
      <c r="AD21" s="25">
        <v>4.0</v>
      </c>
      <c r="AE21" s="25">
        <v>3.0</v>
      </c>
      <c r="AF21" s="25">
        <v>3.0</v>
      </c>
      <c r="AG21" s="25">
        <v>3.0</v>
      </c>
      <c r="AH21" s="25">
        <v>4.0</v>
      </c>
      <c r="AI21" s="27">
        <f t="shared" si="1"/>
        <v>118</v>
      </c>
      <c r="AJ21" s="28">
        <f t="shared" si="2"/>
        <v>-0.01473477407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>
      <c r="A22" s="24" t="s">
        <v>65</v>
      </c>
      <c r="B22" s="25">
        <v>3.0</v>
      </c>
      <c r="C22" s="25">
        <v>4.0</v>
      </c>
      <c r="D22" s="25">
        <v>3.0</v>
      </c>
      <c r="E22" s="25">
        <v>4.0</v>
      </c>
      <c r="F22" s="25">
        <v>5.0</v>
      </c>
      <c r="G22" s="25">
        <v>5.0</v>
      </c>
      <c r="H22" s="25">
        <v>5.0</v>
      </c>
      <c r="I22" s="25">
        <v>3.0</v>
      </c>
      <c r="J22" s="25">
        <v>4.0</v>
      </c>
      <c r="K22" s="25">
        <v>3.0</v>
      </c>
      <c r="L22" s="25">
        <v>3.0</v>
      </c>
      <c r="M22" s="25">
        <v>5.0</v>
      </c>
      <c r="N22" s="25">
        <v>5.0</v>
      </c>
      <c r="O22" s="25">
        <v>3.0</v>
      </c>
      <c r="P22" s="25">
        <v>4.0</v>
      </c>
      <c r="Q22" s="25">
        <v>5.0</v>
      </c>
      <c r="R22" s="25">
        <v>4.0</v>
      </c>
      <c r="S22" s="25">
        <v>4.0</v>
      </c>
      <c r="T22" s="25">
        <v>4.0</v>
      </c>
      <c r="U22" s="25">
        <v>3.0</v>
      </c>
      <c r="V22" s="26">
        <v>1.0</v>
      </c>
      <c r="W22" s="25">
        <v>4.0</v>
      </c>
      <c r="X22" s="25">
        <v>5.0</v>
      </c>
      <c r="Y22" s="25">
        <v>4.0</v>
      </c>
      <c r="Z22" s="25">
        <v>4.0</v>
      </c>
      <c r="AA22" s="25">
        <v>4.0</v>
      </c>
      <c r="AB22" s="25">
        <v>3.0</v>
      </c>
      <c r="AC22" s="25">
        <v>3.0</v>
      </c>
      <c r="AD22" s="25">
        <v>4.0</v>
      </c>
      <c r="AE22" s="25">
        <v>5.0</v>
      </c>
      <c r="AF22" s="25">
        <v>3.0</v>
      </c>
      <c r="AG22" s="25">
        <v>4.0</v>
      </c>
      <c r="AH22" s="25">
        <v>5.0</v>
      </c>
      <c r="AI22" s="27">
        <f t="shared" si="1"/>
        <v>128</v>
      </c>
      <c r="AJ22" s="28">
        <f t="shared" si="2"/>
        <v>0.06876227898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</row>
    <row r="23">
      <c r="A23" s="24" t="s">
        <v>66</v>
      </c>
      <c r="B23" s="25">
        <v>3.0</v>
      </c>
      <c r="C23" s="25">
        <v>5.0</v>
      </c>
      <c r="D23" s="25">
        <v>2.0</v>
      </c>
      <c r="E23" s="25">
        <v>3.0</v>
      </c>
      <c r="F23" s="25">
        <v>4.0</v>
      </c>
      <c r="G23" s="25">
        <v>5.0</v>
      </c>
      <c r="H23" s="25">
        <v>4.0</v>
      </c>
      <c r="I23" s="25">
        <v>3.0</v>
      </c>
      <c r="J23" s="25">
        <v>3.0</v>
      </c>
      <c r="K23" s="25">
        <v>4.0</v>
      </c>
      <c r="L23" s="25">
        <v>3.0</v>
      </c>
      <c r="M23" s="25">
        <v>4.0</v>
      </c>
      <c r="N23" s="25">
        <v>4.0</v>
      </c>
      <c r="O23" s="25">
        <v>2.0</v>
      </c>
      <c r="P23" s="25">
        <v>5.0</v>
      </c>
      <c r="Q23" s="25">
        <v>4.0</v>
      </c>
      <c r="R23" s="25">
        <v>4.0</v>
      </c>
      <c r="S23" s="25">
        <v>4.0</v>
      </c>
      <c r="T23" s="25">
        <v>3.0</v>
      </c>
      <c r="U23" s="25">
        <v>4.0</v>
      </c>
      <c r="V23" s="25">
        <v>3.0</v>
      </c>
      <c r="W23" s="26">
        <v>1.0</v>
      </c>
      <c r="X23" s="25">
        <v>4.0</v>
      </c>
      <c r="Y23" s="25">
        <v>3.0</v>
      </c>
      <c r="Z23" s="25">
        <v>3.0</v>
      </c>
      <c r="AA23" s="25">
        <v>4.0</v>
      </c>
      <c r="AB23" s="25">
        <v>3.0</v>
      </c>
      <c r="AC23" s="25">
        <v>3.0</v>
      </c>
      <c r="AD23" s="25">
        <v>3.0</v>
      </c>
      <c r="AE23" s="25">
        <v>4.0</v>
      </c>
      <c r="AF23" s="25">
        <v>3.0</v>
      </c>
      <c r="AG23" s="25">
        <v>3.0</v>
      </c>
      <c r="AH23" s="25">
        <v>4.0</v>
      </c>
      <c r="AI23" s="27">
        <f t="shared" si="1"/>
        <v>114</v>
      </c>
      <c r="AJ23" s="28">
        <f t="shared" si="2"/>
        <v>-0.04813359528</v>
      </c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</row>
    <row r="24">
      <c r="A24" s="24" t="s">
        <v>67</v>
      </c>
      <c r="B24" s="25">
        <v>5.0</v>
      </c>
      <c r="C24" s="25">
        <v>4.0</v>
      </c>
      <c r="D24" s="25">
        <v>3.0</v>
      </c>
      <c r="E24" s="25">
        <v>4.0</v>
      </c>
      <c r="F24" s="25">
        <v>4.0</v>
      </c>
      <c r="G24" s="25">
        <v>2.0</v>
      </c>
      <c r="H24" s="25">
        <v>4.0</v>
      </c>
      <c r="I24" s="25">
        <v>3.0</v>
      </c>
      <c r="J24" s="25">
        <v>5.0</v>
      </c>
      <c r="K24" s="25">
        <v>4.0</v>
      </c>
      <c r="L24" s="25">
        <v>3.0</v>
      </c>
      <c r="M24" s="25">
        <v>3.0</v>
      </c>
      <c r="N24" s="25">
        <v>5.0</v>
      </c>
      <c r="O24" s="25">
        <v>2.0</v>
      </c>
      <c r="P24" s="25">
        <v>4.0</v>
      </c>
      <c r="Q24" s="25">
        <v>2.0</v>
      </c>
      <c r="R24" s="25">
        <v>2.0</v>
      </c>
      <c r="S24" s="25">
        <v>4.0</v>
      </c>
      <c r="T24" s="25">
        <v>5.0</v>
      </c>
      <c r="U24" s="25">
        <v>3.0</v>
      </c>
      <c r="V24" s="25">
        <v>3.0</v>
      </c>
      <c r="W24" s="25">
        <v>4.0</v>
      </c>
      <c r="X24" s="26">
        <v>1.0</v>
      </c>
      <c r="Y24" s="25">
        <v>4.0</v>
      </c>
      <c r="Z24" s="25">
        <v>4.0</v>
      </c>
      <c r="AA24" s="25">
        <v>4.0</v>
      </c>
      <c r="AB24" s="25">
        <v>2.0</v>
      </c>
      <c r="AC24" s="25">
        <v>2.0</v>
      </c>
      <c r="AD24" s="25">
        <v>3.0</v>
      </c>
      <c r="AE24" s="25">
        <v>3.0</v>
      </c>
      <c r="AF24" s="25">
        <v>5.0</v>
      </c>
      <c r="AG24" s="25">
        <v>2.0</v>
      </c>
      <c r="AH24" s="25">
        <v>5.0</v>
      </c>
      <c r="AI24" s="27">
        <f t="shared" si="1"/>
        <v>113</v>
      </c>
      <c r="AJ24" s="28">
        <f t="shared" si="2"/>
        <v>-0.05648330059</v>
      </c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</row>
    <row r="25">
      <c r="A25" s="24" t="s">
        <v>68</v>
      </c>
      <c r="B25" s="25">
        <v>3.0</v>
      </c>
      <c r="C25" s="25">
        <v>4.0</v>
      </c>
      <c r="D25" s="25">
        <v>3.0</v>
      </c>
      <c r="E25" s="25">
        <v>4.0</v>
      </c>
      <c r="F25" s="25">
        <v>5.0</v>
      </c>
      <c r="G25" s="25">
        <v>4.0</v>
      </c>
      <c r="H25" s="25">
        <v>5.0</v>
      </c>
      <c r="I25" s="25">
        <v>3.0</v>
      </c>
      <c r="J25" s="25">
        <v>4.0</v>
      </c>
      <c r="K25" s="25">
        <v>4.0</v>
      </c>
      <c r="L25" s="25">
        <v>4.0</v>
      </c>
      <c r="M25" s="25">
        <v>4.0</v>
      </c>
      <c r="N25" s="25">
        <v>4.0</v>
      </c>
      <c r="O25" s="25">
        <v>3.0</v>
      </c>
      <c r="P25" s="25">
        <v>5.0</v>
      </c>
      <c r="Q25" s="25">
        <v>4.0</v>
      </c>
      <c r="R25" s="25">
        <v>4.0</v>
      </c>
      <c r="S25" s="25">
        <v>5.0</v>
      </c>
      <c r="T25" s="25">
        <v>5.0</v>
      </c>
      <c r="U25" s="25">
        <v>3.0</v>
      </c>
      <c r="V25" s="25">
        <v>4.0</v>
      </c>
      <c r="W25" s="25">
        <v>3.0</v>
      </c>
      <c r="X25" s="25">
        <v>5.0</v>
      </c>
      <c r="Y25" s="26">
        <v>1.0</v>
      </c>
      <c r="Z25" s="25">
        <v>4.0</v>
      </c>
      <c r="AA25" s="25">
        <v>5.0</v>
      </c>
      <c r="AB25" s="25">
        <v>3.0</v>
      </c>
      <c r="AC25" s="25">
        <v>3.0</v>
      </c>
      <c r="AD25" s="25">
        <v>3.0</v>
      </c>
      <c r="AE25" s="25">
        <v>4.0</v>
      </c>
      <c r="AF25" s="25">
        <v>5.0</v>
      </c>
      <c r="AG25" s="25">
        <v>5.0</v>
      </c>
      <c r="AH25" s="25">
        <v>5.0</v>
      </c>
      <c r="AI25" s="27">
        <f t="shared" si="1"/>
        <v>130</v>
      </c>
      <c r="AJ25" s="28">
        <f t="shared" si="2"/>
        <v>0.08546168959</v>
      </c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</row>
    <row r="26">
      <c r="A26" s="24" t="s">
        <v>69</v>
      </c>
      <c r="B26" s="25">
        <v>3.0</v>
      </c>
      <c r="C26" s="25">
        <v>4.0</v>
      </c>
      <c r="D26" s="25">
        <v>3.0</v>
      </c>
      <c r="E26" s="25">
        <v>4.0</v>
      </c>
      <c r="F26" s="25">
        <v>4.0</v>
      </c>
      <c r="G26" s="25">
        <v>4.0</v>
      </c>
      <c r="H26" s="25">
        <v>3.0</v>
      </c>
      <c r="I26" s="25">
        <v>3.0</v>
      </c>
      <c r="J26" s="25">
        <v>4.0</v>
      </c>
      <c r="K26" s="25">
        <v>4.0</v>
      </c>
      <c r="L26" s="25">
        <v>3.0</v>
      </c>
      <c r="M26" s="25">
        <v>4.0</v>
      </c>
      <c r="N26" s="25">
        <v>4.0</v>
      </c>
      <c r="O26" s="25">
        <v>3.0</v>
      </c>
      <c r="P26" s="25">
        <v>4.0</v>
      </c>
      <c r="Q26" s="25">
        <v>3.0</v>
      </c>
      <c r="R26" s="25">
        <v>4.0</v>
      </c>
      <c r="S26" s="25">
        <v>4.0</v>
      </c>
      <c r="T26" s="25">
        <v>4.0</v>
      </c>
      <c r="U26" s="25">
        <v>3.0</v>
      </c>
      <c r="V26" s="25">
        <v>3.0</v>
      </c>
      <c r="W26" s="25">
        <v>4.0</v>
      </c>
      <c r="X26" s="25">
        <v>4.0</v>
      </c>
      <c r="Y26" s="25">
        <v>4.0</v>
      </c>
      <c r="Z26" s="26">
        <v>1.0</v>
      </c>
      <c r="AA26" s="25">
        <v>5.0</v>
      </c>
      <c r="AB26" s="25">
        <v>3.0</v>
      </c>
      <c r="AC26" s="25">
        <v>3.0</v>
      </c>
      <c r="AD26" s="25">
        <v>3.0</v>
      </c>
      <c r="AE26" s="25">
        <v>4.0</v>
      </c>
      <c r="AF26" s="25">
        <v>4.0</v>
      </c>
      <c r="AG26" s="25">
        <v>4.0</v>
      </c>
      <c r="AH26" s="25">
        <v>5.0</v>
      </c>
      <c r="AI26" s="27">
        <f t="shared" si="1"/>
        <v>119</v>
      </c>
      <c r="AJ26" s="28">
        <f t="shared" si="2"/>
        <v>-0.006385068762</v>
      </c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</row>
    <row r="27">
      <c r="A27" s="24" t="s">
        <v>70</v>
      </c>
      <c r="B27" s="25">
        <v>3.0</v>
      </c>
      <c r="C27" s="25">
        <v>3.0</v>
      </c>
      <c r="D27" s="25">
        <v>3.0</v>
      </c>
      <c r="E27" s="25">
        <v>4.0</v>
      </c>
      <c r="F27" s="25">
        <v>4.0</v>
      </c>
      <c r="G27" s="25">
        <v>3.0</v>
      </c>
      <c r="H27" s="25">
        <v>3.0</v>
      </c>
      <c r="I27" s="25">
        <v>3.0</v>
      </c>
      <c r="J27" s="25">
        <v>4.0</v>
      </c>
      <c r="K27" s="25">
        <v>3.0</v>
      </c>
      <c r="L27" s="25">
        <v>3.0</v>
      </c>
      <c r="M27" s="25">
        <v>3.0</v>
      </c>
      <c r="N27" s="25">
        <v>4.0</v>
      </c>
      <c r="O27" s="25">
        <v>3.0</v>
      </c>
      <c r="P27" s="25">
        <v>3.0</v>
      </c>
      <c r="Q27" s="25">
        <v>3.0</v>
      </c>
      <c r="R27" s="25">
        <v>3.0</v>
      </c>
      <c r="S27" s="25">
        <v>4.0</v>
      </c>
      <c r="T27" s="25">
        <v>4.0</v>
      </c>
      <c r="U27" s="25">
        <v>3.0</v>
      </c>
      <c r="V27" s="25">
        <v>3.0</v>
      </c>
      <c r="W27" s="25">
        <v>3.0</v>
      </c>
      <c r="X27" s="25">
        <v>4.0</v>
      </c>
      <c r="Y27" s="25">
        <v>3.0</v>
      </c>
      <c r="Z27" s="25">
        <v>4.0</v>
      </c>
      <c r="AA27" s="26">
        <v>1.0</v>
      </c>
      <c r="AB27" s="25">
        <v>3.0</v>
      </c>
      <c r="AC27" s="25">
        <v>3.0</v>
      </c>
      <c r="AD27" s="25">
        <v>3.0</v>
      </c>
      <c r="AE27" s="25">
        <v>5.0</v>
      </c>
      <c r="AF27" s="25">
        <v>3.0</v>
      </c>
      <c r="AG27" s="25">
        <v>5.0</v>
      </c>
      <c r="AH27" s="25">
        <v>5.0</v>
      </c>
      <c r="AI27" s="27">
        <f t="shared" si="1"/>
        <v>111</v>
      </c>
      <c r="AJ27" s="28">
        <f t="shared" si="2"/>
        <v>-0.0731827112</v>
      </c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</row>
    <row r="28">
      <c r="A28" s="24" t="s">
        <v>71</v>
      </c>
      <c r="B28" s="25">
        <v>3.0</v>
      </c>
      <c r="C28" s="25">
        <v>5.0</v>
      </c>
      <c r="D28" s="25">
        <v>3.0</v>
      </c>
      <c r="E28" s="25">
        <v>2.0</v>
      </c>
      <c r="F28" s="25">
        <v>2.0</v>
      </c>
      <c r="G28" s="25">
        <v>3.0</v>
      </c>
      <c r="H28" s="25">
        <v>2.0</v>
      </c>
      <c r="I28" s="25">
        <v>3.0</v>
      </c>
      <c r="J28" s="25">
        <v>5.0</v>
      </c>
      <c r="K28" s="25">
        <v>4.0</v>
      </c>
      <c r="L28" s="25">
        <v>3.0</v>
      </c>
      <c r="M28" s="25">
        <v>4.0</v>
      </c>
      <c r="N28" s="25">
        <v>5.0</v>
      </c>
      <c r="O28" s="25">
        <v>3.0</v>
      </c>
      <c r="P28" s="25">
        <v>2.0</v>
      </c>
      <c r="Q28" s="25">
        <v>3.0</v>
      </c>
      <c r="R28" s="25">
        <v>3.0</v>
      </c>
      <c r="S28" s="25">
        <v>3.0</v>
      </c>
      <c r="T28" s="25">
        <v>3.0</v>
      </c>
      <c r="U28" s="25">
        <v>2.0</v>
      </c>
      <c r="V28" s="25">
        <v>3.0</v>
      </c>
      <c r="W28" s="25">
        <v>3.0</v>
      </c>
      <c r="X28" s="25">
        <v>3.0</v>
      </c>
      <c r="Y28" s="25">
        <v>3.0</v>
      </c>
      <c r="Z28" s="25">
        <v>4.0</v>
      </c>
      <c r="AA28" s="25">
        <v>3.0</v>
      </c>
      <c r="AB28" s="26">
        <v>1.0</v>
      </c>
      <c r="AC28" s="25">
        <v>3.0</v>
      </c>
      <c r="AD28" s="25">
        <v>3.0</v>
      </c>
      <c r="AE28" s="25">
        <v>5.0</v>
      </c>
      <c r="AF28" s="25">
        <v>3.0</v>
      </c>
      <c r="AG28" s="25">
        <v>3.0</v>
      </c>
      <c r="AH28" s="25">
        <v>5.0</v>
      </c>
      <c r="AI28" s="27">
        <f t="shared" si="1"/>
        <v>105</v>
      </c>
      <c r="AJ28" s="28">
        <f t="shared" si="2"/>
        <v>-0.123280943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</row>
    <row r="29">
      <c r="A29" s="24" t="s">
        <v>72</v>
      </c>
      <c r="B29" s="25">
        <v>3.0</v>
      </c>
      <c r="C29" s="25">
        <v>5.0</v>
      </c>
      <c r="D29" s="25">
        <v>3.0</v>
      </c>
      <c r="E29" s="25">
        <v>4.0</v>
      </c>
      <c r="F29" s="25">
        <v>3.0</v>
      </c>
      <c r="G29" s="25">
        <v>4.0</v>
      </c>
      <c r="H29" s="25">
        <v>4.0</v>
      </c>
      <c r="I29" s="25">
        <v>3.0</v>
      </c>
      <c r="J29" s="25">
        <v>5.0</v>
      </c>
      <c r="K29" s="25">
        <v>4.0</v>
      </c>
      <c r="L29" s="25">
        <v>3.0</v>
      </c>
      <c r="M29" s="25">
        <v>3.0</v>
      </c>
      <c r="N29" s="25">
        <v>3.0</v>
      </c>
      <c r="O29" s="25">
        <v>4.0</v>
      </c>
      <c r="P29" s="25">
        <v>5.0</v>
      </c>
      <c r="Q29" s="25">
        <v>4.0</v>
      </c>
      <c r="R29" s="25">
        <v>4.0</v>
      </c>
      <c r="S29" s="25">
        <v>2.0</v>
      </c>
      <c r="T29" s="25">
        <v>3.0</v>
      </c>
      <c r="U29" s="25">
        <v>5.0</v>
      </c>
      <c r="V29" s="25">
        <v>3.0</v>
      </c>
      <c r="W29" s="25">
        <v>3.0</v>
      </c>
      <c r="X29" s="25">
        <v>5.0</v>
      </c>
      <c r="Y29" s="25">
        <v>2.0</v>
      </c>
      <c r="Z29" s="25">
        <v>4.0</v>
      </c>
      <c r="AA29" s="25">
        <v>3.0</v>
      </c>
      <c r="AB29" s="25">
        <v>5.0</v>
      </c>
      <c r="AC29" s="26">
        <v>1.0</v>
      </c>
      <c r="AD29" s="25">
        <v>3.0</v>
      </c>
      <c r="AE29" s="25">
        <v>5.0</v>
      </c>
      <c r="AF29" s="25">
        <v>4.0</v>
      </c>
      <c r="AG29" s="25">
        <v>4.0</v>
      </c>
      <c r="AH29" s="25">
        <v>3.0</v>
      </c>
      <c r="AI29" s="27">
        <f t="shared" si="1"/>
        <v>119</v>
      </c>
      <c r="AJ29" s="28">
        <f t="shared" si="2"/>
        <v>-0.006385068762</v>
      </c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0">
      <c r="A30" s="24" t="s">
        <v>73</v>
      </c>
      <c r="B30" s="25">
        <v>2.0</v>
      </c>
      <c r="C30" s="25">
        <v>3.0</v>
      </c>
      <c r="D30" s="25">
        <v>4.0</v>
      </c>
      <c r="E30" s="25">
        <v>3.0</v>
      </c>
      <c r="F30" s="25">
        <v>3.0</v>
      </c>
      <c r="G30" s="25">
        <v>3.0</v>
      </c>
      <c r="H30" s="25">
        <v>4.0</v>
      </c>
      <c r="I30" s="25">
        <v>3.0</v>
      </c>
      <c r="J30" s="25">
        <v>4.0</v>
      </c>
      <c r="K30" s="25">
        <v>4.0</v>
      </c>
      <c r="L30" s="25">
        <v>4.0</v>
      </c>
      <c r="M30" s="25">
        <v>5.0</v>
      </c>
      <c r="N30" s="25">
        <v>3.0</v>
      </c>
      <c r="O30" s="25">
        <v>3.0</v>
      </c>
      <c r="P30" s="25">
        <v>5.0</v>
      </c>
      <c r="Q30" s="25">
        <v>4.0</v>
      </c>
      <c r="R30" s="25">
        <v>5.0</v>
      </c>
      <c r="S30" s="25">
        <v>5.0</v>
      </c>
      <c r="T30" s="25">
        <v>5.0</v>
      </c>
      <c r="U30" s="25">
        <v>4.0</v>
      </c>
      <c r="V30" s="25">
        <v>3.0</v>
      </c>
      <c r="W30" s="25">
        <v>4.0</v>
      </c>
      <c r="X30" s="25">
        <v>4.0</v>
      </c>
      <c r="Y30" s="25">
        <v>3.0</v>
      </c>
      <c r="Z30" s="25">
        <v>5.0</v>
      </c>
      <c r="AA30" s="25">
        <v>4.0</v>
      </c>
      <c r="AB30" s="25">
        <v>3.0</v>
      </c>
      <c r="AC30" s="25">
        <v>3.0</v>
      </c>
      <c r="AD30" s="26">
        <v>1.0</v>
      </c>
      <c r="AE30" s="25">
        <v>5.0</v>
      </c>
      <c r="AF30" s="25">
        <v>3.0</v>
      </c>
      <c r="AG30" s="25">
        <v>3.0</v>
      </c>
      <c r="AH30" s="25">
        <v>3.0</v>
      </c>
      <c r="AI30" s="27">
        <f t="shared" si="1"/>
        <v>120</v>
      </c>
      <c r="AJ30" s="28">
        <f t="shared" si="2"/>
        <v>0.001964636542</v>
      </c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</row>
    <row r="31">
      <c r="A31" s="30" t="s">
        <v>74</v>
      </c>
      <c r="B31" s="25">
        <v>3.0</v>
      </c>
      <c r="C31" s="25">
        <v>3.0</v>
      </c>
      <c r="D31" s="25">
        <v>3.0</v>
      </c>
      <c r="E31" s="25">
        <v>3.0</v>
      </c>
      <c r="F31" s="25">
        <v>4.0</v>
      </c>
      <c r="G31" s="25">
        <v>4.0</v>
      </c>
      <c r="H31" s="25">
        <v>4.0</v>
      </c>
      <c r="I31" s="25">
        <v>4.0</v>
      </c>
      <c r="J31" s="25">
        <v>4.0</v>
      </c>
      <c r="K31" s="25">
        <v>3.0</v>
      </c>
      <c r="L31" s="25">
        <v>3.0</v>
      </c>
      <c r="M31" s="25">
        <v>3.0</v>
      </c>
      <c r="N31" s="25">
        <v>3.0</v>
      </c>
      <c r="O31" s="25">
        <v>3.0</v>
      </c>
      <c r="P31" s="25">
        <v>5.0</v>
      </c>
      <c r="Q31" s="25">
        <v>3.0</v>
      </c>
      <c r="R31" s="25">
        <v>3.0</v>
      </c>
      <c r="S31" s="25">
        <v>2.0</v>
      </c>
      <c r="T31" s="25">
        <v>3.0</v>
      </c>
      <c r="U31" s="25">
        <v>4.0</v>
      </c>
      <c r="V31" s="25">
        <v>3.0</v>
      </c>
      <c r="W31" s="25">
        <v>4.0</v>
      </c>
      <c r="X31" s="25">
        <v>3.0</v>
      </c>
      <c r="Y31" s="25">
        <v>4.0</v>
      </c>
      <c r="Z31" s="25">
        <v>3.0</v>
      </c>
      <c r="AA31" s="25">
        <v>3.0</v>
      </c>
      <c r="AB31" s="25">
        <v>4.0</v>
      </c>
      <c r="AC31" s="25">
        <v>3.0</v>
      </c>
      <c r="AD31" s="25">
        <v>3.0</v>
      </c>
      <c r="AE31" s="25">
        <v>5.0</v>
      </c>
      <c r="AF31" s="25">
        <v>4.0</v>
      </c>
      <c r="AG31" s="25">
        <v>5.0</v>
      </c>
      <c r="AH31" s="25">
        <v>3.0</v>
      </c>
      <c r="AI31" s="27">
        <f t="shared" si="1"/>
        <v>114</v>
      </c>
      <c r="AJ31" s="28">
        <f t="shared" si="2"/>
        <v>-0.04813359528</v>
      </c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</row>
    <row r="32">
      <c r="A32" s="24" t="s">
        <v>75</v>
      </c>
      <c r="B32" s="25">
        <v>2.0</v>
      </c>
      <c r="C32" s="25">
        <v>4.0</v>
      </c>
      <c r="D32" s="25">
        <v>3.0</v>
      </c>
      <c r="E32" s="25">
        <v>3.0</v>
      </c>
      <c r="F32" s="25">
        <v>4.0</v>
      </c>
      <c r="G32" s="25">
        <v>4.0</v>
      </c>
      <c r="H32" s="25">
        <v>5.0</v>
      </c>
      <c r="I32" s="25">
        <v>3.0</v>
      </c>
      <c r="J32" s="25">
        <v>5.0</v>
      </c>
      <c r="K32" s="25">
        <v>4.0</v>
      </c>
      <c r="L32" s="25">
        <v>4.0</v>
      </c>
      <c r="M32" s="25">
        <v>5.0</v>
      </c>
      <c r="N32" s="25">
        <v>5.0</v>
      </c>
      <c r="O32" s="25">
        <v>2.0</v>
      </c>
      <c r="P32" s="25">
        <v>4.0</v>
      </c>
      <c r="Q32" s="25">
        <v>4.0</v>
      </c>
      <c r="R32" s="25">
        <v>5.0</v>
      </c>
      <c r="S32" s="25">
        <v>4.0</v>
      </c>
      <c r="T32" s="25">
        <v>4.0</v>
      </c>
      <c r="U32" s="25">
        <v>3.0</v>
      </c>
      <c r="V32" s="25">
        <v>4.0</v>
      </c>
      <c r="W32" s="25">
        <v>4.0</v>
      </c>
      <c r="X32" s="25">
        <v>5.0</v>
      </c>
      <c r="Y32" s="25">
        <v>5.0</v>
      </c>
      <c r="Z32" s="25">
        <v>4.0</v>
      </c>
      <c r="AA32" s="25">
        <v>5.0</v>
      </c>
      <c r="AB32" s="25">
        <v>4.0</v>
      </c>
      <c r="AC32" s="25">
        <v>3.0</v>
      </c>
      <c r="AD32" s="31">
        <v>3.0</v>
      </c>
      <c r="AE32" s="26">
        <v>1.0</v>
      </c>
      <c r="AF32" s="25">
        <v>4.0</v>
      </c>
      <c r="AG32" s="25">
        <v>5.0</v>
      </c>
      <c r="AH32" s="25">
        <v>5.0</v>
      </c>
      <c r="AI32" s="27">
        <f t="shared" si="1"/>
        <v>129</v>
      </c>
      <c r="AJ32" s="28">
        <f t="shared" si="2"/>
        <v>0.07711198428</v>
      </c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</row>
    <row r="33">
      <c r="A33" s="24" t="s">
        <v>76</v>
      </c>
      <c r="B33" s="25">
        <v>3.0</v>
      </c>
      <c r="C33" s="25">
        <v>5.0</v>
      </c>
      <c r="D33" s="25">
        <v>3.0</v>
      </c>
      <c r="E33" s="25">
        <v>4.0</v>
      </c>
      <c r="F33" s="25">
        <v>4.0</v>
      </c>
      <c r="G33" s="25">
        <v>3.0</v>
      </c>
      <c r="H33" s="25">
        <v>5.0</v>
      </c>
      <c r="I33" s="25">
        <v>3.0</v>
      </c>
      <c r="J33" s="25">
        <v>5.0</v>
      </c>
      <c r="K33" s="25">
        <v>3.0</v>
      </c>
      <c r="L33" s="25">
        <v>3.0</v>
      </c>
      <c r="M33" s="25">
        <v>4.0</v>
      </c>
      <c r="N33" s="25">
        <v>5.0</v>
      </c>
      <c r="O33" s="25">
        <v>3.0</v>
      </c>
      <c r="P33" s="25">
        <v>5.0</v>
      </c>
      <c r="Q33" s="25">
        <v>3.0</v>
      </c>
      <c r="R33" s="25">
        <v>4.0</v>
      </c>
      <c r="S33" s="25">
        <v>4.0</v>
      </c>
      <c r="T33" s="25">
        <v>4.0</v>
      </c>
      <c r="U33" s="25">
        <v>3.0</v>
      </c>
      <c r="V33" s="25">
        <v>3.0</v>
      </c>
      <c r="W33" s="25">
        <v>4.0</v>
      </c>
      <c r="X33" s="25">
        <v>5.0</v>
      </c>
      <c r="Y33" s="25">
        <v>4.0</v>
      </c>
      <c r="Z33" s="25">
        <v>4.0</v>
      </c>
      <c r="AA33" s="25">
        <v>5.0</v>
      </c>
      <c r="AB33" s="25">
        <v>4.0</v>
      </c>
      <c r="AC33" s="25">
        <v>3.0</v>
      </c>
      <c r="AD33" s="25">
        <v>4.0</v>
      </c>
      <c r="AE33" s="31">
        <v>3.0</v>
      </c>
      <c r="AF33" s="26">
        <v>1.0</v>
      </c>
      <c r="AG33" s="25">
        <v>5.0</v>
      </c>
      <c r="AH33" s="25">
        <v>4.0</v>
      </c>
      <c r="AI33" s="27">
        <f t="shared" si="1"/>
        <v>125</v>
      </c>
      <c r="AJ33" s="28">
        <f t="shared" si="2"/>
        <v>0.04371316306</v>
      </c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>
      <c r="A34" s="24" t="s">
        <v>77</v>
      </c>
      <c r="B34" s="25">
        <v>4.0</v>
      </c>
      <c r="C34" s="25">
        <v>5.0</v>
      </c>
      <c r="D34" s="25">
        <v>4.0</v>
      </c>
      <c r="E34" s="25">
        <v>3.0</v>
      </c>
      <c r="F34" s="25">
        <v>3.0</v>
      </c>
      <c r="G34" s="25">
        <v>3.0</v>
      </c>
      <c r="H34" s="25">
        <v>4.0</v>
      </c>
      <c r="I34" s="25">
        <v>3.0</v>
      </c>
      <c r="J34" s="25">
        <v>5.0</v>
      </c>
      <c r="K34" s="25">
        <v>4.0</v>
      </c>
      <c r="L34" s="25">
        <v>4.0</v>
      </c>
      <c r="M34" s="25">
        <v>3.0</v>
      </c>
      <c r="N34" s="25">
        <v>4.0</v>
      </c>
      <c r="O34" s="25">
        <v>3.0</v>
      </c>
      <c r="P34" s="25">
        <v>5.0</v>
      </c>
      <c r="Q34" s="25">
        <v>3.0</v>
      </c>
      <c r="R34" s="25">
        <v>4.0</v>
      </c>
      <c r="S34" s="25">
        <v>3.0</v>
      </c>
      <c r="T34" s="25">
        <v>3.0</v>
      </c>
      <c r="U34" s="25">
        <v>3.0</v>
      </c>
      <c r="V34" s="25">
        <v>3.0</v>
      </c>
      <c r="W34" s="25">
        <v>4.0</v>
      </c>
      <c r="X34" s="25">
        <v>3.0</v>
      </c>
      <c r="Y34" s="25">
        <v>3.0</v>
      </c>
      <c r="Z34" s="25">
        <v>4.0</v>
      </c>
      <c r="AA34" s="25">
        <v>5.0</v>
      </c>
      <c r="AB34" s="25">
        <v>4.0</v>
      </c>
      <c r="AC34" s="25">
        <v>3.0</v>
      </c>
      <c r="AD34" s="25">
        <v>3.0</v>
      </c>
      <c r="AE34" s="25">
        <v>5.0</v>
      </c>
      <c r="AF34" s="31">
        <v>4.0</v>
      </c>
      <c r="AG34" s="26">
        <v>1.0</v>
      </c>
      <c r="AH34" s="25">
        <v>5.0</v>
      </c>
      <c r="AI34" s="27">
        <f t="shared" si="1"/>
        <v>120</v>
      </c>
      <c r="AJ34" s="28">
        <f t="shared" si="2"/>
        <v>0.001964636542</v>
      </c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</row>
    <row r="35">
      <c r="A35" s="24" t="s">
        <v>78</v>
      </c>
      <c r="B35" s="25">
        <v>2.0</v>
      </c>
      <c r="C35" s="25">
        <v>4.0</v>
      </c>
      <c r="D35" s="25">
        <v>2.0</v>
      </c>
      <c r="E35" s="25">
        <v>2.0</v>
      </c>
      <c r="F35" s="25">
        <v>3.0</v>
      </c>
      <c r="G35" s="25">
        <v>4.0</v>
      </c>
      <c r="H35" s="25">
        <v>4.0</v>
      </c>
      <c r="I35" s="25">
        <v>2.0</v>
      </c>
      <c r="J35" s="25">
        <v>3.0</v>
      </c>
      <c r="K35" s="25">
        <v>3.0</v>
      </c>
      <c r="L35" s="25">
        <v>3.0</v>
      </c>
      <c r="M35" s="25">
        <v>4.0</v>
      </c>
      <c r="N35" s="25">
        <v>5.0</v>
      </c>
      <c r="O35" s="25">
        <v>2.0</v>
      </c>
      <c r="P35" s="25">
        <v>5.0</v>
      </c>
      <c r="Q35" s="25">
        <v>2.0</v>
      </c>
      <c r="R35" s="25">
        <v>3.0</v>
      </c>
      <c r="S35" s="25">
        <v>4.0</v>
      </c>
      <c r="T35" s="25">
        <v>4.0</v>
      </c>
      <c r="U35" s="25">
        <v>2.0</v>
      </c>
      <c r="V35" s="25">
        <v>2.0</v>
      </c>
      <c r="W35" s="25">
        <v>3.0</v>
      </c>
      <c r="X35" s="25">
        <v>3.0</v>
      </c>
      <c r="Y35" s="25">
        <v>3.0</v>
      </c>
      <c r="Z35" s="25">
        <v>4.0</v>
      </c>
      <c r="AA35" s="25">
        <v>4.0</v>
      </c>
      <c r="AB35" s="25">
        <v>2.0</v>
      </c>
      <c r="AC35" s="25">
        <v>4.0</v>
      </c>
      <c r="AD35" s="25">
        <v>2.0</v>
      </c>
      <c r="AE35" s="25">
        <v>3.0</v>
      </c>
      <c r="AF35" s="25">
        <v>4.0</v>
      </c>
      <c r="AG35" s="31">
        <v>5.0</v>
      </c>
      <c r="AH35" s="26">
        <v>1.0</v>
      </c>
      <c r="AI35" s="27">
        <f t="shared" si="1"/>
        <v>103</v>
      </c>
      <c r="AJ35" s="28">
        <f t="shared" si="2"/>
        <v>-0.1399803536</v>
      </c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</row>
    <row r="36">
      <c r="A36" s="32" t="s">
        <v>1</v>
      </c>
      <c r="B36" s="33">
        <f t="shared" ref="B36:AH36" si="3">SUM(B2:B35)</f>
        <v>100</v>
      </c>
      <c r="C36" s="33">
        <f t="shared" si="3"/>
        <v>137</v>
      </c>
      <c r="D36" s="33">
        <f t="shared" si="3"/>
        <v>102</v>
      </c>
      <c r="E36" s="33">
        <f t="shared" si="3"/>
        <v>108</v>
      </c>
      <c r="F36" s="33">
        <f t="shared" si="3"/>
        <v>125</v>
      </c>
      <c r="G36" s="33">
        <f t="shared" si="3"/>
        <v>122</v>
      </c>
      <c r="H36" s="33">
        <f t="shared" si="3"/>
        <v>135</v>
      </c>
      <c r="I36" s="33">
        <f t="shared" si="3"/>
        <v>102</v>
      </c>
      <c r="J36" s="33">
        <f t="shared" si="3"/>
        <v>140</v>
      </c>
      <c r="K36" s="33">
        <f t="shared" si="3"/>
        <v>126</v>
      </c>
      <c r="L36" s="33">
        <f t="shared" si="3"/>
        <v>106</v>
      </c>
      <c r="M36" s="33">
        <f t="shared" si="3"/>
        <v>126</v>
      </c>
      <c r="N36" s="33">
        <f t="shared" si="3"/>
        <v>141</v>
      </c>
      <c r="O36" s="33">
        <f t="shared" si="3"/>
        <v>91</v>
      </c>
      <c r="P36" s="33">
        <f t="shared" si="3"/>
        <v>136</v>
      </c>
      <c r="Q36" s="33">
        <f t="shared" si="3"/>
        <v>120</v>
      </c>
      <c r="R36" s="33">
        <f t="shared" si="3"/>
        <v>124</v>
      </c>
      <c r="S36" s="33">
        <f t="shared" si="3"/>
        <v>122</v>
      </c>
      <c r="T36" s="33">
        <f t="shared" si="3"/>
        <v>130</v>
      </c>
      <c r="U36" s="33">
        <f t="shared" si="3"/>
        <v>114</v>
      </c>
      <c r="V36" s="33">
        <f t="shared" si="3"/>
        <v>114</v>
      </c>
      <c r="W36" s="33">
        <f t="shared" si="3"/>
        <v>118</v>
      </c>
      <c r="X36" s="33">
        <f t="shared" si="3"/>
        <v>134</v>
      </c>
      <c r="Y36" s="33">
        <f t="shared" si="3"/>
        <v>120</v>
      </c>
      <c r="Z36" s="33">
        <f t="shared" si="3"/>
        <v>133</v>
      </c>
      <c r="AA36" s="33">
        <f t="shared" si="3"/>
        <v>148</v>
      </c>
      <c r="AB36" s="33">
        <f t="shared" si="3"/>
        <v>118</v>
      </c>
      <c r="AC36" s="33">
        <f t="shared" si="3"/>
        <v>110</v>
      </c>
      <c r="AD36" s="33">
        <f t="shared" si="3"/>
        <v>104</v>
      </c>
      <c r="AE36" s="33">
        <f t="shared" si="3"/>
        <v>141</v>
      </c>
      <c r="AF36" s="33">
        <f t="shared" si="3"/>
        <v>133</v>
      </c>
      <c r="AG36" s="33">
        <f t="shared" si="3"/>
        <v>140</v>
      </c>
      <c r="AH36" s="33">
        <f t="shared" si="3"/>
        <v>152</v>
      </c>
      <c r="AI36" s="22" t="s">
        <v>79</v>
      </c>
      <c r="AJ36" s="34"/>
    </row>
    <row r="37">
      <c r="A37" s="35" t="s">
        <v>2</v>
      </c>
      <c r="B37" s="36">
        <f t="shared" ref="B37:AH37" si="4">COUNTIF(B2:B35,5)</f>
        <v>1</v>
      </c>
      <c r="C37" s="36">
        <f t="shared" si="4"/>
        <v>13</v>
      </c>
      <c r="D37" s="36">
        <f t="shared" si="4"/>
        <v>0</v>
      </c>
      <c r="E37" s="36">
        <f t="shared" si="4"/>
        <v>1</v>
      </c>
      <c r="F37" s="36">
        <f t="shared" si="4"/>
        <v>3</v>
      </c>
      <c r="G37" s="36">
        <f t="shared" si="4"/>
        <v>5</v>
      </c>
      <c r="H37" s="36">
        <f t="shared" si="4"/>
        <v>10</v>
      </c>
      <c r="I37" s="36">
        <f t="shared" si="4"/>
        <v>0</v>
      </c>
      <c r="J37" s="36">
        <f t="shared" si="4"/>
        <v>12</v>
      </c>
      <c r="K37" s="36">
        <f t="shared" si="4"/>
        <v>5</v>
      </c>
      <c r="L37" s="36">
        <f t="shared" si="4"/>
        <v>0</v>
      </c>
      <c r="M37" s="36">
        <f t="shared" si="4"/>
        <v>5</v>
      </c>
      <c r="N37" s="36">
        <f t="shared" si="4"/>
        <v>15</v>
      </c>
      <c r="O37" s="36">
        <f t="shared" si="4"/>
        <v>0</v>
      </c>
      <c r="P37" s="36">
        <f t="shared" si="4"/>
        <v>11</v>
      </c>
      <c r="Q37" s="36">
        <f t="shared" si="4"/>
        <v>3</v>
      </c>
      <c r="R37" s="36">
        <f t="shared" si="4"/>
        <v>6</v>
      </c>
      <c r="S37" s="36">
        <f t="shared" si="4"/>
        <v>6</v>
      </c>
      <c r="T37" s="36">
        <f t="shared" si="4"/>
        <v>7</v>
      </c>
      <c r="U37" s="36">
        <f t="shared" si="4"/>
        <v>4</v>
      </c>
      <c r="V37" s="36">
        <f t="shared" si="4"/>
        <v>2</v>
      </c>
      <c r="W37" s="36">
        <f t="shared" si="4"/>
        <v>1</v>
      </c>
      <c r="X37" s="36">
        <f t="shared" si="4"/>
        <v>12</v>
      </c>
      <c r="Y37" s="36">
        <f t="shared" si="4"/>
        <v>3</v>
      </c>
      <c r="Z37" s="36">
        <f t="shared" si="4"/>
        <v>9</v>
      </c>
      <c r="AA37" s="36">
        <f t="shared" si="4"/>
        <v>18</v>
      </c>
      <c r="AB37" s="36">
        <f t="shared" si="4"/>
        <v>5</v>
      </c>
      <c r="AC37" s="36">
        <f t="shared" si="4"/>
        <v>2</v>
      </c>
      <c r="AD37" s="36">
        <f t="shared" si="4"/>
        <v>1</v>
      </c>
      <c r="AE37" s="36">
        <f t="shared" si="4"/>
        <v>15</v>
      </c>
      <c r="AF37" s="36">
        <f t="shared" si="4"/>
        <v>10</v>
      </c>
      <c r="AG37" s="36">
        <f t="shared" si="4"/>
        <v>15</v>
      </c>
      <c r="AH37" s="36">
        <f t="shared" si="4"/>
        <v>22</v>
      </c>
      <c r="AI37" s="37">
        <f t="shared" ref="AI37:AI41" si="6">SUM(B37:AH37)</f>
        <v>222</v>
      </c>
      <c r="AJ37" s="38">
        <f t="shared" ref="AJ37:AJ42" si="7">AI37/$AI$42</f>
        <v>0.1978609626</v>
      </c>
    </row>
    <row r="38">
      <c r="A38" s="35" t="s">
        <v>3</v>
      </c>
      <c r="B38" s="36">
        <f t="shared" ref="B38:AH38" si="5">COUNTIF(B2:B35,4)</f>
        <v>6</v>
      </c>
      <c r="C38" s="36">
        <f t="shared" si="5"/>
        <v>11</v>
      </c>
      <c r="D38" s="36">
        <f t="shared" si="5"/>
        <v>6</v>
      </c>
      <c r="E38" s="36">
        <f t="shared" si="5"/>
        <v>11</v>
      </c>
      <c r="F38" s="36">
        <f t="shared" si="5"/>
        <v>20</v>
      </c>
      <c r="G38" s="36">
        <f t="shared" si="5"/>
        <v>13</v>
      </c>
      <c r="H38" s="36">
        <f t="shared" si="5"/>
        <v>17</v>
      </c>
      <c r="I38" s="36">
        <f t="shared" si="5"/>
        <v>4</v>
      </c>
      <c r="J38" s="36">
        <f t="shared" si="5"/>
        <v>16</v>
      </c>
      <c r="K38" s="36">
        <f t="shared" si="5"/>
        <v>16</v>
      </c>
      <c r="L38" s="36">
        <f t="shared" si="5"/>
        <v>7</v>
      </c>
      <c r="M38" s="36">
        <f t="shared" si="5"/>
        <v>16</v>
      </c>
      <c r="N38" s="36">
        <f t="shared" si="5"/>
        <v>11</v>
      </c>
      <c r="O38" s="36">
        <f t="shared" si="5"/>
        <v>2</v>
      </c>
      <c r="P38" s="36">
        <f t="shared" si="5"/>
        <v>15</v>
      </c>
      <c r="Q38" s="36">
        <f t="shared" si="5"/>
        <v>16</v>
      </c>
      <c r="R38" s="36">
        <f t="shared" si="5"/>
        <v>13</v>
      </c>
      <c r="S38" s="36">
        <f t="shared" si="5"/>
        <v>12</v>
      </c>
      <c r="T38" s="36">
        <f t="shared" si="5"/>
        <v>16</v>
      </c>
      <c r="U38" s="36">
        <f t="shared" si="5"/>
        <v>9</v>
      </c>
      <c r="V38" s="36">
        <f t="shared" si="5"/>
        <v>11</v>
      </c>
      <c r="W38" s="36">
        <f t="shared" si="5"/>
        <v>16</v>
      </c>
      <c r="X38" s="36">
        <f t="shared" si="5"/>
        <v>10</v>
      </c>
      <c r="Y38" s="36">
        <f t="shared" si="5"/>
        <v>15</v>
      </c>
      <c r="Z38" s="36">
        <f t="shared" si="5"/>
        <v>15</v>
      </c>
      <c r="AA38" s="36">
        <f t="shared" si="5"/>
        <v>12</v>
      </c>
      <c r="AB38" s="36">
        <f t="shared" si="5"/>
        <v>10</v>
      </c>
      <c r="AC38" s="36">
        <f t="shared" si="5"/>
        <v>7</v>
      </c>
      <c r="AD38" s="36">
        <f t="shared" si="5"/>
        <v>5</v>
      </c>
      <c r="AE38" s="36">
        <f t="shared" si="5"/>
        <v>11</v>
      </c>
      <c r="AF38" s="36">
        <f t="shared" si="5"/>
        <v>13</v>
      </c>
      <c r="AG38" s="36">
        <f t="shared" si="5"/>
        <v>11</v>
      </c>
      <c r="AH38" s="36">
        <f t="shared" si="5"/>
        <v>8</v>
      </c>
      <c r="AI38" s="37">
        <f t="shared" si="6"/>
        <v>381</v>
      </c>
      <c r="AJ38" s="38">
        <f t="shared" si="7"/>
        <v>0.3395721925</v>
      </c>
    </row>
    <row r="39">
      <c r="A39" s="35" t="s">
        <v>4</v>
      </c>
      <c r="B39" s="36">
        <f t="shared" ref="B39:AH39" si="8">COUNTIF(B2:B35,3)</f>
        <v>17</v>
      </c>
      <c r="C39" s="36">
        <f t="shared" si="8"/>
        <v>9</v>
      </c>
      <c r="D39" s="36">
        <f t="shared" si="8"/>
        <v>23</v>
      </c>
      <c r="E39" s="36">
        <f t="shared" si="8"/>
        <v>16</v>
      </c>
      <c r="F39" s="36">
        <f t="shared" si="8"/>
        <v>9</v>
      </c>
      <c r="G39" s="36">
        <f t="shared" si="8"/>
        <v>14</v>
      </c>
      <c r="H39" s="36">
        <f t="shared" si="8"/>
        <v>4</v>
      </c>
      <c r="I39" s="36">
        <f t="shared" si="8"/>
        <v>27</v>
      </c>
      <c r="J39" s="36">
        <f t="shared" si="8"/>
        <v>5</v>
      </c>
      <c r="K39" s="36">
        <f t="shared" si="8"/>
        <v>12</v>
      </c>
      <c r="L39" s="36">
        <f t="shared" si="8"/>
        <v>25</v>
      </c>
      <c r="M39" s="36">
        <f t="shared" si="8"/>
        <v>12</v>
      </c>
      <c r="N39" s="36">
        <f t="shared" si="8"/>
        <v>7</v>
      </c>
      <c r="O39" s="36">
        <f t="shared" si="8"/>
        <v>20</v>
      </c>
      <c r="P39" s="36">
        <f t="shared" si="8"/>
        <v>6</v>
      </c>
      <c r="Q39" s="36">
        <f t="shared" si="8"/>
        <v>12</v>
      </c>
      <c r="R39" s="36">
        <f t="shared" si="8"/>
        <v>13</v>
      </c>
      <c r="S39" s="36">
        <f t="shared" si="8"/>
        <v>13</v>
      </c>
      <c r="T39" s="36">
        <f t="shared" si="8"/>
        <v>10</v>
      </c>
      <c r="U39" s="36">
        <f t="shared" si="8"/>
        <v>17</v>
      </c>
      <c r="V39" s="36">
        <f t="shared" si="8"/>
        <v>19</v>
      </c>
      <c r="W39" s="36">
        <f t="shared" si="8"/>
        <v>16</v>
      </c>
      <c r="X39" s="36">
        <f t="shared" si="8"/>
        <v>11</v>
      </c>
      <c r="Y39" s="36">
        <f t="shared" si="8"/>
        <v>14</v>
      </c>
      <c r="Z39" s="36">
        <f t="shared" si="8"/>
        <v>9</v>
      </c>
      <c r="AA39" s="36">
        <f t="shared" si="8"/>
        <v>3</v>
      </c>
      <c r="AB39" s="36">
        <f t="shared" si="8"/>
        <v>16</v>
      </c>
      <c r="AC39" s="36">
        <f t="shared" si="8"/>
        <v>23</v>
      </c>
      <c r="AD39" s="36">
        <f t="shared" si="8"/>
        <v>24</v>
      </c>
      <c r="AE39" s="36">
        <f t="shared" si="8"/>
        <v>7</v>
      </c>
      <c r="AF39" s="36">
        <f t="shared" si="8"/>
        <v>10</v>
      </c>
      <c r="AG39" s="36">
        <f t="shared" si="8"/>
        <v>6</v>
      </c>
      <c r="AH39" s="36">
        <f t="shared" si="8"/>
        <v>3</v>
      </c>
      <c r="AI39" s="37">
        <f t="shared" si="6"/>
        <v>432</v>
      </c>
      <c r="AJ39" s="38">
        <f t="shared" si="7"/>
        <v>0.385026738</v>
      </c>
    </row>
    <row r="40">
      <c r="A40" s="35" t="s">
        <v>5</v>
      </c>
      <c r="B40" s="36">
        <f t="shared" ref="B40:AH40" si="9">COUNTIF(B2:B35,2)</f>
        <v>10</v>
      </c>
      <c r="C40" s="36">
        <f t="shared" si="9"/>
        <v>0</v>
      </c>
      <c r="D40" s="36">
        <f t="shared" si="9"/>
        <v>4</v>
      </c>
      <c r="E40" s="36">
        <f t="shared" si="9"/>
        <v>5</v>
      </c>
      <c r="F40" s="36">
        <f t="shared" si="9"/>
        <v>1</v>
      </c>
      <c r="G40" s="36">
        <f t="shared" si="9"/>
        <v>1</v>
      </c>
      <c r="H40" s="36">
        <f t="shared" si="9"/>
        <v>2</v>
      </c>
      <c r="I40" s="36">
        <f t="shared" si="9"/>
        <v>2</v>
      </c>
      <c r="J40" s="36">
        <f t="shared" si="9"/>
        <v>0</v>
      </c>
      <c r="K40" s="36">
        <f t="shared" si="9"/>
        <v>0</v>
      </c>
      <c r="L40" s="36">
        <f t="shared" si="9"/>
        <v>1</v>
      </c>
      <c r="M40" s="36">
        <f t="shared" si="9"/>
        <v>0</v>
      </c>
      <c r="N40" s="36">
        <f t="shared" si="9"/>
        <v>0</v>
      </c>
      <c r="O40" s="36">
        <f t="shared" si="9"/>
        <v>11</v>
      </c>
      <c r="P40" s="36">
        <f t="shared" si="9"/>
        <v>1</v>
      </c>
      <c r="Q40" s="36">
        <f t="shared" si="9"/>
        <v>2</v>
      </c>
      <c r="R40" s="36">
        <f t="shared" si="9"/>
        <v>1</v>
      </c>
      <c r="S40" s="36">
        <f t="shared" si="9"/>
        <v>2</v>
      </c>
      <c r="T40" s="36">
        <f t="shared" si="9"/>
        <v>0</v>
      </c>
      <c r="U40" s="36">
        <f t="shared" si="9"/>
        <v>3</v>
      </c>
      <c r="V40" s="36">
        <f t="shared" si="9"/>
        <v>1</v>
      </c>
      <c r="W40" s="36">
        <f t="shared" si="9"/>
        <v>0</v>
      </c>
      <c r="X40" s="36">
        <f t="shared" si="9"/>
        <v>0</v>
      </c>
      <c r="Y40" s="36">
        <f t="shared" si="9"/>
        <v>1</v>
      </c>
      <c r="Z40" s="36">
        <f t="shared" si="9"/>
        <v>0</v>
      </c>
      <c r="AA40" s="36">
        <f t="shared" si="9"/>
        <v>0</v>
      </c>
      <c r="AB40" s="36">
        <f t="shared" si="9"/>
        <v>2</v>
      </c>
      <c r="AC40" s="36">
        <f t="shared" si="9"/>
        <v>1</v>
      </c>
      <c r="AD40" s="36">
        <f t="shared" si="9"/>
        <v>3</v>
      </c>
      <c r="AE40" s="36">
        <f t="shared" si="9"/>
        <v>0</v>
      </c>
      <c r="AF40" s="36">
        <f t="shared" si="9"/>
        <v>0</v>
      </c>
      <c r="AG40" s="36">
        <f t="shared" si="9"/>
        <v>1</v>
      </c>
      <c r="AH40" s="36">
        <f t="shared" si="9"/>
        <v>0</v>
      </c>
      <c r="AI40" s="37">
        <f t="shared" si="6"/>
        <v>55</v>
      </c>
      <c r="AJ40" s="38">
        <f t="shared" si="7"/>
        <v>0.04901960784</v>
      </c>
    </row>
    <row r="41">
      <c r="A41" s="35" t="s">
        <v>6</v>
      </c>
      <c r="B41" s="36">
        <f t="shared" ref="B41:AH41" si="10">COUNTIF(B2:B35,1)</f>
        <v>0</v>
      </c>
      <c r="C41" s="36">
        <f t="shared" si="10"/>
        <v>1</v>
      </c>
      <c r="D41" s="36">
        <f t="shared" si="10"/>
        <v>1</v>
      </c>
      <c r="E41" s="36">
        <f t="shared" si="10"/>
        <v>1</v>
      </c>
      <c r="F41" s="36">
        <f t="shared" si="10"/>
        <v>1</v>
      </c>
      <c r="G41" s="36">
        <f t="shared" si="10"/>
        <v>1</v>
      </c>
      <c r="H41" s="36">
        <f t="shared" si="10"/>
        <v>1</v>
      </c>
      <c r="I41" s="36">
        <f t="shared" si="10"/>
        <v>1</v>
      </c>
      <c r="J41" s="36">
        <f t="shared" si="10"/>
        <v>1</v>
      </c>
      <c r="K41" s="36">
        <f t="shared" si="10"/>
        <v>1</v>
      </c>
      <c r="L41" s="36">
        <f t="shared" si="10"/>
        <v>1</v>
      </c>
      <c r="M41" s="36">
        <f t="shared" si="10"/>
        <v>1</v>
      </c>
      <c r="N41" s="36">
        <f t="shared" si="10"/>
        <v>1</v>
      </c>
      <c r="O41" s="36">
        <f t="shared" si="10"/>
        <v>1</v>
      </c>
      <c r="P41" s="36">
        <f t="shared" si="10"/>
        <v>1</v>
      </c>
      <c r="Q41" s="36">
        <f t="shared" si="10"/>
        <v>1</v>
      </c>
      <c r="R41" s="36">
        <f t="shared" si="10"/>
        <v>1</v>
      </c>
      <c r="S41" s="36">
        <f t="shared" si="10"/>
        <v>1</v>
      </c>
      <c r="T41" s="36">
        <f t="shared" si="10"/>
        <v>1</v>
      </c>
      <c r="U41" s="36">
        <f t="shared" si="10"/>
        <v>1</v>
      </c>
      <c r="V41" s="36">
        <f t="shared" si="10"/>
        <v>1</v>
      </c>
      <c r="W41" s="36">
        <f t="shared" si="10"/>
        <v>1</v>
      </c>
      <c r="X41" s="36">
        <f t="shared" si="10"/>
        <v>1</v>
      </c>
      <c r="Y41" s="36">
        <f t="shared" si="10"/>
        <v>1</v>
      </c>
      <c r="Z41" s="36">
        <f t="shared" si="10"/>
        <v>1</v>
      </c>
      <c r="AA41" s="36">
        <f t="shared" si="10"/>
        <v>1</v>
      </c>
      <c r="AB41" s="36">
        <f t="shared" si="10"/>
        <v>1</v>
      </c>
      <c r="AC41" s="36">
        <f t="shared" si="10"/>
        <v>1</v>
      </c>
      <c r="AD41" s="36">
        <f t="shared" si="10"/>
        <v>1</v>
      </c>
      <c r="AE41" s="36">
        <f t="shared" si="10"/>
        <v>1</v>
      </c>
      <c r="AF41" s="36">
        <f t="shared" si="10"/>
        <v>1</v>
      </c>
      <c r="AG41" s="36">
        <f t="shared" si="10"/>
        <v>1</v>
      </c>
      <c r="AH41" s="36">
        <f t="shared" si="10"/>
        <v>1</v>
      </c>
      <c r="AI41" s="37">
        <f t="shared" si="6"/>
        <v>32</v>
      </c>
      <c r="AJ41" s="38">
        <f t="shared" si="7"/>
        <v>0.02852049911</v>
      </c>
    </row>
    <row r="42">
      <c r="A42" s="39"/>
      <c r="B42" s="1"/>
      <c r="C42" s="1"/>
      <c r="D42" s="1"/>
      <c r="AI42" s="37">
        <f>SUM(AI37:AI41)</f>
        <v>1122</v>
      </c>
      <c r="AJ42" s="38">
        <f t="shared" si="7"/>
        <v>1</v>
      </c>
    </row>
    <row r="43">
      <c r="A43" s="39"/>
      <c r="B43" s="1"/>
      <c r="C43" s="1"/>
      <c r="D43" s="1"/>
    </row>
    <row r="44">
      <c r="D44" s="1"/>
    </row>
    <row r="45">
      <c r="D45" s="1"/>
    </row>
    <row r="46">
      <c r="A46" s="39"/>
      <c r="B46" s="1"/>
      <c r="C46" s="1"/>
      <c r="D46" s="1"/>
    </row>
    <row r="47">
      <c r="A47" s="40" t="s">
        <v>80</v>
      </c>
      <c r="B47" s="1"/>
      <c r="C47" s="1"/>
      <c r="D47" s="1"/>
    </row>
    <row r="48">
      <c r="A48" s="41" t="s">
        <v>81</v>
      </c>
      <c r="B48" s="42">
        <f>AVERAGE(AI2:AI35)</f>
        <v>119.7647059</v>
      </c>
      <c r="C48" s="1"/>
    </row>
  </sheetData>
  <conditionalFormatting sqref="B2">
    <cfRule type="notContainsBlanks" dxfId="0" priority="1">
      <formula>LEN(TRIM(B2))&gt;0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9.13"/>
    <col customWidth="1" min="4" max="4" width="17.88"/>
  </cols>
  <sheetData>
    <row r="1">
      <c r="A1" s="43" t="s">
        <v>82</v>
      </c>
      <c r="B1" s="44" t="s">
        <v>83</v>
      </c>
      <c r="C1" s="44" t="s">
        <v>84</v>
      </c>
      <c r="D1" s="44" t="s">
        <v>85</v>
      </c>
      <c r="E1" s="44" t="s">
        <v>86</v>
      </c>
    </row>
    <row r="2">
      <c r="A2" s="45">
        <v>1.0</v>
      </c>
      <c r="B2" s="6" t="s">
        <v>7</v>
      </c>
      <c r="C2" s="46" t="s">
        <v>87</v>
      </c>
      <c r="D2" s="1"/>
      <c r="E2" s="46" t="s">
        <v>88</v>
      </c>
    </row>
    <row r="3">
      <c r="A3" s="45">
        <v>2.0</v>
      </c>
      <c r="B3" s="6" t="s">
        <v>9</v>
      </c>
      <c r="C3" s="46" t="s">
        <v>89</v>
      </c>
      <c r="D3" s="46" t="s">
        <v>90</v>
      </c>
      <c r="E3" s="46" t="s">
        <v>91</v>
      </c>
    </row>
    <row r="4">
      <c r="A4" s="45">
        <v>3.0</v>
      </c>
      <c r="B4" s="6" t="s">
        <v>10</v>
      </c>
      <c r="C4" s="46" t="s">
        <v>92</v>
      </c>
      <c r="D4" s="1"/>
      <c r="E4" s="46" t="s">
        <v>93</v>
      </c>
    </row>
    <row r="5">
      <c r="A5" s="45">
        <v>4.0</v>
      </c>
      <c r="B5" s="6" t="s">
        <v>12</v>
      </c>
      <c r="C5" s="46" t="s">
        <v>94</v>
      </c>
      <c r="D5" s="1"/>
      <c r="E5" s="46" t="s">
        <v>88</v>
      </c>
    </row>
    <row r="6">
      <c r="A6" s="45">
        <v>5.0</v>
      </c>
      <c r="B6" s="6" t="s">
        <v>13</v>
      </c>
      <c r="C6" s="46" t="s">
        <v>92</v>
      </c>
      <c r="D6" s="1"/>
      <c r="E6" s="46" t="s">
        <v>93</v>
      </c>
    </row>
  </sheetData>
  <drawing r:id="rId1"/>
</worksheet>
</file>
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Results!$A$1:$D$21</definedName>
  </definedNames>
  <calcPr/>
</workbook>
</file>

<file path=xl/sharedStrings.xml><?xml version="1.0" encoding="utf-8"?>
<sst xmlns="http://schemas.openxmlformats.org/spreadsheetml/2006/main" count="97" uniqueCount="57">
  <si>
    <t>Name</t>
  </si>
  <si>
    <t>Score</t>
  </si>
  <si>
    <t>schiing  - Pour Some Vape into Those Smooth Etudes  Kid!</t>
  </si>
  <si>
    <t>pts</t>
  </si>
  <si>
    <t>PeterH - Me Dreamt of Pathetic Cliché Sounds And Phrases</t>
  </si>
  <si>
    <t>Guenon  - Music Bot in AUTOEXEC.BAT</t>
  </si>
  <si>
    <t>574X - Sensory Perception</t>
  </si>
  <si>
    <t>Zarf  - It Might Be Space Jazz</t>
  </si>
  <si>
    <t>The Never Scene - Gone the way of the Diodow</t>
  </si>
  <si>
    <t>satYatunes - Diodow Ride</t>
  </si>
  <si>
    <t>Taron  - BigLeap</t>
  </si>
  <si>
    <t>bh9090  - Staples Mill Sob</t>
  </si>
  <si>
    <t>DoctorBob  - Easy Waltzy Does It - Diodow</t>
  </si>
  <si>
    <t>functionform - Biergarten</t>
  </si>
  <si>
    <t>Liqih - Diodow Green Coffee</t>
  </si>
  <si>
    <t>eauson - AqwaDIYDUB Diodow</t>
  </si>
  <si>
    <t>mostlyjustj  - Diode Is A One Way Street</t>
  </si>
  <si>
    <t>Wagtunes  - Sci Fi Soundtrack From Hell</t>
  </si>
  <si>
    <t>Frostline  - Slew</t>
  </si>
  <si>
    <t>Aluode - Cambodia</t>
  </si>
  <si>
    <t>(dq)</t>
  </si>
  <si>
    <t>Lovesindoom - All You Want</t>
  </si>
  <si>
    <t>Darksynth FX  - You Shall Not Pass</t>
  </si>
  <si>
    <t>bryemye  - Encave</t>
  </si>
  <si>
    <t>Voter Name (KVR nick)</t>
  </si>
  <si>
    <t>Gen. Score</t>
  </si>
  <si>
    <t>574X</t>
  </si>
  <si>
    <t>aluode</t>
  </si>
  <si>
    <t>asi4</t>
  </si>
  <si>
    <t>bh9090</t>
  </si>
  <si>
    <t>bryemye</t>
  </si>
  <si>
    <t>Darksynth FX</t>
  </si>
  <si>
    <t>doctorbob</t>
  </si>
  <si>
    <t>eauson</t>
  </si>
  <si>
    <t>Frostline</t>
  </si>
  <si>
    <t>functionform</t>
  </si>
  <si>
    <t>Guenon</t>
  </si>
  <si>
    <t>Harry_HH</t>
  </si>
  <si>
    <t>Liqih</t>
  </si>
  <si>
    <t>mostlyjustj</t>
  </si>
  <si>
    <t>PeterH</t>
  </si>
  <si>
    <t>satYatunes</t>
  </si>
  <si>
    <t>schiing</t>
  </si>
  <si>
    <t>Taron</t>
  </si>
  <si>
    <t>TheNeverScene</t>
  </si>
  <si>
    <t>Tj Shredder</t>
  </si>
  <si>
    <t>urlwolf</t>
  </si>
  <si>
    <t>wagtunes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</si>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</sst>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B7B7B7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999999"/>
      <name val="Arial"/>
    </font>
    <font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5" numFmtId="0" xfId="0" applyAlignment="1" applyBorder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0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1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428625</xdr:colOff>
      <xdr:row>30</xdr:row>
      <xdr:rowOff>76200</xdr:rowOff>
    </xdr:from>
    <xdr:ext cx="2533650" cy="2533650"/>
    <xdr:pic>
      <xdr:nvPicPr>
        <xdr:cNvPr id="17981539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6.0"/>
    <col customWidth="1" min="3" max="3" width="6.0"/>
    <col customWidth="1" min="4" max="4" width="4.88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102.0</v>
      </c>
      <c r="D2" s="5" t="s">
        <v>3</v>
      </c>
    </row>
    <row r="3">
      <c r="A3" s="6">
        <v>2.0</v>
      </c>
      <c r="B3" s="4" t="s">
        <v>4</v>
      </c>
      <c r="C3">
        <v>93.0</v>
      </c>
      <c r="D3" s="5" t="s">
        <v>3</v>
      </c>
    </row>
    <row r="4">
      <c r="A4" s="3">
        <v>3.0</v>
      </c>
      <c r="B4" s="4" t="s">
        <v>5</v>
      </c>
      <c r="C4">
        <v>93.0</v>
      </c>
      <c r="D4" s="5" t="s">
        <v>3</v>
      </c>
    </row>
    <row r="5">
      <c r="A5" s="3">
        <v>4.0</v>
      </c>
      <c r="B5" s="4" t="s">
        <v>6</v>
      </c>
      <c r="C5">
        <v>93.0</v>
      </c>
      <c r="D5" s="5" t="s">
        <v>3</v>
      </c>
    </row>
    <row r="6">
      <c r="A6" s="3">
        <v>5.0</v>
      </c>
      <c r="B6" s="4" t="s">
        <v>7</v>
      </c>
      <c r="C6">
        <v>91.0</v>
      </c>
      <c r="D6" s="5" t="s">
        <v>3</v>
      </c>
    </row>
    <row r="7">
      <c r="A7" s="6">
        <v>6.0</v>
      </c>
      <c r="B7" s="4" t="s">
        <v>8</v>
      </c>
      <c r="C7">
        <v>91.0</v>
      </c>
      <c r="D7" s="5" t="s">
        <v>3</v>
      </c>
    </row>
    <row r="8">
      <c r="A8" s="6">
        <v>7.0</v>
      </c>
      <c r="B8" s="4" t="s">
        <v>9</v>
      </c>
      <c r="C8">
        <v>89.0</v>
      </c>
      <c r="D8" s="5" t="s">
        <v>3</v>
      </c>
    </row>
    <row r="9">
      <c r="A9" s="6">
        <v>8.0</v>
      </c>
      <c r="B9" s="4" t="s">
        <v>10</v>
      </c>
      <c r="C9">
        <v>86.0</v>
      </c>
      <c r="D9" s="5" t="s">
        <v>3</v>
      </c>
    </row>
    <row r="10">
      <c r="A10" s="3">
        <v>9.0</v>
      </c>
      <c r="B10" s="4" t="s">
        <v>11</v>
      </c>
      <c r="C10">
        <v>82.0</v>
      </c>
      <c r="D10" s="5" t="s">
        <v>3</v>
      </c>
    </row>
    <row r="11">
      <c r="A11" s="6">
        <v>10.0</v>
      </c>
      <c r="B11" s="4" t="s">
        <v>12</v>
      </c>
      <c r="C11">
        <v>79.0</v>
      </c>
      <c r="D11" s="5" t="s">
        <v>3</v>
      </c>
    </row>
    <row r="12">
      <c r="A12" s="6">
        <v>11.0</v>
      </c>
      <c r="B12" s="4" t="s">
        <v>13</v>
      </c>
      <c r="C12">
        <v>78.0</v>
      </c>
      <c r="D12" s="5" t="s">
        <v>3</v>
      </c>
    </row>
    <row r="13">
      <c r="A13" s="3">
        <v>12.0</v>
      </c>
      <c r="B13" s="4" t="s">
        <v>14</v>
      </c>
      <c r="C13">
        <v>76.0</v>
      </c>
      <c r="D13" s="5" t="s">
        <v>3</v>
      </c>
    </row>
    <row r="14">
      <c r="A14" s="6">
        <v>13.0</v>
      </c>
      <c r="B14" s="4" t="s">
        <v>15</v>
      </c>
      <c r="C14">
        <v>75.0</v>
      </c>
      <c r="D14" s="5" t="s">
        <v>3</v>
      </c>
    </row>
    <row r="15">
      <c r="A15" s="6">
        <v>14.0</v>
      </c>
      <c r="B15" s="4" t="s">
        <v>16</v>
      </c>
      <c r="C15">
        <v>75.0</v>
      </c>
      <c r="D15" s="5" t="s">
        <v>3</v>
      </c>
    </row>
    <row r="16">
      <c r="A16" s="6">
        <v>15.0</v>
      </c>
      <c r="B16" s="4" t="s">
        <v>17</v>
      </c>
      <c r="C16">
        <v>73.0</v>
      </c>
      <c r="D16" s="5" t="s">
        <v>3</v>
      </c>
    </row>
    <row r="17">
      <c r="A17" s="3">
        <v>16.0</v>
      </c>
      <c r="B17" s="4" t="s">
        <v>18</v>
      </c>
      <c r="C17">
        <v>73.0</v>
      </c>
      <c r="D17" s="5" t="s">
        <v>3</v>
      </c>
    </row>
    <row r="18">
      <c r="A18" s="6">
        <v>17.0</v>
      </c>
      <c r="B18" s="4" t="s">
        <v>19</v>
      </c>
      <c r="C18">
        <v>70.0</v>
      </c>
      <c r="D18" s="5" t="s">
        <v>3</v>
      </c>
    </row>
    <row r="19">
      <c r="A19" s="3" t="s">
        <v>20</v>
      </c>
      <c r="B19" s="4" t="s">
        <v>21</v>
      </c>
      <c r="C19">
        <v>66.0</v>
      </c>
      <c r="D19" s="5" t="s">
        <v>3</v>
      </c>
    </row>
    <row r="20">
      <c r="A20" s="6">
        <v>18.0</v>
      </c>
      <c r="B20" s="4" t="s">
        <v>22</v>
      </c>
      <c r="C20">
        <v>65.0</v>
      </c>
      <c r="D20" s="5" t="s">
        <v>3</v>
      </c>
    </row>
    <row r="21">
      <c r="A21" s="6">
        <v>19.0</v>
      </c>
      <c r="B21" s="4" t="s">
        <v>23</v>
      </c>
      <c r="C21">
        <v>59.0</v>
      </c>
      <c r="D21" s="5" t="s">
        <v>3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</sheetData>
  <autoFilter ref="$A$1:$D$21">
    <sortState ref="A1:D21">
      <sortCondition descending="1" ref="C1:C21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6" width="6.88"/>
  </cols>
  <sheetData>
    <row r="1">
      <c r="A1" s="6" t="s">
        <v>24</v>
      </c>
      <c r="B1" s="6" t="s">
        <v>6</v>
      </c>
      <c r="C1" s="6" t="s">
        <v>19</v>
      </c>
      <c r="D1" s="6" t="s">
        <v>11</v>
      </c>
      <c r="E1" s="6" t="s">
        <v>23</v>
      </c>
      <c r="F1" s="6" t="s">
        <v>22</v>
      </c>
      <c r="G1" s="6" t="s">
        <v>12</v>
      </c>
      <c r="H1" s="6" t="s">
        <v>15</v>
      </c>
      <c r="I1" s="6" t="s">
        <v>18</v>
      </c>
      <c r="J1" s="6" t="s">
        <v>13</v>
      </c>
      <c r="K1" s="6" t="s">
        <v>5</v>
      </c>
      <c r="L1" s="6" t="s">
        <v>14</v>
      </c>
      <c r="M1" s="7" t="s">
        <v>21</v>
      </c>
      <c r="N1" s="6" t="s">
        <v>16</v>
      </c>
      <c r="O1" s="6" t="s">
        <v>4</v>
      </c>
      <c r="P1" s="6" t="s">
        <v>9</v>
      </c>
      <c r="Q1" s="6" t="s">
        <v>2</v>
      </c>
      <c r="R1" s="6" t="s">
        <v>10</v>
      </c>
      <c r="S1" s="6" t="s">
        <v>8</v>
      </c>
      <c r="T1" s="6" t="s">
        <v>17</v>
      </c>
      <c r="U1" s="6" t="s">
        <v>7</v>
      </c>
      <c r="V1" s="8" t="s">
        <v>25</v>
      </c>
      <c r="W1" s="1"/>
    </row>
    <row r="2">
      <c r="A2" s="6" t="s">
        <v>26</v>
      </c>
      <c r="B2" s="9">
        <v>1.0</v>
      </c>
      <c r="C2" s="6">
        <v>5.0</v>
      </c>
      <c r="D2" s="6">
        <v>5.0</v>
      </c>
      <c r="E2" s="6">
        <v>4.0</v>
      </c>
      <c r="F2" s="6">
        <v>5.0</v>
      </c>
      <c r="G2" s="6">
        <v>4.0</v>
      </c>
      <c r="H2" s="6">
        <v>4.0</v>
      </c>
      <c r="I2" s="6">
        <v>4.0</v>
      </c>
      <c r="J2" s="6">
        <v>4.0</v>
      </c>
      <c r="K2" s="6">
        <v>5.0</v>
      </c>
      <c r="L2" s="6">
        <v>4.0</v>
      </c>
      <c r="M2" s="6">
        <v>3.0</v>
      </c>
      <c r="N2" s="6">
        <v>4.0</v>
      </c>
      <c r="O2" s="6">
        <v>5.0</v>
      </c>
      <c r="P2" s="6">
        <v>5.0</v>
      </c>
      <c r="Q2" s="6">
        <v>5.0</v>
      </c>
      <c r="R2" s="6">
        <v>4.0</v>
      </c>
      <c r="S2" s="6">
        <v>4.0</v>
      </c>
      <c r="T2" s="6">
        <v>3.0</v>
      </c>
      <c r="U2" s="6">
        <v>5.0</v>
      </c>
      <c r="V2" s="10">
        <f t="shared" ref="V2:V24" si="1">SUM(B2:U2)</f>
        <v>83</v>
      </c>
      <c r="W2" s="11">
        <f t="shared" ref="W2:W24" si="2">(V2-$B$32)/$B$32</f>
        <v>0.1864512119</v>
      </c>
    </row>
    <row r="3">
      <c r="A3" s="6" t="s">
        <v>27</v>
      </c>
      <c r="B3" s="6">
        <v>5.0</v>
      </c>
      <c r="C3" s="9">
        <v>1.0</v>
      </c>
      <c r="D3" s="6">
        <v>3.0</v>
      </c>
      <c r="E3" s="6">
        <v>2.0</v>
      </c>
      <c r="F3" s="6">
        <v>3.0</v>
      </c>
      <c r="G3" s="6">
        <v>3.0</v>
      </c>
      <c r="H3" s="6">
        <v>2.0</v>
      </c>
      <c r="I3" s="6">
        <v>3.0</v>
      </c>
      <c r="J3" s="6">
        <v>3.0</v>
      </c>
      <c r="K3" s="6">
        <v>4.0</v>
      </c>
      <c r="L3" s="6">
        <v>3.0</v>
      </c>
      <c r="M3" s="6">
        <v>3.0</v>
      </c>
      <c r="N3" s="6">
        <v>3.0</v>
      </c>
      <c r="O3" s="6">
        <v>3.0</v>
      </c>
      <c r="P3" s="6">
        <v>4.0</v>
      </c>
      <c r="Q3" s="6">
        <v>5.0</v>
      </c>
      <c r="R3" s="6">
        <v>4.0</v>
      </c>
      <c r="S3" s="6">
        <v>4.0</v>
      </c>
      <c r="T3" s="6">
        <v>3.0</v>
      </c>
      <c r="U3" s="6">
        <v>4.0</v>
      </c>
      <c r="V3" s="10">
        <f t="shared" si="1"/>
        <v>65</v>
      </c>
      <c r="W3" s="11">
        <f t="shared" si="2"/>
        <v>-0.07085146053</v>
      </c>
    </row>
    <row r="4">
      <c r="A4" s="12" t="s">
        <v>28</v>
      </c>
      <c r="B4" s="6">
        <v>4.0</v>
      </c>
      <c r="C4" s="6">
        <v>4.0</v>
      </c>
      <c r="D4" s="6">
        <v>4.0</v>
      </c>
      <c r="E4" s="6">
        <v>3.0</v>
      </c>
      <c r="F4" s="6">
        <v>3.0</v>
      </c>
      <c r="G4" s="6">
        <v>4.0</v>
      </c>
      <c r="H4" s="6">
        <v>3.0</v>
      </c>
      <c r="I4" s="6">
        <v>2.0</v>
      </c>
      <c r="J4" s="6">
        <v>3.0</v>
      </c>
      <c r="K4" s="6">
        <v>5.0</v>
      </c>
      <c r="L4" s="6">
        <v>3.0</v>
      </c>
      <c r="M4" s="6">
        <v>4.0</v>
      </c>
      <c r="N4" s="6">
        <v>4.0</v>
      </c>
      <c r="O4" s="6">
        <v>5.0</v>
      </c>
      <c r="P4" s="6">
        <v>4.0</v>
      </c>
      <c r="Q4" s="6">
        <v>4.0</v>
      </c>
      <c r="R4" s="6">
        <v>4.0</v>
      </c>
      <c r="S4" s="6">
        <v>3.0</v>
      </c>
      <c r="T4" s="6">
        <v>2.0</v>
      </c>
      <c r="U4" s="6">
        <v>4.0</v>
      </c>
      <c r="V4" s="10">
        <f t="shared" si="1"/>
        <v>72</v>
      </c>
      <c r="W4" s="11">
        <f t="shared" si="2"/>
        <v>0.02921068987</v>
      </c>
    </row>
    <row r="5">
      <c r="A5" s="6" t="s">
        <v>29</v>
      </c>
      <c r="B5" s="6">
        <v>4.0</v>
      </c>
      <c r="C5" s="6">
        <v>3.0</v>
      </c>
      <c r="D5" s="9">
        <v>1.0</v>
      </c>
      <c r="E5" s="6">
        <v>3.0</v>
      </c>
      <c r="F5" s="6">
        <v>3.0</v>
      </c>
      <c r="G5" s="6">
        <v>3.0</v>
      </c>
      <c r="H5" s="6">
        <v>4.0</v>
      </c>
      <c r="I5" s="6">
        <v>3.0</v>
      </c>
      <c r="J5" s="6">
        <v>3.0</v>
      </c>
      <c r="K5" s="6">
        <v>4.0</v>
      </c>
      <c r="L5" s="6">
        <v>3.0</v>
      </c>
      <c r="M5" s="6">
        <v>3.0</v>
      </c>
      <c r="N5" s="6">
        <v>3.0</v>
      </c>
      <c r="O5" s="6">
        <v>5.0</v>
      </c>
      <c r="P5" s="6">
        <v>3.0</v>
      </c>
      <c r="Q5" s="6">
        <v>4.0</v>
      </c>
      <c r="R5" s="6">
        <v>4.0</v>
      </c>
      <c r="S5" s="6">
        <v>3.0</v>
      </c>
      <c r="T5" s="6">
        <v>3.0</v>
      </c>
      <c r="U5" s="6">
        <v>4.0</v>
      </c>
      <c r="V5" s="10">
        <f t="shared" si="1"/>
        <v>66</v>
      </c>
      <c r="W5" s="11">
        <f t="shared" si="2"/>
        <v>-0.05655686762</v>
      </c>
    </row>
    <row r="6">
      <c r="A6" s="6" t="s">
        <v>30</v>
      </c>
      <c r="B6" s="6">
        <v>4.0</v>
      </c>
      <c r="C6" s="6">
        <v>2.0</v>
      </c>
      <c r="D6" s="6">
        <v>3.0</v>
      </c>
      <c r="E6" s="9">
        <v>1.0</v>
      </c>
      <c r="F6" s="6">
        <v>3.0</v>
      </c>
      <c r="G6" s="6">
        <v>4.0</v>
      </c>
      <c r="H6" s="6">
        <v>3.0</v>
      </c>
      <c r="I6" s="6">
        <v>3.0</v>
      </c>
      <c r="J6" s="6">
        <v>3.0</v>
      </c>
      <c r="K6" s="6">
        <v>4.0</v>
      </c>
      <c r="L6" s="6">
        <v>2.0</v>
      </c>
      <c r="M6" s="6">
        <v>3.0</v>
      </c>
      <c r="N6" s="6">
        <v>3.0</v>
      </c>
      <c r="O6" s="6">
        <v>3.0</v>
      </c>
      <c r="P6" s="6">
        <v>4.0</v>
      </c>
      <c r="Q6" s="6">
        <v>5.0</v>
      </c>
      <c r="R6" s="6">
        <v>4.0</v>
      </c>
      <c r="S6" s="6">
        <v>3.0</v>
      </c>
      <c r="T6" s="6">
        <v>2.0</v>
      </c>
      <c r="U6" s="6">
        <v>4.0</v>
      </c>
      <c r="V6" s="10">
        <f t="shared" si="1"/>
        <v>63</v>
      </c>
      <c r="W6" s="11">
        <f t="shared" si="2"/>
        <v>-0.09944064636</v>
      </c>
    </row>
    <row r="7">
      <c r="A7" s="6" t="s">
        <v>31</v>
      </c>
      <c r="B7" s="6">
        <v>4.0</v>
      </c>
      <c r="C7" s="6">
        <v>4.0</v>
      </c>
      <c r="D7" s="6">
        <v>3.0</v>
      </c>
      <c r="E7" s="6">
        <v>3.0</v>
      </c>
      <c r="F7" s="9">
        <v>1.0</v>
      </c>
      <c r="G7" s="6">
        <v>3.0</v>
      </c>
      <c r="H7" s="6">
        <v>3.0</v>
      </c>
      <c r="I7" s="6">
        <v>3.0</v>
      </c>
      <c r="J7" s="6">
        <v>3.0</v>
      </c>
      <c r="K7" s="6">
        <v>3.0</v>
      </c>
      <c r="L7" s="6">
        <v>3.0</v>
      </c>
      <c r="M7" s="6">
        <v>3.0</v>
      </c>
      <c r="N7" s="6">
        <v>5.0</v>
      </c>
      <c r="O7" s="6">
        <v>4.0</v>
      </c>
      <c r="P7" s="6">
        <v>4.0</v>
      </c>
      <c r="Q7" s="6">
        <v>5.0</v>
      </c>
      <c r="R7" s="6">
        <v>3.0</v>
      </c>
      <c r="S7" s="6">
        <v>4.0</v>
      </c>
      <c r="T7" s="6">
        <v>3.0</v>
      </c>
      <c r="U7" s="6">
        <v>3.0</v>
      </c>
      <c r="V7" s="10">
        <f t="shared" si="1"/>
        <v>67</v>
      </c>
      <c r="W7" s="11">
        <f t="shared" si="2"/>
        <v>-0.0422622747</v>
      </c>
    </row>
    <row r="8">
      <c r="A8" s="6" t="s">
        <v>32</v>
      </c>
      <c r="B8" s="6">
        <v>3.0</v>
      </c>
      <c r="C8" s="6">
        <v>2.0</v>
      </c>
      <c r="D8" s="6">
        <v>4.0</v>
      </c>
      <c r="E8" s="6">
        <v>2.0</v>
      </c>
      <c r="F8" s="6">
        <v>3.0</v>
      </c>
      <c r="G8" s="9">
        <v>1.0</v>
      </c>
      <c r="H8" s="6">
        <v>3.0</v>
      </c>
      <c r="I8" s="6">
        <v>4.0</v>
      </c>
      <c r="J8" s="6">
        <v>3.0</v>
      </c>
      <c r="K8" s="6">
        <v>3.0</v>
      </c>
      <c r="L8" s="6">
        <v>3.0</v>
      </c>
      <c r="M8" s="6">
        <v>2.0</v>
      </c>
      <c r="N8" s="6">
        <v>3.0</v>
      </c>
      <c r="O8" s="6">
        <v>3.0</v>
      </c>
      <c r="P8" s="6">
        <v>4.0</v>
      </c>
      <c r="Q8" s="6">
        <v>5.0</v>
      </c>
      <c r="R8" s="6">
        <v>4.0</v>
      </c>
      <c r="S8" s="6">
        <v>5.0</v>
      </c>
      <c r="T8" s="6">
        <v>3.0</v>
      </c>
      <c r="U8" s="6">
        <v>5.0</v>
      </c>
      <c r="V8" s="10">
        <f t="shared" si="1"/>
        <v>65</v>
      </c>
      <c r="W8" s="11">
        <f t="shared" si="2"/>
        <v>-0.07085146053</v>
      </c>
    </row>
    <row r="9">
      <c r="A9" s="6" t="s">
        <v>33</v>
      </c>
      <c r="B9" s="6">
        <v>4.0</v>
      </c>
      <c r="C9" s="6">
        <v>3.0</v>
      </c>
      <c r="D9" s="6">
        <v>5.0</v>
      </c>
      <c r="E9" s="6">
        <v>3.0</v>
      </c>
      <c r="F9" s="6">
        <v>3.0</v>
      </c>
      <c r="G9" s="6">
        <v>4.0</v>
      </c>
      <c r="H9" s="9">
        <v>1.0</v>
      </c>
      <c r="I9" s="6">
        <v>3.0</v>
      </c>
      <c r="J9" s="6">
        <v>3.0</v>
      </c>
      <c r="K9" s="6">
        <v>4.0</v>
      </c>
      <c r="L9" s="6">
        <v>4.0</v>
      </c>
      <c r="M9" s="6">
        <v>3.0</v>
      </c>
      <c r="N9" s="6">
        <v>3.0</v>
      </c>
      <c r="O9" s="6">
        <v>3.0</v>
      </c>
      <c r="P9" s="6">
        <v>4.0</v>
      </c>
      <c r="Q9" s="6">
        <v>5.0</v>
      </c>
      <c r="R9" s="6">
        <v>3.0</v>
      </c>
      <c r="S9" s="6">
        <v>3.0</v>
      </c>
      <c r="T9" s="6">
        <v>2.0</v>
      </c>
      <c r="U9" s="6">
        <v>4.0</v>
      </c>
      <c r="V9" s="10">
        <f t="shared" si="1"/>
        <v>67</v>
      </c>
      <c r="W9" s="11">
        <f t="shared" si="2"/>
        <v>-0.0422622747</v>
      </c>
    </row>
    <row r="10">
      <c r="A10" s="6" t="s">
        <v>34</v>
      </c>
      <c r="B10" s="6">
        <v>4.0</v>
      </c>
      <c r="C10" s="6">
        <v>3.0</v>
      </c>
      <c r="D10" s="6">
        <v>4.0</v>
      </c>
      <c r="E10" s="6">
        <v>3.0</v>
      </c>
      <c r="F10" s="6">
        <v>3.0</v>
      </c>
      <c r="G10" s="6">
        <v>4.0</v>
      </c>
      <c r="H10" s="6">
        <v>4.0</v>
      </c>
      <c r="I10" s="9">
        <v>1.0</v>
      </c>
      <c r="J10" s="6">
        <v>4.0</v>
      </c>
      <c r="K10" s="6">
        <v>4.0</v>
      </c>
      <c r="L10" s="6">
        <v>4.0</v>
      </c>
      <c r="M10" s="6">
        <v>3.0</v>
      </c>
      <c r="N10" s="6">
        <v>4.0</v>
      </c>
      <c r="O10" s="6">
        <v>5.0</v>
      </c>
      <c r="P10" s="6">
        <v>5.0</v>
      </c>
      <c r="Q10" s="6">
        <v>5.0</v>
      </c>
      <c r="R10" s="6">
        <v>4.0</v>
      </c>
      <c r="S10" s="6">
        <v>5.0</v>
      </c>
      <c r="T10" s="6">
        <v>3.0</v>
      </c>
      <c r="U10" s="6">
        <v>5.0</v>
      </c>
      <c r="V10" s="10">
        <f t="shared" si="1"/>
        <v>77</v>
      </c>
      <c r="W10" s="11">
        <f t="shared" si="2"/>
        <v>0.1006836544</v>
      </c>
    </row>
    <row r="11">
      <c r="A11" s="6" t="s">
        <v>35</v>
      </c>
      <c r="B11" s="6">
        <v>4.0</v>
      </c>
      <c r="C11" s="6">
        <v>3.0</v>
      </c>
      <c r="D11" s="6">
        <v>5.0</v>
      </c>
      <c r="E11" s="6">
        <v>2.0</v>
      </c>
      <c r="F11" s="6">
        <v>3.0</v>
      </c>
      <c r="G11" s="6">
        <v>4.0</v>
      </c>
      <c r="H11" s="6">
        <v>3.0</v>
      </c>
      <c r="I11" s="6">
        <v>3.0</v>
      </c>
      <c r="J11" s="9">
        <v>1.0</v>
      </c>
      <c r="K11" s="6">
        <v>5.0</v>
      </c>
      <c r="L11" s="6">
        <v>5.0</v>
      </c>
      <c r="M11" s="6">
        <v>3.0</v>
      </c>
      <c r="N11" s="6">
        <v>3.0</v>
      </c>
      <c r="O11" s="6">
        <v>4.0</v>
      </c>
      <c r="P11" s="6">
        <v>4.0</v>
      </c>
      <c r="Q11" s="6">
        <v>5.0</v>
      </c>
      <c r="R11" s="6">
        <v>4.0</v>
      </c>
      <c r="S11" s="6">
        <v>4.0</v>
      </c>
      <c r="T11" s="6">
        <v>5.0</v>
      </c>
      <c r="U11" s="6">
        <v>5.0</v>
      </c>
      <c r="V11" s="10">
        <f t="shared" si="1"/>
        <v>75</v>
      </c>
      <c r="W11" s="11">
        <f t="shared" si="2"/>
        <v>0.07209446861</v>
      </c>
    </row>
    <row r="12">
      <c r="A12" s="6" t="s">
        <v>36</v>
      </c>
      <c r="B12" s="6">
        <v>4.0</v>
      </c>
      <c r="C12" s="6">
        <v>3.0</v>
      </c>
      <c r="D12" s="6">
        <v>4.0</v>
      </c>
      <c r="E12" s="6">
        <v>3.0</v>
      </c>
      <c r="F12" s="6">
        <v>4.0</v>
      </c>
      <c r="G12" s="6">
        <v>4.0</v>
      </c>
      <c r="H12" s="6">
        <v>4.0</v>
      </c>
      <c r="I12" s="6">
        <v>4.0</v>
      </c>
      <c r="J12" s="6">
        <v>4.0</v>
      </c>
      <c r="K12" s="9">
        <v>1.0</v>
      </c>
      <c r="L12" s="6">
        <v>4.0</v>
      </c>
      <c r="M12" s="6">
        <v>4.0</v>
      </c>
      <c r="N12" s="6">
        <v>4.0</v>
      </c>
      <c r="O12" s="6">
        <v>5.0</v>
      </c>
      <c r="P12" s="6">
        <v>5.0</v>
      </c>
      <c r="Q12" s="6">
        <v>5.0</v>
      </c>
      <c r="R12" s="6">
        <v>4.0</v>
      </c>
      <c r="S12" s="6">
        <v>5.0</v>
      </c>
      <c r="T12" s="6">
        <v>5.0</v>
      </c>
      <c r="U12" s="6">
        <v>4.0</v>
      </c>
      <c r="V12" s="10">
        <f t="shared" si="1"/>
        <v>80</v>
      </c>
      <c r="W12" s="11">
        <f t="shared" si="2"/>
        <v>0.1435674332</v>
      </c>
    </row>
    <row r="13">
      <c r="A13" s="12" t="s">
        <v>37</v>
      </c>
      <c r="B13" s="6">
        <v>5.0</v>
      </c>
      <c r="C13" s="6">
        <v>2.0</v>
      </c>
      <c r="D13" s="6">
        <v>4.0</v>
      </c>
      <c r="E13" s="6">
        <v>2.0</v>
      </c>
      <c r="F13" s="6">
        <v>2.0</v>
      </c>
      <c r="G13" s="6">
        <v>3.0</v>
      </c>
      <c r="H13" s="6">
        <v>3.0</v>
      </c>
      <c r="I13" s="6">
        <v>4.0</v>
      </c>
      <c r="J13" s="6">
        <v>2.0</v>
      </c>
      <c r="K13" s="6">
        <v>5.0</v>
      </c>
      <c r="L13" s="6">
        <v>2.0</v>
      </c>
      <c r="M13" s="6">
        <v>3.0</v>
      </c>
      <c r="N13" s="6">
        <v>3.0</v>
      </c>
      <c r="O13" s="6">
        <v>5.0</v>
      </c>
      <c r="P13" s="6">
        <v>2.0</v>
      </c>
      <c r="Q13" s="6">
        <v>5.0</v>
      </c>
      <c r="R13" s="6">
        <v>3.0</v>
      </c>
      <c r="S13" s="6">
        <v>4.0</v>
      </c>
      <c r="T13" s="6">
        <v>3.0</v>
      </c>
      <c r="U13" s="6">
        <v>5.0</v>
      </c>
      <c r="V13" s="10">
        <f t="shared" si="1"/>
        <v>67</v>
      </c>
      <c r="W13" s="11">
        <f t="shared" si="2"/>
        <v>-0.0422622747</v>
      </c>
    </row>
    <row r="14">
      <c r="A14" s="6" t="s">
        <v>38</v>
      </c>
      <c r="B14" s="6">
        <v>5.0</v>
      </c>
      <c r="C14" s="6">
        <v>4.0</v>
      </c>
      <c r="D14" s="6">
        <v>3.0</v>
      </c>
      <c r="E14" s="6">
        <v>3.0</v>
      </c>
      <c r="F14" s="6">
        <v>3.0</v>
      </c>
      <c r="G14" s="6">
        <v>4.0</v>
      </c>
      <c r="H14" s="6">
        <v>5.0</v>
      </c>
      <c r="I14" s="6">
        <v>3.0</v>
      </c>
      <c r="J14" s="6">
        <v>5.0</v>
      </c>
      <c r="K14" s="6">
        <v>4.0</v>
      </c>
      <c r="L14" s="9">
        <v>1.0</v>
      </c>
      <c r="M14" s="6">
        <v>3.0</v>
      </c>
      <c r="N14" s="6">
        <v>3.0</v>
      </c>
      <c r="O14" s="6">
        <v>5.0</v>
      </c>
      <c r="P14" s="6">
        <v>4.0</v>
      </c>
      <c r="Q14" s="6">
        <v>3.0</v>
      </c>
      <c r="R14" s="6">
        <v>3.0</v>
      </c>
      <c r="S14" s="6">
        <v>4.0</v>
      </c>
      <c r="T14" s="6">
        <v>4.0</v>
      </c>
      <c r="U14" s="6">
        <v>3.0</v>
      </c>
      <c r="V14" s="10">
        <f t="shared" si="1"/>
        <v>72</v>
      </c>
      <c r="W14" s="11">
        <f t="shared" si="2"/>
        <v>0.02921068987</v>
      </c>
    </row>
    <row r="15">
      <c r="A15" s="6" t="s">
        <v>39</v>
      </c>
      <c r="B15" s="6">
        <v>5.0</v>
      </c>
      <c r="C15" s="6">
        <v>3.0</v>
      </c>
      <c r="D15" s="6">
        <v>5.0</v>
      </c>
      <c r="E15" s="6">
        <v>2.0</v>
      </c>
      <c r="F15" s="6">
        <v>2.0</v>
      </c>
      <c r="G15" s="6">
        <v>4.0</v>
      </c>
      <c r="H15" s="6">
        <v>3.0</v>
      </c>
      <c r="I15" s="6">
        <v>3.0</v>
      </c>
      <c r="J15" s="6">
        <v>5.0</v>
      </c>
      <c r="K15" s="6">
        <v>4.0</v>
      </c>
      <c r="L15" s="6">
        <v>4.0</v>
      </c>
      <c r="M15" s="6">
        <v>2.0</v>
      </c>
      <c r="N15" s="9">
        <v>1.0</v>
      </c>
      <c r="O15" s="6">
        <v>5.0</v>
      </c>
      <c r="P15" s="6">
        <v>3.0</v>
      </c>
      <c r="Q15" s="6">
        <v>4.0</v>
      </c>
      <c r="R15" s="6">
        <v>4.0</v>
      </c>
      <c r="S15" s="6">
        <v>4.0</v>
      </c>
      <c r="T15" s="6">
        <v>3.0</v>
      </c>
      <c r="U15" s="6">
        <v>3.0</v>
      </c>
      <c r="V15" s="10">
        <f t="shared" si="1"/>
        <v>69</v>
      </c>
      <c r="W15" s="11">
        <f t="shared" si="2"/>
        <v>-0.01367308888</v>
      </c>
    </row>
    <row r="16">
      <c r="A16" s="6" t="s">
        <v>40</v>
      </c>
      <c r="B16" s="6">
        <v>3.0</v>
      </c>
      <c r="C16" s="6">
        <v>3.0</v>
      </c>
      <c r="D16" s="6">
        <v>3.0</v>
      </c>
      <c r="E16" s="6">
        <v>3.0</v>
      </c>
      <c r="F16" s="6">
        <v>3.0</v>
      </c>
      <c r="G16" s="6">
        <v>3.0</v>
      </c>
      <c r="H16" s="6">
        <v>4.0</v>
      </c>
      <c r="I16" s="6">
        <v>3.0</v>
      </c>
      <c r="J16" s="6">
        <v>5.0</v>
      </c>
      <c r="K16" s="6">
        <v>4.0</v>
      </c>
      <c r="L16" s="6">
        <v>2.0</v>
      </c>
      <c r="M16" s="6">
        <v>3.0</v>
      </c>
      <c r="N16" s="6">
        <v>4.0</v>
      </c>
      <c r="O16" s="9">
        <v>1.0</v>
      </c>
      <c r="P16" s="6">
        <v>4.0</v>
      </c>
      <c r="Q16" s="6">
        <v>3.0</v>
      </c>
      <c r="R16" s="6">
        <v>4.0</v>
      </c>
      <c r="S16" s="6">
        <v>5.0</v>
      </c>
      <c r="T16" s="6">
        <v>3.0</v>
      </c>
      <c r="U16" s="6">
        <v>3.0</v>
      </c>
      <c r="V16" s="10">
        <f t="shared" si="1"/>
        <v>66</v>
      </c>
      <c r="W16" s="11">
        <f t="shared" si="2"/>
        <v>-0.05655686762</v>
      </c>
    </row>
    <row r="17">
      <c r="A17" s="6" t="s">
        <v>41</v>
      </c>
      <c r="B17" s="6">
        <v>4.0</v>
      </c>
      <c r="C17" s="6">
        <v>2.0</v>
      </c>
      <c r="D17" s="6">
        <v>3.0</v>
      </c>
      <c r="E17" s="6">
        <v>2.0</v>
      </c>
      <c r="F17" s="6">
        <v>2.0</v>
      </c>
      <c r="G17" s="6">
        <v>4.0</v>
      </c>
      <c r="H17" s="6">
        <v>2.0</v>
      </c>
      <c r="I17" s="6">
        <v>3.0</v>
      </c>
      <c r="J17" s="6">
        <v>3.0</v>
      </c>
      <c r="K17" s="6">
        <v>3.0</v>
      </c>
      <c r="L17" s="6">
        <v>2.0</v>
      </c>
      <c r="M17" s="6">
        <v>2.0</v>
      </c>
      <c r="N17" s="6">
        <v>3.0</v>
      </c>
      <c r="O17" s="6">
        <v>3.0</v>
      </c>
      <c r="P17" s="9">
        <v>1.0</v>
      </c>
      <c r="Q17" s="6">
        <v>5.0</v>
      </c>
      <c r="R17" s="6">
        <v>4.0</v>
      </c>
      <c r="S17" s="6">
        <v>4.0</v>
      </c>
      <c r="T17" s="6">
        <v>2.0</v>
      </c>
      <c r="U17" s="6">
        <v>4.0</v>
      </c>
      <c r="V17" s="10">
        <f t="shared" si="1"/>
        <v>58</v>
      </c>
      <c r="W17" s="11">
        <f t="shared" si="2"/>
        <v>-0.1709136109</v>
      </c>
    </row>
    <row r="18">
      <c r="A18" s="6" t="s">
        <v>42</v>
      </c>
      <c r="B18" s="6">
        <v>5.0</v>
      </c>
      <c r="C18" s="6">
        <v>3.0</v>
      </c>
      <c r="D18" s="6">
        <v>3.0</v>
      </c>
      <c r="E18" s="6">
        <v>3.0</v>
      </c>
      <c r="F18" s="6">
        <v>3.0</v>
      </c>
      <c r="G18" s="6">
        <v>4.0</v>
      </c>
      <c r="H18" s="6">
        <v>4.0</v>
      </c>
      <c r="I18" s="6">
        <v>5.0</v>
      </c>
      <c r="J18" s="6">
        <v>4.0</v>
      </c>
      <c r="K18" s="6">
        <v>5.0</v>
      </c>
      <c r="L18" s="6">
        <v>4.0</v>
      </c>
      <c r="M18" s="6">
        <v>3.0</v>
      </c>
      <c r="N18" s="6">
        <v>4.0</v>
      </c>
      <c r="O18" s="6">
        <v>5.0</v>
      </c>
      <c r="P18" s="6">
        <v>5.0</v>
      </c>
      <c r="Q18" s="9">
        <v>1.0</v>
      </c>
      <c r="R18" s="6">
        <v>4.0</v>
      </c>
      <c r="S18" s="6">
        <v>5.0</v>
      </c>
      <c r="T18" s="6">
        <v>4.0</v>
      </c>
      <c r="U18" s="6">
        <v>5.0</v>
      </c>
      <c r="V18" s="10">
        <f t="shared" si="1"/>
        <v>79</v>
      </c>
      <c r="W18" s="11">
        <f t="shared" si="2"/>
        <v>0.1292728403</v>
      </c>
    </row>
    <row r="19">
      <c r="A19" s="6" t="s">
        <v>43</v>
      </c>
      <c r="B19" s="6">
        <v>4.0</v>
      </c>
      <c r="C19" s="6">
        <v>3.0</v>
      </c>
      <c r="D19" s="6">
        <v>3.0</v>
      </c>
      <c r="E19" s="6">
        <v>2.0</v>
      </c>
      <c r="F19" s="6">
        <v>3.0</v>
      </c>
      <c r="G19" s="6">
        <v>3.0</v>
      </c>
      <c r="H19" s="6">
        <v>3.0</v>
      </c>
      <c r="I19" s="6">
        <v>3.0</v>
      </c>
      <c r="J19" s="6">
        <v>4.0</v>
      </c>
      <c r="K19" s="6">
        <v>5.0</v>
      </c>
      <c r="L19" s="6">
        <v>5.0</v>
      </c>
      <c r="M19" s="6">
        <v>3.0</v>
      </c>
      <c r="N19" s="6">
        <v>4.0</v>
      </c>
      <c r="O19" s="6">
        <v>4.0</v>
      </c>
      <c r="P19" s="6">
        <v>4.0</v>
      </c>
      <c r="Q19" s="6">
        <v>5.0</v>
      </c>
      <c r="R19" s="9">
        <v>1.0</v>
      </c>
      <c r="S19" s="6">
        <v>4.0</v>
      </c>
      <c r="T19" s="6">
        <v>4.0</v>
      </c>
      <c r="U19" s="6">
        <v>5.0</v>
      </c>
      <c r="V19" s="10">
        <f t="shared" si="1"/>
        <v>72</v>
      </c>
      <c r="W19" s="11">
        <f t="shared" si="2"/>
        <v>0.02921068987</v>
      </c>
    </row>
    <row r="20">
      <c r="A20" s="6" t="s">
        <v>44</v>
      </c>
      <c r="B20" s="6">
        <v>5.0</v>
      </c>
      <c r="C20" s="6">
        <v>3.0</v>
      </c>
      <c r="D20" s="6">
        <v>4.0</v>
      </c>
      <c r="E20" s="6">
        <v>3.0</v>
      </c>
      <c r="F20" s="6">
        <v>3.0</v>
      </c>
      <c r="G20" s="6">
        <v>4.0</v>
      </c>
      <c r="H20" s="6">
        <v>4.0</v>
      </c>
      <c r="I20" s="6">
        <v>4.0</v>
      </c>
      <c r="J20" s="6">
        <v>4.0</v>
      </c>
      <c r="K20" s="6">
        <v>5.0</v>
      </c>
      <c r="L20" s="6">
        <v>5.0</v>
      </c>
      <c r="M20" s="6">
        <v>3.0</v>
      </c>
      <c r="N20" s="6">
        <v>4.0</v>
      </c>
      <c r="O20" s="6">
        <v>5.0</v>
      </c>
      <c r="P20" s="6">
        <v>5.0</v>
      </c>
      <c r="Q20" s="6">
        <v>5.0</v>
      </c>
      <c r="R20" s="6">
        <v>4.0</v>
      </c>
      <c r="S20" s="9">
        <v>1.0</v>
      </c>
      <c r="T20" s="6">
        <v>4.0</v>
      </c>
      <c r="U20" s="6">
        <v>5.0</v>
      </c>
      <c r="V20" s="10">
        <f t="shared" si="1"/>
        <v>80</v>
      </c>
      <c r="W20" s="11">
        <f t="shared" si="2"/>
        <v>0.1435674332</v>
      </c>
    </row>
    <row r="21">
      <c r="A21" s="12" t="s">
        <v>45</v>
      </c>
      <c r="B21" s="6">
        <v>4.0</v>
      </c>
      <c r="C21" s="6">
        <v>3.0</v>
      </c>
      <c r="D21" s="6">
        <v>3.0</v>
      </c>
      <c r="E21" s="6">
        <v>4.0</v>
      </c>
      <c r="F21" s="6">
        <v>3.0</v>
      </c>
      <c r="G21" s="6">
        <v>2.0</v>
      </c>
      <c r="H21" s="6">
        <v>3.0</v>
      </c>
      <c r="I21" s="6">
        <v>3.0</v>
      </c>
      <c r="J21" s="6">
        <v>2.0</v>
      </c>
      <c r="K21" s="6">
        <v>4.0</v>
      </c>
      <c r="L21" s="6">
        <v>3.0</v>
      </c>
      <c r="M21" s="6">
        <v>5.0</v>
      </c>
      <c r="N21" s="6">
        <v>3.0</v>
      </c>
      <c r="O21" s="6">
        <v>4.0</v>
      </c>
      <c r="P21" s="6">
        <v>4.0</v>
      </c>
      <c r="Q21" s="6">
        <v>3.0</v>
      </c>
      <c r="R21" s="6">
        <v>3.0</v>
      </c>
      <c r="S21" s="6">
        <v>4.0</v>
      </c>
      <c r="T21" s="6">
        <v>4.0</v>
      </c>
      <c r="U21" s="6">
        <v>2.0</v>
      </c>
      <c r="V21" s="10">
        <f t="shared" si="1"/>
        <v>66</v>
      </c>
      <c r="W21" s="11">
        <f t="shared" si="2"/>
        <v>-0.05655686762</v>
      </c>
    </row>
    <row r="22">
      <c r="A22" s="12" t="s">
        <v>46</v>
      </c>
      <c r="B22" s="6">
        <v>5.0</v>
      </c>
      <c r="C22" s="6">
        <v>4.0</v>
      </c>
      <c r="D22" s="6">
        <v>3.0</v>
      </c>
      <c r="E22" s="6">
        <v>1.0</v>
      </c>
      <c r="F22" s="6">
        <v>2.0</v>
      </c>
      <c r="G22" s="6">
        <v>2.0</v>
      </c>
      <c r="H22" s="6">
        <v>4.0</v>
      </c>
      <c r="I22" s="6">
        <v>2.0</v>
      </c>
      <c r="J22" s="6">
        <v>3.0</v>
      </c>
      <c r="K22" s="6">
        <v>4.0</v>
      </c>
      <c r="L22" s="6">
        <v>3.0</v>
      </c>
      <c r="M22" s="6">
        <v>1.0</v>
      </c>
      <c r="N22" s="6">
        <v>1.0</v>
      </c>
      <c r="O22" s="6">
        <v>2.0</v>
      </c>
      <c r="P22" s="6">
        <v>3.0</v>
      </c>
      <c r="Q22" s="6">
        <v>5.0</v>
      </c>
      <c r="R22" s="6">
        <v>5.0</v>
      </c>
      <c r="S22" s="6">
        <v>3.0</v>
      </c>
      <c r="T22" s="6">
        <v>3.0</v>
      </c>
      <c r="U22" s="6">
        <v>4.0</v>
      </c>
      <c r="V22" s="10">
        <f t="shared" si="1"/>
        <v>60</v>
      </c>
      <c r="W22" s="11">
        <f t="shared" si="2"/>
        <v>-0.1423244251</v>
      </c>
    </row>
    <row r="23">
      <c r="A23" s="6" t="s">
        <v>47</v>
      </c>
      <c r="B23" s="6">
        <v>3.0</v>
      </c>
      <c r="C23" s="6">
        <v>4.0</v>
      </c>
      <c r="D23" s="6">
        <v>3.0</v>
      </c>
      <c r="E23" s="6">
        <v>2.0</v>
      </c>
      <c r="F23" s="6">
        <v>2.0</v>
      </c>
      <c r="G23" s="6">
        <v>4.0</v>
      </c>
      <c r="H23" s="6">
        <v>2.0</v>
      </c>
      <c r="I23" s="6">
        <v>3.0</v>
      </c>
      <c r="J23" s="6">
        <v>3.0</v>
      </c>
      <c r="K23" s="6">
        <v>3.0</v>
      </c>
      <c r="L23" s="6">
        <v>3.0</v>
      </c>
      <c r="M23" s="6">
        <v>1.0</v>
      </c>
      <c r="N23" s="6">
        <v>3.0</v>
      </c>
      <c r="O23" s="6">
        <v>5.0</v>
      </c>
      <c r="P23" s="6">
        <v>4.0</v>
      </c>
      <c r="Q23" s="6">
        <v>5.0</v>
      </c>
      <c r="R23" s="6">
        <v>4.0</v>
      </c>
      <c r="S23" s="6">
        <v>5.0</v>
      </c>
      <c r="T23" s="9">
        <v>1.0</v>
      </c>
      <c r="U23" s="6">
        <v>4.0</v>
      </c>
      <c r="V23" s="10">
        <f t="shared" si="1"/>
        <v>64</v>
      </c>
      <c r="W23" s="11">
        <f t="shared" si="2"/>
        <v>-0.08514605345</v>
      </c>
    </row>
    <row r="24">
      <c r="A24" s="6" t="s">
        <v>48</v>
      </c>
      <c r="B24" s="6">
        <v>4.0</v>
      </c>
      <c r="C24" s="6">
        <v>3.0</v>
      </c>
      <c r="D24" s="6">
        <v>4.0</v>
      </c>
      <c r="E24" s="6">
        <v>3.0</v>
      </c>
      <c r="F24" s="6">
        <v>3.0</v>
      </c>
      <c r="G24" s="6">
        <v>4.0</v>
      </c>
      <c r="H24" s="6">
        <v>4.0</v>
      </c>
      <c r="I24" s="6">
        <v>4.0</v>
      </c>
      <c r="J24" s="6">
        <v>4.0</v>
      </c>
      <c r="K24" s="6">
        <v>5.0</v>
      </c>
      <c r="L24" s="6">
        <v>4.0</v>
      </c>
      <c r="M24" s="6">
        <v>3.0</v>
      </c>
      <c r="N24" s="6">
        <v>3.0</v>
      </c>
      <c r="O24" s="6">
        <v>4.0</v>
      </c>
      <c r="P24" s="6">
        <v>4.0</v>
      </c>
      <c r="Q24" s="6">
        <v>5.0</v>
      </c>
      <c r="R24" s="6">
        <v>5.0</v>
      </c>
      <c r="S24" s="6">
        <v>5.0</v>
      </c>
      <c r="T24" s="6">
        <v>4.0</v>
      </c>
      <c r="U24" s="9">
        <v>1.0</v>
      </c>
      <c r="V24" s="10">
        <f t="shared" si="1"/>
        <v>76</v>
      </c>
      <c r="W24" s="11">
        <f t="shared" si="2"/>
        <v>0.08638906153</v>
      </c>
    </row>
    <row r="25">
      <c r="A25" s="13" t="s">
        <v>1</v>
      </c>
      <c r="B25" s="14">
        <f t="shared" ref="B25:U25" si="3">SUM(B2:B24)</f>
        <v>93</v>
      </c>
      <c r="C25" s="14">
        <f t="shared" si="3"/>
        <v>70</v>
      </c>
      <c r="D25" s="14">
        <f t="shared" si="3"/>
        <v>82</v>
      </c>
      <c r="E25" s="14">
        <f t="shared" si="3"/>
        <v>59</v>
      </c>
      <c r="F25" s="14">
        <f t="shared" si="3"/>
        <v>65</v>
      </c>
      <c r="G25" s="14">
        <f t="shared" si="3"/>
        <v>79</v>
      </c>
      <c r="H25" s="14">
        <f t="shared" si="3"/>
        <v>75</v>
      </c>
      <c r="I25" s="14">
        <f t="shared" si="3"/>
        <v>73</v>
      </c>
      <c r="J25" s="14">
        <f t="shared" si="3"/>
        <v>78</v>
      </c>
      <c r="K25" s="14">
        <f t="shared" si="3"/>
        <v>93</v>
      </c>
      <c r="L25" s="14">
        <f t="shared" si="3"/>
        <v>76</v>
      </c>
      <c r="M25" s="14">
        <f t="shared" si="3"/>
        <v>66</v>
      </c>
      <c r="N25" s="14">
        <f t="shared" si="3"/>
        <v>75</v>
      </c>
      <c r="O25" s="14">
        <f t="shared" si="3"/>
        <v>93</v>
      </c>
      <c r="P25" s="14">
        <f t="shared" si="3"/>
        <v>89</v>
      </c>
      <c r="Q25" s="14">
        <f t="shared" si="3"/>
        <v>102</v>
      </c>
      <c r="R25" s="14">
        <f t="shared" si="3"/>
        <v>86</v>
      </c>
      <c r="S25" s="14">
        <f t="shared" si="3"/>
        <v>91</v>
      </c>
      <c r="T25" s="14">
        <f t="shared" si="3"/>
        <v>73</v>
      </c>
      <c r="U25" s="14">
        <f t="shared" si="3"/>
        <v>91</v>
      </c>
      <c r="V25" s="15" t="s">
        <v>49</v>
      </c>
      <c r="W25" s="1"/>
    </row>
    <row r="26">
      <c r="A26" s="16" t="s">
        <v>50</v>
      </c>
      <c r="B26" s="17">
        <f t="shared" ref="B26:U26" si="4">COUNTIF(B2:B24,5)</f>
        <v>7</v>
      </c>
      <c r="C26" s="17">
        <f t="shared" si="4"/>
        <v>1</v>
      </c>
      <c r="D26" s="17">
        <f t="shared" si="4"/>
        <v>4</v>
      </c>
      <c r="E26" s="17">
        <f t="shared" si="4"/>
        <v>0</v>
      </c>
      <c r="F26" s="17">
        <f t="shared" si="4"/>
        <v>1</v>
      </c>
      <c r="G26" s="17">
        <f t="shared" si="4"/>
        <v>0</v>
      </c>
      <c r="H26" s="17">
        <f t="shared" si="4"/>
        <v>1</v>
      </c>
      <c r="I26" s="17">
        <f t="shared" si="4"/>
        <v>1</v>
      </c>
      <c r="J26" s="17">
        <f t="shared" si="4"/>
        <v>3</v>
      </c>
      <c r="K26" s="17">
        <f t="shared" si="4"/>
        <v>8</v>
      </c>
      <c r="L26" s="17">
        <f t="shared" si="4"/>
        <v>3</v>
      </c>
      <c r="M26" s="17">
        <f t="shared" si="4"/>
        <v>1</v>
      </c>
      <c r="N26" s="17">
        <f t="shared" si="4"/>
        <v>1</v>
      </c>
      <c r="O26" s="17">
        <f t="shared" si="4"/>
        <v>11</v>
      </c>
      <c r="P26" s="17">
        <f t="shared" si="4"/>
        <v>5</v>
      </c>
      <c r="Q26" s="17">
        <f t="shared" si="4"/>
        <v>16</v>
      </c>
      <c r="R26" s="17">
        <f t="shared" si="4"/>
        <v>2</v>
      </c>
      <c r="S26" s="17">
        <f t="shared" si="4"/>
        <v>7</v>
      </c>
      <c r="T26" s="17">
        <f t="shared" si="4"/>
        <v>2</v>
      </c>
      <c r="U26" s="17">
        <f t="shared" si="4"/>
        <v>8</v>
      </c>
      <c r="V26" s="18">
        <f t="shared" ref="V26:V30" si="6">SUM(B26:U26)</f>
        <v>82</v>
      </c>
      <c r="W26" s="19">
        <f t="shared" ref="W26:W31" si="7">V26/$V$31</f>
        <v>0.1782608696</v>
      </c>
    </row>
    <row r="27">
      <c r="A27" s="16" t="s">
        <v>51</v>
      </c>
      <c r="B27" s="17">
        <f t="shared" ref="B27:U27" si="5">COUNTIF(B2:B24,4)</f>
        <v>12</v>
      </c>
      <c r="C27" s="17">
        <f t="shared" si="5"/>
        <v>5</v>
      </c>
      <c r="D27" s="17">
        <f t="shared" si="5"/>
        <v>7</v>
      </c>
      <c r="E27" s="17">
        <f t="shared" si="5"/>
        <v>2</v>
      </c>
      <c r="F27" s="17">
        <f t="shared" si="5"/>
        <v>1</v>
      </c>
      <c r="G27" s="17">
        <f t="shared" si="5"/>
        <v>14</v>
      </c>
      <c r="H27" s="17">
        <f t="shared" si="5"/>
        <v>9</v>
      </c>
      <c r="I27" s="17">
        <f t="shared" si="5"/>
        <v>6</v>
      </c>
      <c r="J27" s="17">
        <f t="shared" si="5"/>
        <v>7</v>
      </c>
      <c r="K27" s="17">
        <f t="shared" si="5"/>
        <v>10</v>
      </c>
      <c r="L27" s="17">
        <f t="shared" si="5"/>
        <v>7</v>
      </c>
      <c r="M27" s="17">
        <f t="shared" si="5"/>
        <v>2</v>
      </c>
      <c r="N27" s="17">
        <f t="shared" si="5"/>
        <v>8</v>
      </c>
      <c r="O27" s="17">
        <f t="shared" si="5"/>
        <v>5</v>
      </c>
      <c r="P27" s="17">
        <f t="shared" si="5"/>
        <v>13</v>
      </c>
      <c r="Q27" s="17">
        <f t="shared" si="5"/>
        <v>3</v>
      </c>
      <c r="R27" s="17">
        <f t="shared" si="5"/>
        <v>15</v>
      </c>
      <c r="S27" s="17">
        <f t="shared" si="5"/>
        <v>10</v>
      </c>
      <c r="T27" s="17">
        <f t="shared" si="5"/>
        <v>6</v>
      </c>
      <c r="U27" s="17">
        <f t="shared" si="5"/>
        <v>9</v>
      </c>
      <c r="V27" s="18">
        <f t="shared" si="6"/>
        <v>151</v>
      </c>
      <c r="W27" s="19">
        <f t="shared" si="7"/>
        <v>0.3282608696</v>
      </c>
    </row>
    <row r="28">
      <c r="A28" s="16" t="s">
        <v>52</v>
      </c>
      <c r="B28" s="17">
        <f t="shared" ref="B28:U28" si="8">COUNTIF(B2:B24,3)</f>
        <v>3</v>
      </c>
      <c r="C28" s="17">
        <f t="shared" si="8"/>
        <v>12</v>
      </c>
      <c r="D28" s="17">
        <f t="shared" si="8"/>
        <v>11</v>
      </c>
      <c r="E28" s="17">
        <f t="shared" si="8"/>
        <v>11</v>
      </c>
      <c r="F28" s="17">
        <f t="shared" si="8"/>
        <v>15</v>
      </c>
      <c r="G28" s="17">
        <f t="shared" si="8"/>
        <v>6</v>
      </c>
      <c r="H28" s="17">
        <f t="shared" si="8"/>
        <v>9</v>
      </c>
      <c r="I28" s="17">
        <f t="shared" si="8"/>
        <v>13</v>
      </c>
      <c r="J28" s="17">
        <f t="shared" si="8"/>
        <v>10</v>
      </c>
      <c r="K28" s="17">
        <f t="shared" si="8"/>
        <v>4</v>
      </c>
      <c r="L28" s="17">
        <f t="shared" si="8"/>
        <v>8</v>
      </c>
      <c r="M28" s="17">
        <f t="shared" si="8"/>
        <v>15</v>
      </c>
      <c r="N28" s="17">
        <f t="shared" si="8"/>
        <v>12</v>
      </c>
      <c r="O28" s="17">
        <f t="shared" si="8"/>
        <v>5</v>
      </c>
      <c r="P28" s="17">
        <f t="shared" si="8"/>
        <v>3</v>
      </c>
      <c r="Q28" s="17">
        <f t="shared" si="8"/>
        <v>3</v>
      </c>
      <c r="R28" s="17">
        <f t="shared" si="8"/>
        <v>5</v>
      </c>
      <c r="S28" s="17">
        <f t="shared" si="8"/>
        <v>5</v>
      </c>
      <c r="T28" s="17">
        <f t="shared" si="8"/>
        <v>10</v>
      </c>
      <c r="U28" s="17">
        <f t="shared" si="8"/>
        <v>4</v>
      </c>
      <c r="V28" s="18">
        <f t="shared" si="6"/>
        <v>164</v>
      </c>
      <c r="W28" s="19">
        <f t="shared" si="7"/>
        <v>0.3565217391</v>
      </c>
    </row>
    <row r="29">
      <c r="A29" s="16" t="s">
        <v>53</v>
      </c>
      <c r="B29" s="17">
        <f t="shared" ref="B29:U29" si="9">COUNTIF(B2:B24,2)</f>
        <v>0</v>
      </c>
      <c r="C29" s="17">
        <f t="shared" si="9"/>
        <v>4</v>
      </c>
      <c r="D29" s="17">
        <f t="shared" si="9"/>
        <v>0</v>
      </c>
      <c r="E29" s="17">
        <f t="shared" si="9"/>
        <v>8</v>
      </c>
      <c r="F29" s="17">
        <f t="shared" si="9"/>
        <v>5</v>
      </c>
      <c r="G29" s="17">
        <f t="shared" si="9"/>
        <v>2</v>
      </c>
      <c r="H29" s="17">
        <f t="shared" si="9"/>
        <v>3</v>
      </c>
      <c r="I29" s="17">
        <f t="shared" si="9"/>
        <v>2</v>
      </c>
      <c r="J29" s="17">
        <f t="shared" si="9"/>
        <v>2</v>
      </c>
      <c r="K29" s="17">
        <f t="shared" si="9"/>
        <v>0</v>
      </c>
      <c r="L29" s="17">
        <f t="shared" si="9"/>
        <v>4</v>
      </c>
      <c r="M29" s="17">
        <f t="shared" si="9"/>
        <v>3</v>
      </c>
      <c r="N29" s="17">
        <f t="shared" si="9"/>
        <v>0</v>
      </c>
      <c r="O29" s="17">
        <f t="shared" si="9"/>
        <v>1</v>
      </c>
      <c r="P29" s="17">
        <f t="shared" si="9"/>
        <v>1</v>
      </c>
      <c r="Q29" s="17">
        <f t="shared" si="9"/>
        <v>0</v>
      </c>
      <c r="R29" s="17">
        <f t="shared" si="9"/>
        <v>0</v>
      </c>
      <c r="S29" s="17">
        <f t="shared" si="9"/>
        <v>0</v>
      </c>
      <c r="T29" s="17">
        <f t="shared" si="9"/>
        <v>4</v>
      </c>
      <c r="U29" s="17">
        <f t="shared" si="9"/>
        <v>1</v>
      </c>
      <c r="V29" s="18">
        <f t="shared" si="6"/>
        <v>40</v>
      </c>
      <c r="W29" s="19">
        <f t="shared" si="7"/>
        <v>0.08695652174</v>
      </c>
    </row>
    <row r="30">
      <c r="A30" s="16" t="s">
        <v>54</v>
      </c>
      <c r="B30" s="17">
        <f t="shared" ref="B30:U30" si="10">COUNTIF(B2:B24,1)</f>
        <v>1</v>
      </c>
      <c r="C30" s="17">
        <f t="shared" si="10"/>
        <v>1</v>
      </c>
      <c r="D30" s="17">
        <f t="shared" si="10"/>
        <v>1</v>
      </c>
      <c r="E30" s="17">
        <f t="shared" si="10"/>
        <v>2</v>
      </c>
      <c r="F30" s="17">
        <f t="shared" si="10"/>
        <v>1</v>
      </c>
      <c r="G30" s="17">
        <f t="shared" si="10"/>
        <v>1</v>
      </c>
      <c r="H30" s="17">
        <f t="shared" si="10"/>
        <v>1</v>
      </c>
      <c r="I30" s="17">
        <f t="shared" si="10"/>
        <v>1</v>
      </c>
      <c r="J30" s="17">
        <f t="shared" si="10"/>
        <v>1</v>
      </c>
      <c r="K30" s="17">
        <f t="shared" si="10"/>
        <v>1</v>
      </c>
      <c r="L30" s="17">
        <f t="shared" si="10"/>
        <v>1</v>
      </c>
      <c r="M30" s="17">
        <f t="shared" si="10"/>
        <v>2</v>
      </c>
      <c r="N30" s="17">
        <f t="shared" si="10"/>
        <v>2</v>
      </c>
      <c r="O30" s="17">
        <f t="shared" si="10"/>
        <v>1</v>
      </c>
      <c r="P30" s="17">
        <f t="shared" si="10"/>
        <v>1</v>
      </c>
      <c r="Q30" s="17">
        <f t="shared" si="10"/>
        <v>1</v>
      </c>
      <c r="R30" s="17">
        <f t="shared" si="10"/>
        <v>1</v>
      </c>
      <c r="S30" s="17">
        <f t="shared" si="10"/>
        <v>1</v>
      </c>
      <c r="T30" s="17">
        <f t="shared" si="10"/>
        <v>1</v>
      </c>
      <c r="U30" s="17">
        <f t="shared" si="10"/>
        <v>1</v>
      </c>
      <c r="V30" s="18">
        <f t="shared" si="6"/>
        <v>23</v>
      </c>
      <c r="W30" s="19">
        <f t="shared" si="7"/>
        <v>0.05</v>
      </c>
    </row>
    <row r="31">
      <c r="A31" s="20" t="s">
        <v>55</v>
      </c>
      <c r="B31" s="21"/>
      <c r="C31" s="21"/>
      <c r="V31">
        <f>SUM(V26:V30)</f>
        <v>460</v>
      </c>
      <c r="W31" s="19">
        <f t="shared" si="7"/>
        <v>1</v>
      </c>
    </row>
    <row r="32">
      <c r="A32" s="22" t="s">
        <v>56</v>
      </c>
      <c r="B32" s="23">
        <f>AVERAGE(V2:V24)</f>
        <v>69.95652174</v>
      </c>
      <c r="C32" s="1"/>
    </row>
  </sheetData>
  <drawing r:id="rId1"/>
</worksheet>
</file>
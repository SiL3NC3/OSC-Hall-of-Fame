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  <sheet state="visible" name="Synths Used" sheetId="4" r:id="rId7"/>
  </sheets>
  <definedNames>
    <definedName hidden="1" localSheetId="0" name="_xlnm._FilterDatabase">Results!$A$1:$E$48</definedName>
    <definedName hidden="1" localSheetId="3" name="_xlnm._FilterDatabase">'Synths Used'!$A$1:$H$49</definedName>
  </definedNames>
  <calcPr/>
</workbook>
</file>

<file path=xl/sharedStrings.xml><?xml version="1.0" encoding="utf-8"?>
<sst xmlns="http://schemas.openxmlformats.org/spreadsheetml/2006/main" count="518" uniqueCount="222">
  <si>
    <t>Name</t>
  </si>
  <si>
    <t>Score</t>
  </si>
  <si>
    <t>Synth</t>
  </si>
  <si>
    <t>Rellik - Out Here Again</t>
  </si>
  <si>
    <t>pts</t>
  </si>
  <si>
    <t>Rellik</t>
  </si>
  <si>
    <t>mmGhost - Kronos</t>
  </si>
  <si>
    <t>mmGhost</t>
  </si>
  <si>
    <t>CS_TBL - The Sea  the Siren and the Whale</t>
  </si>
  <si>
    <t>CS_TBL</t>
  </si>
  <si>
    <t>loris16148 - Off World Colonies</t>
  </si>
  <si>
    <t>loris16148</t>
  </si>
  <si>
    <t>schiing - Flamingo Kid and the Movie Box</t>
  </si>
  <si>
    <t>schiing</t>
  </si>
  <si>
    <t>photonic - Moonrise</t>
  </si>
  <si>
    <t>photonic</t>
  </si>
  <si>
    <t>generaldiomedes - Showdown</t>
  </si>
  <si>
    <t>generaldiomedes</t>
  </si>
  <si>
    <t>exponent1 - Duality</t>
  </si>
  <si>
    <t>exponent1</t>
  </si>
  <si>
    <t>ThePresent - The Curious Trio -  Discovery Of The Cave</t>
  </si>
  <si>
    <t>ThePresent</t>
  </si>
  <si>
    <t>Full Bucket - Dark Drums</t>
  </si>
  <si>
    <t>Full Bucket</t>
  </si>
  <si>
    <t>doctorbob - LindyHoppers</t>
  </si>
  <si>
    <t>doctorbob</t>
  </si>
  <si>
    <t>TheNeverScene - Sand In The Cracks</t>
  </si>
  <si>
    <t>TheNeverScene</t>
  </si>
  <si>
    <t>Guenon - Aura (Berlin 1974 session excerpt four)</t>
  </si>
  <si>
    <t>Guenon</t>
  </si>
  <si>
    <t>VCA-089 - Starry Ocean</t>
  </si>
  <si>
    <t>MrKarolus</t>
  </si>
  <si>
    <t>MrKarolus - Nightmare City</t>
  </si>
  <si>
    <t>VCA-089</t>
  </si>
  <si>
    <t>tomx2188 - Nexus</t>
  </si>
  <si>
    <t>tomx2188</t>
  </si>
  <si>
    <t>simanus - Hindrance</t>
  </si>
  <si>
    <t>simanus</t>
  </si>
  <si>
    <t>Comrade - Add Life</t>
  </si>
  <si>
    <t>Comrade</t>
  </si>
  <si>
    <t>574x - Blaze Your Own Trail</t>
  </si>
  <si>
    <t>574x</t>
  </si>
  <si>
    <t>zarf - funky birthday</t>
  </si>
  <si>
    <t>zarf</t>
  </si>
  <si>
    <t>bsp804 - VeeSeeVSTRack Demo</t>
  </si>
  <si>
    <t>bsp804</t>
  </si>
  <si>
    <t>ontrackp - Zebra Blues In Em</t>
  </si>
  <si>
    <t>ontrackp</t>
  </si>
  <si>
    <t>bh9090 - mar2019</t>
  </si>
  <si>
    <t>bh9090</t>
  </si>
  <si>
    <t>Ranoka - Thanks For Asking</t>
  </si>
  <si>
    <t>Ranoka</t>
  </si>
  <si>
    <t>TrojakEW - Investigation</t>
  </si>
  <si>
    <t>TrojakEW</t>
  </si>
  <si>
    <t>functionform - Raga For A Shooting Star</t>
  </si>
  <si>
    <t>functionform</t>
  </si>
  <si>
    <t>baalisoda - Intimacy</t>
  </si>
  <si>
    <t>baalisoda</t>
  </si>
  <si>
    <t>mostlyjustj - 17 Dune Panorama</t>
  </si>
  <si>
    <t>mostlyjustj</t>
  </si>
  <si>
    <t>DawCrash - Aurora Borealis</t>
  </si>
  <si>
    <t>DawCrash</t>
  </si>
  <si>
    <t>Jazzaria - Dr. Jekyll and Mr. Hyde</t>
  </si>
  <si>
    <t>Jazzaria</t>
  </si>
  <si>
    <t>liqih - Outsider Dub</t>
  </si>
  <si>
    <t>liqih</t>
  </si>
  <si>
    <t>h.s.j.e. - Cold Front Cloudbreak</t>
  </si>
  <si>
    <t>h.s.j.e.</t>
  </si>
  <si>
    <t>Eauson - Anysynth OSC121</t>
  </si>
  <si>
    <t>Eauson</t>
  </si>
  <si>
    <t>Darksynth FX - Under The Sun</t>
  </si>
  <si>
    <t>Darksynth FX</t>
  </si>
  <si>
    <t>rockingricky - Prologue</t>
  </si>
  <si>
    <t>rockingricky</t>
  </si>
  <si>
    <t>eraze the borders - Rusty Orchestra</t>
  </si>
  <si>
    <t>eraze the borders</t>
  </si>
  <si>
    <t>Danilo Villanova - Late Than Never</t>
  </si>
  <si>
    <t>Danilo Villanova</t>
  </si>
  <si>
    <t>Scrubbing Monkeys - Juro Timbre</t>
  </si>
  <si>
    <t>Scrubbing Monkeys</t>
  </si>
  <si>
    <t>RichardSemper - Unfinished</t>
  </si>
  <si>
    <t>RichardSemper</t>
  </si>
  <si>
    <t>kikedesanto - I Can Hold You One More</t>
  </si>
  <si>
    <t>kikedesanto</t>
  </si>
  <si>
    <t>Charles LB - Hats Off Chris</t>
  </si>
  <si>
    <t>Charles LB</t>
  </si>
  <si>
    <t>besh - lala</t>
  </si>
  <si>
    <t>besh</t>
  </si>
  <si>
    <t>mclstr - Bazille Polka</t>
  </si>
  <si>
    <t>mclstr</t>
  </si>
  <si>
    <t>Quaoar - In Transition</t>
  </si>
  <si>
    <t>Quaoar</t>
  </si>
  <si>
    <t>AlienXXX - My Friend Thor</t>
  </si>
  <si>
    <t>AlienXXX</t>
  </si>
  <si>
    <t>d34dmeat - OneSun</t>
  </si>
  <si>
    <t>d34dmeat</t>
  </si>
  <si>
    <t>ilmai - Ragtime Robot</t>
  </si>
  <si>
    <t>ilmai</t>
  </si>
  <si>
    <t>Podium</t>
  </si>
  <si>
    <t>Voter Name (KVR nick)</t>
  </si>
  <si>
    <t>Gen. Score</t>
  </si>
  <si>
    <t>574X</t>
  </si>
  <si>
    <t>eauson</t>
  </si>
  <si>
    <t>FullBucket</t>
  </si>
  <si>
    <t>Harry_HH</t>
  </si>
  <si>
    <t>Liqih</t>
  </si>
  <si>
    <t>Photonic</t>
  </si>
  <si>
    <t>Richard Semper</t>
  </si>
  <si>
    <t>Rockingricky</t>
  </si>
  <si>
    <t>Taron</t>
  </si>
  <si>
    <t>Tj Shredder</t>
  </si>
  <si>
    <t>z.prime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</si>
  <si>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</si>
  <si>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</si>
  <si>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</si>
  <si>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</si>
  <si>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</si>
  <si>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</si>
  <si>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</si>
  <si>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</si>
  <si>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</si>
  <si>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</si>
  <si>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</si>
  <si>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</si>
  <si>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$100</t>
  </si>
  <si>
    <t>Sent</t>
  </si>
  <si>
    <t>Pass</t>
  </si>
  <si>
    <t>N/A</t>
  </si>
  <si>
    <t>JRR Shop : UVI: Digital Synsations (vintage 90's synth sample library and player)</t>
  </si>
  <si>
    <t>Synthmaster One</t>
  </si>
  <si>
    <t>User</t>
  </si>
  <si>
    <t>Synthesizer</t>
  </si>
  <si>
    <t>Company / Developper</t>
  </si>
  <si>
    <t>Synth1</t>
  </si>
  <si>
    <t>Ichiro Toda</t>
  </si>
  <si>
    <t>https://www.kvraudio.com/product/synth1-by-ichiro-toda/details</t>
  </si>
  <si>
    <t>Free</t>
  </si>
  <si>
    <t>Dune 3</t>
  </si>
  <si>
    <t>Synapse Audio</t>
  </si>
  <si>
    <t>https://www.kvraudio.com/product/dune-3-by-synapse-audio/details</t>
  </si>
  <si>
    <t>Commercial</t>
  </si>
  <si>
    <t>FM8</t>
  </si>
  <si>
    <t>Native Instruments</t>
  </si>
  <si>
    <t>https://www.kvraudio.com/product/fm8-by-native-instruments/details</t>
  </si>
  <si>
    <t>Zebra HZ</t>
  </si>
  <si>
    <t>U-he</t>
  </si>
  <si>
    <t>https://u-he.com/products/soundsets/zebra2-soundsets.html#darkzebra</t>
  </si>
  <si>
    <t>Bazille</t>
  </si>
  <si>
    <t>https://www.kvraudio.com/product/bazille-by-u-he/details</t>
  </si>
  <si>
    <t>Harmor</t>
  </si>
  <si>
    <t>Image-Line</t>
  </si>
  <si>
    <t>https://www.kvraudio.com/product/harmor-by-image-line/details</t>
  </si>
  <si>
    <t>Massive</t>
  </si>
  <si>
    <t>https://www.kvraudio.com/product/massive-by-native-instruments/details</t>
  </si>
  <si>
    <t>J.Ruegg</t>
  </si>
  <si>
    <t>Synthmaster</t>
  </si>
  <si>
    <t>KV331</t>
  </si>
  <si>
    <t>https://www.kvraudio.com/product/synthmaster-by-kv331-audio/details</t>
  </si>
  <si>
    <t>Zebra 2</t>
  </si>
  <si>
    <t>https://u-he.com/products/zebra2/</t>
  </si>
  <si>
    <t>Tyrell N6</t>
  </si>
  <si>
    <t>https://www.kvraudio.com/product/tyrell-nexus-6-by-u-he/details</t>
  </si>
  <si>
    <t xml:space="preserve"> </t>
  </si>
  <si>
    <t>Aalto</t>
  </si>
  <si>
    <t>Madrone Labs</t>
  </si>
  <si>
    <t>https://www.kvraudio.com/product/aalto-by-madrona-labs/details</t>
  </si>
  <si>
    <t>Analog Four MkII</t>
  </si>
  <si>
    <t>Elektron</t>
  </si>
  <si>
    <t>https://www.musicradar.com/reviews/elektron-analog-four-mkii</t>
  </si>
  <si>
    <t>Bazz:Murda</t>
  </si>
  <si>
    <t>DistoCore</t>
  </si>
  <si>
    <t>http://distocore.net/bazz_murda.html</t>
  </si>
  <si>
    <t>ElectraX</t>
  </si>
  <si>
    <t>Tone2</t>
  </si>
  <si>
    <t>https://www.kvraudio.com/product/electra2-by-tone2-audiosoftware</t>
  </si>
  <si>
    <t>Kontour</t>
  </si>
  <si>
    <t>https://www.native-instruments.com/en/products/komplete/synths/kontour/</t>
  </si>
  <si>
    <t>Lord of the Springs (LOTS)</t>
  </si>
  <si>
    <t>https://www.kvraudio.com/product/lord-of-the-springs-by-taron/details</t>
  </si>
  <si>
    <t>Modular</t>
  </si>
  <si>
    <t>Sonigen</t>
  </si>
  <si>
    <t>https://www.kvraudio.com/product/sonigen-modular-by-sonigen/details</t>
  </si>
  <si>
    <t>Free (beta)</t>
  </si>
  <si>
    <t>Mux</t>
  </si>
  <si>
    <t>Mulab</t>
  </si>
  <si>
    <t>https://www.kvraudio.com/product/mulab-by-mutools/details</t>
  </si>
  <si>
    <t>Prologue</t>
  </si>
  <si>
    <t>Steinberg</t>
  </si>
  <si>
    <t>https://new.steinberg.net/cubase</t>
  </si>
  <si>
    <t>Serum</t>
  </si>
  <si>
    <t>XferRecords</t>
  </si>
  <si>
    <t>https://www.kvraudio.com/product/serum-by-xfer-records/details</t>
  </si>
  <si>
    <t>Sinnah</t>
  </si>
  <si>
    <t>NUSofting</t>
  </si>
  <si>
    <t>https://www.kvraudio.com/product/sinnah-by-nusofting/details</t>
  </si>
  <si>
    <t>Stigma</t>
  </si>
  <si>
    <t>Full Bucket Music</t>
  </si>
  <si>
    <t>https://www.kvraudio.com/product/stigma-by-full-bucket-music/details</t>
  </si>
  <si>
    <t>Sunvox</t>
  </si>
  <si>
    <t>WarmPlace</t>
  </si>
  <si>
    <t>http://www.warmplace.ru/soft/sunvox/</t>
  </si>
  <si>
    <t>Surge</t>
  </si>
  <si>
    <t>Vember Audio</t>
  </si>
  <si>
    <t>https://www.kvraudio.com/product/surge-by-vember-audio/details</t>
  </si>
  <si>
    <t>https://www.kvraudio.com/product/synthmaster-one-by-kv331-audio/details</t>
  </si>
  <si>
    <t>TAL-U-No-LX</t>
  </si>
  <si>
    <t>TAL Software</t>
  </si>
  <si>
    <t>https://tal-software.com/products/tal-u-no-lx</t>
  </si>
  <si>
    <t>Thor</t>
  </si>
  <si>
    <t>Propellerhead</t>
  </si>
  <si>
    <t>https://www.propellerheads.com/en/reason</t>
  </si>
  <si>
    <t>VeeSeeVSTRack</t>
  </si>
  <si>
    <t>bsp2</t>
  </si>
  <si>
    <t>https://www.kvraudio.com/forum/viewtopic.php?t=507216</t>
  </si>
  <si>
    <t>Yava 4</t>
  </si>
  <si>
    <t>Krakli</t>
  </si>
  <si>
    <t>http://www.krakliplugins.co.uk/Plugins.aspx</t>
  </si>
  <si>
    <t>Z3ta+ 2</t>
  </si>
  <si>
    <t>Cakewalk</t>
  </si>
  <si>
    <t>http://www.cakewalk.com/Products/Z3TA</t>
  </si>
  <si>
    <t>Zebralette</t>
  </si>
  <si>
    <t>https://www.kvraudio.com/product/zebralette-by-u-he/details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</si>
</sst>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u/>
      <color rgb="FF1155CC"/>
      <name val="Arial"/>
    </font>
    <font>
      <color rgb="FFFFFFFF"/>
    </font>
    <font>
      <u/>
      <color rgb="FF1155CC"/>
      <name val="Arial"/>
    </font>
    <font>
      <color rgb="FFFFFFFF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b/>
      <name val="Arial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4">
    <border/>
    <border>
      <right/>
    </border>
    <border>
      <left/>
    </border>
    <border>
      <left/>
      <right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0" fillId="0" fontId="6" numFmtId="0" xfId="0" applyFont="1"/>
    <xf borderId="1" fillId="0" fontId="7" numFmtId="10" xfId="0" applyAlignment="1" applyBorder="1" applyFont="1" applyNumberForma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8" numFmtId="10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9" numFmtId="0" xfId="0" applyAlignment="1" applyBorder="1" applyFont="1">
      <alignment shrinkToFit="0" vertical="bottom" wrapText="0"/>
    </xf>
    <xf borderId="0" fillId="3" fontId="1" numFmtId="0" xfId="0" applyAlignment="1" applyFill="1" applyFont="1">
      <alignment horizontal="right" vertical="bottom"/>
    </xf>
    <xf borderId="1" fillId="0" fontId="9" numFmtId="10" xfId="0" applyAlignment="1" applyBorder="1" applyFont="1" applyNumberFormat="1">
      <alignment shrinkToFit="0" vertical="bottom" wrapText="0"/>
    </xf>
    <xf borderId="0" fillId="4" fontId="3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11" numFmtId="0" xfId="0" applyAlignment="1" applyBorder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9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0"/>
    </xf>
    <xf borderId="0" fillId="0" fontId="1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1" fillId="0" fontId="18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readingOrder="0" shrinkToFit="0" vertical="bottom" wrapText="0"/>
    </xf>
    <xf borderId="3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171450</xdr:colOff>
      <xdr:row>57</xdr:row>
      <xdr:rowOff>152400</xdr:rowOff>
    </xdr:from>
    <xdr:ext cx="2533650" cy="2533650"/>
    <xdr:pic>
      <xdr:nvPicPr>
        <xdr:cNvPr id="54873266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933450</xdr:colOff>
      <xdr:row>0</xdr:row>
      <xdr:rowOff>66675</xdr:rowOff>
    </xdr:from>
    <xdr:ext cx="11134725" cy="5114925"/>
    <xdr:pic>
      <xdr:nvPicPr>
        <xdr:cNvPr id="91755179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26</xdr:row>
      <xdr:rowOff>85725</xdr:rowOff>
    </xdr:from>
    <xdr:ext cx="11134725" cy="5114925"/>
    <xdr:pic>
      <xdr:nvPicPr>
        <xdr:cNvPr id="26505286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armplace.ru/soft/sunvox/" TargetMode="External"/><Relationship Id="rId42" Type="http://schemas.openxmlformats.org/officeDocument/2006/relationships/hyperlink" Target="https://www.kvraudio.com/product/synthmaster-one-by-kv331-audio/details" TargetMode="External"/><Relationship Id="rId41" Type="http://schemas.openxmlformats.org/officeDocument/2006/relationships/hyperlink" Target="https://www.kvraudio.com/product/surge-by-vember-audio/details" TargetMode="External"/><Relationship Id="rId44" Type="http://schemas.openxmlformats.org/officeDocument/2006/relationships/hyperlink" Target="https://www.propellerheads.com/en/reason" TargetMode="External"/><Relationship Id="rId43" Type="http://schemas.openxmlformats.org/officeDocument/2006/relationships/hyperlink" Target="https://tal-software.com/products/tal-u-no-lx" TargetMode="External"/><Relationship Id="rId46" Type="http://schemas.openxmlformats.org/officeDocument/2006/relationships/hyperlink" Target="http://www.krakliplugins.co.uk/Plugins.aspx" TargetMode="External"/><Relationship Id="rId45" Type="http://schemas.openxmlformats.org/officeDocument/2006/relationships/hyperlink" Target="https://www.kvraudio.com/forum/viewtopic.php?t=507216" TargetMode="External"/><Relationship Id="rId1" Type="http://schemas.openxmlformats.org/officeDocument/2006/relationships/hyperlink" Target="https://www.kvraudio.com/product/synth1-by-ichiro-toda/details" TargetMode="External"/><Relationship Id="rId2" Type="http://schemas.openxmlformats.org/officeDocument/2006/relationships/hyperlink" Target="https://www.kvraudio.com/product/synth1-by-ichiro-toda/details" TargetMode="External"/><Relationship Id="rId3" Type="http://schemas.openxmlformats.org/officeDocument/2006/relationships/hyperlink" Target="https://www.kvraudio.com/product/synth1-by-ichiro-toda/details" TargetMode="External"/><Relationship Id="rId4" Type="http://schemas.openxmlformats.org/officeDocument/2006/relationships/hyperlink" Target="https://www.kvraudio.com/product/synth1-by-ichiro-toda/details" TargetMode="External"/><Relationship Id="rId9" Type="http://schemas.openxmlformats.org/officeDocument/2006/relationships/hyperlink" Target="https://www.kvraudio.com/product/dune-3-by-synapse-audio/details" TargetMode="External"/><Relationship Id="rId48" Type="http://schemas.openxmlformats.org/officeDocument/2006/relationships/hyperlink" Target="https://www.kvraudio.com/product/zebralette-by-u-he/details" TargetMode="External"/><Relationship Id="rId47" Type="http://schemas.openxmlformats.org/officeDocument/2006/relationships/hyperlink" Target="http://www.cakewalk.com/Products/Z3TA" TargetMode="External"/><Relationship Id="rId49" Type="http://schemas.openxmlformats.org/officeDocument/2006/relationships/drawing" Target="../drawings/drawing4.xml"/><Relationship Id="rId5" Type="http://schemas.openxmlformats.org/officeDocument/2006/relationships/hyperlink" Target="https://www.kvraudio.com/product/synth1-by-ichiro-toda/details" TargetMode="External"/><Relationship Id="rId6" Type="http://schemas.openxmlformats.org/officeDocument/2006/relationships/hyperlink" Target="https://www.kvraudio.com/product/synth1-by-ichiro-toda/details" TargetMode="External"/><Relationship Id="rId7" Type="http://schemas.openxmlformats.org/officeDocument/2006/relationships/hyperlink" Target="https://www.kvraudio.com/product/dune-3-by-synapse-audio/details" TargetMode="External"/><Relationship Id="rId8" Type="http://schemas.openxmlformats.org/officeDocument/2006/relationships/hyperlink" Target="https://www.kvraudio.com/product/dune-3-by-synapse-audio/details" TargetMode="External"/><Relationship Id="rId31" Type="http://schemas.openxmlformats.org/officeDocument/2006/relationships/hyperlink" Target="https://www.kvraudio.com/product/electra2-by-tone2-audiosoftware" TargetMode="External"/><Relationship Id="rId30" Type="http://schemas.openxmlformats.org/officeDocument/2006/relationships/hyperlink" Target="http://distocore.net/bazz_murda.html" TargetMode="External"/><Relationship Id="rId33" Type="http://schemas.openxmlformats.org/officeDocument/2006/relationships/hyperlink" Target="https://www.kvraudio.com/product/lord-of-the-springs-by-taron/details" TargetMode="External"/><Relationship Id="rId32" Type="http://schemas.openxmlformats.org/officeDocument/2006/relationships/hyperlink" Target="https://www.native-instruments.com/en/products/komplete/synths/kontour/" TargetMode="External"/><Relationship Id="rId35" Type="http://schemas.openxmlformats.org/officeDocument/2006/relationships/hyperlink" Target="https://www.kvraudio.com/product/mulab-by-mutools/details" TargetMode="External"/><Relationship Id="rId34" Type="http://schemas.openxmlformats.org/officeDocument/2006/relationships/hyperlink" Target="https://www.kvraudio.com/product/sonigen-modular-by-sonigen/details" TargetMode="External"/><Relationship Id="rId37" Type="http://schemas.openxmlformats.org/officeDocument/2006/relationships/hyperlink" Target="https://www.kvraudio.com/product/serum-by-xfer-records/details" TargetMode="External"/><Relationship Id="rId36" Type="http://schemas.openxmlformats.org/officeDocument/2006/relationships/hyperlink" Target="https://new.steinberg.net/cubase" TargetMode="External"/><Relationship Id="rId39" Type="http://schemas.openxmlformats.org/officeDocument/2006/relationships/hyperlink" Target="https://www.kvraudio.com/product/stigma-by-full-bucket-music/details" TargetMode="External"/><Relationship Id="rId38" Type="http://schemas.openxmlformats.org/officeDocument/2006/relationships/hyperlink" Target="https://www.kvraudio.com/product/sinnah-by-nusofting/details" TargetMode="External"/><Relationship Id="rId20" Type="http://schemas.openxmlformats.org/officeDocument/2006/relationships/hyperlink" Target="https://www.kvraudio.com/product/massive-by-native-instruments/details" TargetMode="External"/><Relationship Id="rId22" Type="http://schemas.openxmlformats.org/officeDocument/2006/relationships/hyperlink" Target="https://www.kvraudio.com/product/synthmaster-by-kv331-audio/details" TargetMode="External"/><Relationship Id="rId21" Type="http://schemas.openxmlformats.org/officeDocument/2006/relationships/hyperlink" Target="https://www.kvraudio.com/product/massive-by-native-instruments/details" TargetMode="External"/><Relationship Id="rId24" Type="http://schemas.openxmlformats.org/officeDocument/2006/relationships/hyperlink" Target="https://u-he.com/products/zebra2/" TargetMode="External"/><Relationship Id="rId23" Type="http://schemas.openxmlformats.org/officeDocument/2006/relationships/hyperlink" Target="https://www.kvraudio.com/product/synthmaster-by-kv331-audio/details" TargetMode="External"/><Relationship Id="rId26" Type="http://schemas.openxmlformats.org/officeDocument/2006/relationships/hyperlink" Target="https://www.kvraudio.com/product/tyrell-nexus-6-by-u-he/details" TargetMode="External"/><Relationship Id="rId25" Type="http://schemas.openxmlformats.org/officeDocument/2006/relationships/hyperlink" Target="https://u-he.com/products/zebra2/" TargetMode="External"/><Relationship Id="rId28" Type="http://schemas.openxmlformats.org/officeDocument/2006/relationships/hyperlink" Target="https://www.kvraudio.com/product/aalto-by-madrona-labs/details" TargetMode="External"/><Relationship Id="rId27" Type="http://schemas.openxmlformats.org/officeDocument/2006/relationships/hyperlink" Target="https://www.kvraudio.com/product/tyrell-nexus-6-by-u-he/details" TargetMode="External"/><Relationship Id="rId29" Type="http://schemas.openxmlformats.org/officeDocument/2006/relationships/hyperlink" Target="https://www.musicradar.com/reviews/elektron-analog-four-mkii" TargetMode="External"/><Relationship Id="rId11" Type="http://schemas.openxmlformats.org/officeDocument/2006/relationships/hyperlink" Target="https://www.kvraudio.com/product/fm8-by-native-instruments/details" TargetMode="External"/><Relationship Id="rId10" Type="http://schemas.openxmlformats.org/officeDocument/2006/relationships/hyperlink" Target="https://www.kvraudio.com/product/fm8-by-native-instruments/details" TargetMode="External"/><Relationship Id="rId13" Type="http://schemas.openxmlformats.org/officeDocument/2006/relationships/hyperlink" Target="https://u-he.com/products/soundsets/zebra2-soundsets.html" TargetMode="External"/><Relationship Id="rId12" Type="http://schemas.openxmlformats.org/officeDocument/2006/relationships/hyperlink" Target="https://www.kvraudio.com/product/fm8-by-native-instruments/details" TargetMode="External"/><Relationship Id="rId15" Type="http://schemas.openxmlformats.org/officeDocument/2006/relationships/hyperlink" Target="https://u-he.com/products/soundsets/zebra2-soundsets.html" TargetMode="External"/><Relationship Id="rId14" Type="http://schemas.openxmlformats.org/officeDocument/2006/relationships/hyperlink" Target="https://u-he.com/products/soundsets/zebra2-soundsets.html" TargetMode="External"/><Relationship Id="rId17" Type="http://schemas.openxmlformats.org/officeDocument/2006/relationships/hyperlink" Target="https://www.kvraudio.com/product/bazille-by-u-he/details" TargetMode="External"/><Relationship Id="rId16" Type="http://schemas.openxmlformats.org/officeDocument/2006/relationships/hyperlink" Target="https://www.kvraudio.com/product/bazille-by-u-he/details" TargetMode="External"/><Relationship Id="rId19" Type="http://schemas.openxmlformats.org/officeDocument/2006/relationships/hyperlink" Target="https://www.kvraudio.com/product/harmor-by-image-line/details" TargetMode="External"/><Relationship Id="rId18" Type="http://schemas.openxmlformats.org/officeDocument/2006/relationships/hyperlink" Target="https://www.kvraudio.com/product/harmor-by-image-line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1.63"/>
    <col customWidth="1" min="3" max="3" width="6.63"/>
    <col customWidth="1" min="4" max="4" width="4.63"/>
    <col customWidth="1" min="5" max="5" width="0.5"/>
    <col customWidth="1" min="6" max="6" width="15.5"/>
  </cols>
  <sheetData>
    <row r="1">
      <c r="A1" s="1"/>
      <c r="B1" s="2" t="s">
        <v>0</v>
      </c>
      <c r="C1" s="2" t="s">
        <v>1</v>
      </c>
      <c r="E1" s="3" t="s">
        <v>2</v>
      </c>
      <c r="F1" s="3" t="s">
        <v>2</v>
      </c>
    </row>
    <row r="2">
      <c r="A2" s="4">
        <v>1.0</v>
      </c>
      <c r="B2" s="5" t="s">
        <v>3</v>
      </c>
      <c r="C2">
        <v>222.0</v>
      </c>
      <c r="D2" s="6" t="s">
        <v>4</v>
      </c>
      <c r="E2" s="7" t="s">
        <v>5</v>
      </c>
      <c r="F2" s="8" t="str">
        <f>VLOOKUP(E2,'Synths Used'!A:B,2, FALSE)</f>
        <v>FM8</v>
      </c>
      <c r="G2" s="9"/>
      <c r="H2" s="9"/>
      <c r="I2" s="9"/>
    </row>
    <row r="3">
      <c r="A3" s="4">
        <v>2.0</v>
      </c>
      <c r="B3" s="5" t="s">
        <v>6</v>
      </c>
      <c r="C3">
        <v>216.0</v>
      </c>
      <c r="D3" s="6" t="s">
        <v>4</v>
      </c>
      <c r="E3" s="7" t="s">
        <v>7</v>
      </c>
      <c r="F3" s="8" t="str">
        <f>VLOOKUP(E3,'Synths Used'!A:B,2, FALSE)</f>
        <v>Serum</v>
      </c>
      <c r="G3" s="9"/>
      <c r="H3" s="9"/>
      <c r="I3" s="9"/>
    </row>
    <row r="4">
      <c r="A4" s="4">
        <v>3.0</v>
      </c>
      <c r="B4" s="5" t="s">
        <v>8</v>
      </c>
      <c r="C4">
        <v>207.0</v>
      </c>
      <c r="D4" s="6" t="s">
        <v>4</v>
      </c>
      <c r="E4" s="7" t="s">
        <v>9</v>
      </c>
      <c r="F4" s="8" t="str">
        <f>VLOOKUP(E4,'Synths Used'!A:B,2, FALSE)</f>
        <v>FM8</v>
      </c>
      <c r="G4" s="9"/>
      <c r="H4" s="9"/>
      <c r="I4" s="9"/>
    </row>
    <row r="5">
      <c r="A5" s="4">
        <v>4.0</v>
      </c>
      <c r="B5" s="5" t="s">
        <v>10</v>
      </c>
      <c r="C5">
        <v>205.0</v>
      </c>
      <c r="D5" s="6" t="s">
        <v>4</v>
      </c>
      <c r="E5" s="7" t="s">
        <v>11</v>
      </c>
      <c r="F5" s="8" t="str">
        <f>VLOOKUP(E5,'Synths Used'!A:B,2, FALSE)</f>
        <v>Dune 3</v>
      </c>
      <c r="G5" s="9"/>
      <c r="H5" s="9"/>
      <c r="I5" s="9"/>
    </row>
    <row r="6">
      <c r="A6" s="4">
        <v>5.0</v>
      </c>
      <c r="B6" s="5" t="s">
        <v>12</v>
      </c>
      <c r="C6">
        <v>203.0</v>
      </c>
      <c r="D6" s="6" t="s">
        <v>4</v>
      </c>
      <c r="E6" s="7" t="s">
        <v>13</v>
      </c>
      <c r="F6" s="8" t="str">
        <f>VLOOKUP(E6,'Synths Used'!A:B,2, FALSE)</f>
        <v>Yava 4</v>
      </c>
      <c r="G6" s="9"/>
      <c r="H6" s="9"/>
      <c r="I6" s="9"/>
    </row>
    <row r="7">
      <c r="A7" s="4">
        <v>6.0</v>
      </c>
      <c r="B7" s="5" t="s">
        <v>14</v>
      </c>
      <c r="C7">
        <v>200.0</v>
      </c>
      <c r="D7" s="6" t="s">
        <v>4</v>
      </c>
      <c r="E7" s="7" t="s">
        <v>15</v>
      </c>
      <c r="F7" s="8" t="str">
        <f>VLOOKUP(E7,'Synths Used'!A:B,2, FALSE)</f>
        <v>Zebra 2</v>
      </c>
      <c r="G7" s="9"/>
      <c r="H7" s="9"/>
      <c r="I7" s="9"/>
    </row>
    <row r="8">
      <c r="A8" s="4">
        <v>7.0</v>
      </c>
      <c r="B8" s="5" t="s">
        <v>16</v>
      </c>
      <c r="C8">
        <v>194.0</v>
      </c>
      <c r="D8" s="6" t="s">
        <v>4</v>
      </c>
      <c r="E8" s="7" t="s">
        <v>17</v>
      </c>
      <c r="F8" s="8" t="str">
        <f>VLOOKUP(E8,'Synths Used'!A:B,2, FALSE)</f>
        <v>Zebra HZ</v>
      </c>
      <c r="G8" s="9"/>
      <c r="H8" s="9"/>
      <c r="I8" s="9"/>
    </row>
    <row r="9">
      <c r="A9" s="4">
        <v>8.0</v>
      </c>
      <c r="B9" s="5" t="s">
        <v>18</v>
      </c>
      <c r="C9">
        <v>190.0</v>
      </c>
      <c r="D9" s="6" t="s">
        <v>4</v>
      </c>
      <c r="E9" s="7" t="s">
        <v>19</v>
      </c>
      <c r="F9" s="10" t="str">
        <f>VLOOKUP(E9,'Synths Used'!A:B,2, FALSE)</f>
        <v>Synthmaster One</v>
      </c>
      <c r="G9" s="9"/>
      <c r="H9" s="9"/>
      <c r="I9" s="9"/>
    </row>
    <row r="10">
      <c r="A10" s="4">
        <v>9.0</v>
      </c>
      <c r="B10" s="5" t="s">
        <v>20</v>
      </c>
      <c r="C10">
        <v>188.0</v>
      </c>
      <c r="D10" s="6" t="s">
        <v>4</v>
      </c>
      <c r="E10" s="11" t="s">
        <v>21</v>
      </c>
      <c r="F10" s="8" t="str">
        <f>VLOOKUP(E10,'Synths Used'!A:B,2, FALSE)</f>
        <v>Bazille</v>
      </c>
      <c r="G10" s="9"/>
      <c r="H10" s="9"/>
      <c r="I10" s="9"/>
    </row>
    <row r="11">
      <c r="A11" s="4">
        <v>10.0</v>
      </c>
      <c r="B11" s="5" t="s">
        <v>22</v>
      </c>
      <c r="C11">
        <v>188.0</v>
      </c>
      <c r="D11" s="6" t="s">
        <v>4</v>
      </c>
      <c r="E11" s="11" t="s">
        <v>23</v>
      </c>
      <c r="F11" s="8" t="str">
        <f>VLOOKUP(E11,'Synths Used'!A:B,2, FALSE)</f>
        <v>Stigma</v>
      </c>
      <c r="G11" s="9"/>
      <c r="H11" s="9"/>
      <c r="I11" s="9"/>
    </row>
    <row r="12">
      <c r="A12" s="4">
        <v>11.0</v>
      </c>
      <c r="B12" s="5" t="s">
        <v>24</v>
      </c>
      <c r="C12">
        <v>187.0</v>
      </c>
      <c r="D12" s="6" t="s">
        <v>4</v>
      </c>
      <c r="E12" s="7" t="s">
        <v>25</v>
      </c>
      <c r="F12" s="8" t="str">
        <f>VLOOKUP(E12,'Synths Used'!A:B,2, FALSE)</f>
        <v>Synth1</v>
      </c>
      <c r="G12" s="9"/>
      <c r="H12" s="9"/>
      <c r="I12" s="9"/>
    </row>
    <row r="13">
      <c r="A13" s="4">
        <v>12.0</v>
      </c>
      <c r="B13" s="5" t="s">
        <v>26</v>
      </c>
      <c r="C13">
        <v>187.0</v>
      </c>
      <c r="D13" s="6" t="s">
        <v>4</v>
      </c>
      <c r="E13" s="7" t="s">
        <v>27</v>
      </c>
      <c r="F13" s="8" t="str">
        <f>VLOOKUP(E13,'Synths Used'!A:B,2, FALSE)</f>
        <v>Dune 3</v>
      </c>
      <c r="G13" s="9"/>
      <c r="H13" s="9"/>
      <c r="I13" s="9"/>
    </row>
    <row r="14">
      <c r="A14" s="4">
        <v>13.0</v>
      </c>
      <c r="B14" s="5" t="s">
        <v>28</v>
      </c>
      <c r="C14">
        <v>183.0</v>
      </c>
      <c r="D14" s="6" t="s">
        <v>4</v>
      </c>
      <c r="E14" s="7" t="s">
        <v>29</v>
      </c>
      <c r="F14" s="8" t="str">
        <f>VLOOKUP(E14,'Synths Used'!A:B,2, FALSE)</f>
        <v>Surge</v>
      </c>
      <c r="G14" s="9"/>
      <c r="H14" s="9"/>
      <c r="I14" s="9"/>
    </row>
    <row r="15">
      <c r="A15" s="4">
        <v>14.0</v>
      </c>
      <c r="B15" s="5" t="s">
        <v>30</v>
      </c>
      <c r="C15">
        <v>182.0</v>
      </c>
      <c r="D15" s="6" t="s">
        <v>4</v>
      </c>
      <c r="E15" s="7" t="s">
        <v>31</v>
      </c>
      <c r="F15" s="8" t="str">
        <f>VLOOKUP(E15,'Synths Used'!A:B,2, FALSE)</f>
        <v>Synth1</v>
      </c>
      <c r="G15" s="9"/>
      <c r="H15" s="9"/>
      <c r="I15" s="9"/>
    </row>
    <row r="16">
      <c r="A16" s="4">
        <v>15.0</v>
      </c>
      <c r="B16" s="5" t="s">
        <v>32</v>
      </c>
      <c r="C16">
        <v>182.0</v>
      </c>
      <c r="D16" s="6" t="s">
        <v>4</v>
      </c>
      <c r="E16" s="7" t="s">
        <v>33</v>
      </c>
      <c r="F16" s="8" t="str">
        <f>VLOOKUP(E16,'Synths Used'!A:B,2, FALSE)</f>
        <v>Synth1</v>
      </c>
      <c r="G16" s="9"/>
      <c r="H16" s="9"/>
      <c r="I16" s="9"/>
    </row>
    <row r="17">
      <c r="A17" s="4">
        <v>16.0</v>
      </c>
      <c r="B17" s="5" t="s">
        <v>34</v>
      </c>
      <c r="C17">
        <v>176.0</v>
      </c>
      <c r="D17" s="6" t="s">
        <v>4</v>
      </c>
      <c r="E17" s="7" t="s">
        <v>35</v>
      </c>
      <c r="F17" s="8" t="str">
        <f>VLOOKUP(E17,'Synths Used'!A:B,2, FALSE)</f>
        <v>Tyrell N6</v>
      </c>
      <c r="G17" s="9"/>
      <c r="H17" s="9"/>
      <c r="I17" s="9"/>
    </row>
    <row r="18">
      <c r="A18" s="4">
        <v>17.0</v>
      </c>
      <c r="B18" s="5" t="s">
        <v>36</v>
      </c>
      <c r="C18">
        <v>174.0</v>
      </c>
      <c r="D18" s="6" t="s">
        <v>4</v>
      </c>
      <c r="E18" s="7" t="s">
        <v>37</v>
      </c>
      <c r="F18" s="8" t="str">
        <f>VLOOKUP(E18,'Synths Used'!A:B,2, FALSE)</f>
        <v>Synthmaster</v>
      </c>
      <c r="G18" s="9"/>
      <c r="H18" s="9"/>
      <c r="I18" s="9"/>
    </row>
    <row r="19">
      <c r="A19" s="4">
        <v>18.0</v>
      </c>
      <c r="B19" s="5" t="s">
        <v>38</v>
      </c>
      <c r="C19">
        <v>172.0</v>
      </c>
      <c r="D19" s="6" t="s">
        <v>4</v>
      </c>
      <c r="E19" s="7" t="s">
        <v>39</v>
      </c>
      <c r="F19" s="8" t="str">
        <f>VLOOKUP(E19,'Synths Used'!A:B,2, FALSE)</f>
        <v>Harmor</v>
      </c>
      <c r="G19" s="9"/>
      <c r="H19" s="9"/>
      <c r="I19" s="9"/>
    </row>
    <row r="20">
      <c r="A20" s="4">
        <v>19.0</v>
      </c>
      <c r="B20" s="5" t="s">
        <v>40</v>
      </c>
      <c r="C20">
        <v>171.0</v>
      </c>
      <c r="D20" s="6" t="s">
        <v>4</v>
      </c>
      <c r="E20" s="7" t="s">
        <v>41</v>
      </c>
      <c r="F20" s="8" t="str">
        <f>VLOOKUP(E20,'Synths Used'!A:B,2, FALSE)</f>
        <v>Bazz:Murda</v>
      </c>
      <c r="G20" s="9"/>
      <c r="H20" s="9"/>
      <c r="I20" s="9"/>
    </row>
    <row r="21">
      <c r="A21" s="4">
        <v>20.0</v>
      </c>
      <c r="B21" s="5" t="s">
        <v>42</v>
      </c>
      <c r="C21">
        <v>168.0</v>
      </c>
      <c r="D21" s="6" t="s">
        <v>4</v>
      </c>
      <c r="E21" s="7" t="s">
        <v>43</v>
      </c>
      <c r="F21" s="8" t="str">
        <f>VLOOKUP(E21,'Synths Used'!A:B,2, FALSE)</f>
        <v>Aalto</v>
      </c>
      <c r="G21" s="9"/>
      <c r="H21" s="9"/>
      <c r="I21" s="9"/>
    </row>
    <row r="22">
      <c r="A22" s="4">
        <v>21.0</v>
      </c>
      <c r="B22" s="5" t="s">
        <v>44</v>
      </c>
      <c r="C22">
        <v>166.0</v>
      </c>
      <c r="D22" s="6" t="s">
        <v>4</v>
      </c>
      <c r="E22" s="11" t="s">
        <v>45</v>
      </c>
      <c r="F22" s="8" t="str">
        <f>VLOOKUP(E22,'Synths Used'!A:B,2, FALSE)</f>
        <v>VeeSeeVSTRack</v>
      </c>
      <c r="G22" s="9"/>
      <c r="H22" s="9"/>
      <c r="I22" s="9"/>
    </row>
    <row r="23">
      <c r="A23" s="4">
        <v>22.0</v>
      </c>
      <c r="B23" s="5" t="s">
        <v>46</v>
      </c>
      <c r="C23">
        <v>166.0</v>
      </c>
      <c r="D23" s="6" t="s">
        <v>4</v>
      </c>
      <c r="E23" s="11" t="s">
        <v>47</v>
      </c>
      <c r="F23" s="10" t="str">
        <f>VLOOKUP(E23,'Synths Used'!A:B,2, FALSE)</f>
        <v>Zebra HZ</v>
      </c>
      <c r="G23" s="9"/>
      <c r="H23" s="9"/>
      <c r="I23" s="9"/>
    </row>
    <row r="24">
      <c r="A24" s="4">
        <v>23.0</v>
      </c>
      <c r="B24" s="5" t="s">
        <v>48</v>
      </c>
      <c r="C24">
        <v>166.0</v>
      </c>
      <c r="D24" s="6" t="s">
        <v>4</v>
      </c>
      <c r="E24" s="11" t="s">
        <v>49</v>
      </c>
      <c r="F24" s="8" t="str">
        <f>VLOOKUP(E24,'Synths Used'!A:B,2, FALSE)</f>
        <v>Zebra 2</v>
      </c>
      <c r="G24" s="9"/>
      <c r="H24" s="9"/>
      <c r="I24" s="9"/>
    </row>
    <row r="25">
      <c r="A25" s="4">
        <v>24.0</v>
      </c>
      <c r="B25" s="5" t="s">
        <v>50</v>
      </c>
      <c r="C25">
        <v>163.0</v>
      </c>
      <c r="D25" s="6" t="s">
        <v>4</v>
      </c>
      <c r="E25" s="7" t="s">
        <v>51</v>
      </c>
      <c r="F25" s="8" t="str">
        <f>VLOOKUP(E25,'Synths Used'!A:B,2, FALSE)</f>
        <v>Zebra HZ</v>
      </c>
      <c r="G25" s="9"/>
      <c r="H25" s="9"/>
      <c r="I25" s="9"/>
    </row>
    <row r="26">
      <c r="A26" s="4">
        <v>25.0</v>
      </c>
      <c r="B26" s="5" t="s">
        <v>52</v>
      </c>
      <c r="C26">
        <v>163.0</v>
      </c>
      <c r="D26" s="6" t="s">
        <v>4</v>
      </c>
      <c r="E26" s="7" t="s">
        <v>53</v>
      </c>
      <c r="F26" s="8" t="str">
        <f>VLOOKUP(E26,'Synths Used'!A:B,2, FALSE)</f>
        <v>Zebralette</v>
      </c>
      <c r="G26" s="9"/>
      <c r="H26" s="9"/>
      <c r="I26" s="9"/>
    </row>
    <row r="27">
      <c r="A27" s="4">
        <v>26.0</v>
      </c>
      <c r="B27" s="5" t="s">
        <v>54</v>
      </c>
      <c r="C27">
        <v>162.0</v>
      </c>
      <c r="D27" s="6" t="s">
        <v>4</v>
      </c>
      <c r="E27" s="7" t="s">
        <v>55</v>
      </c>
      <c r="F27" s="8" t="str">
        <f>VLOOKUP(E27,'Synths Used'!A:B,2, FALSE)</f>
        <v>Harmor</v>
      </c>
      <c r="G27" s="9"/>
      <c r="H27" s="9"/>
      <c r="I27" s="9"/>
    </row>
    <row r="28">
      <c r="A28" s="4">
        <v>27.0</v>
      </c>
      <c r="B28" s="5" t="s">
        <v>56</v>
      </c>
      <c r="C28">
        <v>161.0</v>
      </c>
      <c r="D28" s="6" t="s">
        <v>4</v>
      </c>
      <c r="E28" s="7" t="s">
        <v>57</v>
      </c>
      <c r="F28" s="8" t="str">
        <f>VLOOKUP(E28,'Synths Used'!A:B,2, FALSE)</f>
        <v>Synth1</v>
      </c>
      <c r="G28" s="9"/>
      <c r="H28" s="9"/>
      <c r="I28" s="9"/>
    </row>
    <row r="29">
      <c r="A29" s="4">
        <v>28.0</v>
      </c>
      <c r="B29" s="5" t="s">
        <v>58</v>
      </c>
      <c r="C29">
        <v>161.0</v>
      </c>
      <c r="D29" s="6" t="s">
        <v>4</v>
      </c>
      <c r="E29" s="7" t="s">
        <v>59</v>
      </c>
      <c r="F29" s="8" t="str">
        <f>VLOOKUP(E29,'Synths Used'!A:B,2, FALSE)</f>
        <v>Dune 3</v>
      </c>
      <c r="G29" s="9"/>
      <c r="H29" s="9"/>
      <c r="I29" s="9"/>
    </row>
    <row r="30">
      <c r="A30" s="4">
        <v>29.0</v>
      </c>
      <c r="B30" s="5" t="s">
        <v>60</v>
      </c>
      <c r="C30">
        <v>156.0</v>
      </c>
      <c r="D30" s="6" t="s">
        <v>4</v>
      </c>
      <c r="E30" s="7" t="s">
        <v>61</v>
      </c>
      <c r="F30" s="8" t="str">
        <f>VLOOKUP(E30,'Synths Used'!A:B,2, FALSE)</f>
        <v>Synth1</v>
      </c>
      <c r="G30" s="9"/>
      <c r="H30" s="9"/>
      <c r="I30" s="9"/>
    </row>
    <row r="31">
      <c r="A31" s="4">
        <v>30.0</v>
      </c>
      <c r="B31" s="5" t="s">
        <v>62</v>
      </c>
      <c r="C31">
        <v>154.0</v>
      </c>
      <c r="D31" s="6" t="s">
        <v>4</v>
      </c>
      <c r="E31" s="7" t="s">
        <v>63</v>
      </c>
      <c r="F31" s="8" t="str">
        <f>VLOOKUP(E31,'Synths Used'!A:B,2, FALSE)</f>
        <v>Z3ta+ 2</v>
      </c>
      <c r="G31" s="9"/>
      <c r="H31" s="9"/>
      <c r="I31" s="9"/>
    </row>
    <row r="32">
      <c r="A32" s="4">
        <v>31.0</v>
      </c>
      <c r="B32" s="5" t="s">
        <v>64</v>
      </c>
      <c r="C32">
        <v>153.0</v>
      </c>
      <c r="D32" s="6" t="s">
        <v>4</v>
      </c>
      <c r="E32" s="7" t="s">
        <v>65</v>
      </c>
      <c r="F32" s="8" t="str">
        <f>VLOOKUP(E32,'Synths Used'!A:B,2, FALSE)</f>
        <v>Sinnah</v>
      </c>
      <c r="G32" s="9"/>
      <c r="H32" s="9"/>
      <c r="I32" s="9"/>
    </row>
    <row r="33">
      <c r="A33" s="4">
        <v>32.0</v>
      </c>
      <c r="B33" s="5" t="s">
        <v>66</v>
      </c>
      <c r="C33">
        <v>152.0</v>
      </c>
      <c r="D33" s="6" t="s">
        <v>4</v>
      </c>
      <c r="E33" s="7" t="s">
        <v>67</v>
      </c>
      <c r="F33" s="8" t="str">
        <f>VLOOKUP(E33,'Synths Used'!A:B,2, FALSE)</f>
        <v>Massive</v>
      </c>
      <c r="G33" s="9"/>
      <c r="H33" s="9"/>
      <c r="I33" s="9"/>
    </row>
    <row r="34">
      <c r="A34" s="4">
        <v>33.0</v>
      </c>
      <c r="B34" s="5" t="s">
        <v>68</v>
      </c>
      <c r="C34">
        <v>151.0</v>
      </c>
      <c r="D34" s="6" t="s">
        <v>4</v>
      </c>
      <c r="E34" s="11" t="s">
        <v>69</v>
      </c>
      <c r="F34" s="8" t="str">
        <f>VLOOKUP(E34,'Synths Used'!A:B,2, FALSE)</f>
        <v>Lord of the Springs (LOTS)</v>
      </c>
      <c r="G34" s="9"/>
      <c r="H34" s="9"/>
      <c r="I34" s="9"/>
    </row>
    <row r="35">
      <c r="A35" s="4">
        <v>34.0</v>
      </c>
      <c r="B35" s="5" t="s">
        <v>70</v>
      </c>
      <c r="C35">
        <v>151.0</v>
      </c>
      <c r="D35" s="6" t="s">
        <v>4</v>
      </c>
      <c r="E35" s="11" t="s">
        <v>71</v>
      </c>
      <c r="F35" s="10" t="str">
        <f>VLOOKUP(E35,'Synths Used'!A:B,2, FALSE)</f>
        <v>FM8</v>
      </c>
      <c r="G35" s="9"/>
      <c r="H35" s="9"/>
      <c r="I35" s="9"/>
    </row>
    <row r="36">
      <c r="A36" s="4">
        <v>35.0</v>
      </c>
      <c r="B36" s="5" t="s">
        <v>72</v>
      </c>
      <c r="C36">
        <v>149.0</v>
      </c>
      <c r="D36" s="6" t="s">
        <v>4</v>
      </c>
      <c r="E36" s="11" t="s">
        <v>73</v>
      </c>
      <c r="F36" s="8" t="str">
        <f>VLOOKUP(E36,'Synths Used'!A:B,2, FALSE)</f>
        <v>Prologue</v>
      </c>
      <c r="G36" s="9"/>
      <c r="H36" s="9"/>
      <c r="I36" s="9"/>
    </row>
    <row r="37">
      <c r="A37" s="4">
        <v>36.0</v>
      </c>
      <c r="B37" s="5" t="s">
        <v>74</v>
      </c>
      <c r="C37">
        <v>149.0</v>
      </c>
      <c r="D37" s="6" t="s">
        <v>4</v>
      </c>
      <c r="E37" s="11" t="s">
        <v>75</v>
      </c>
      <c r="F37" s="8" t="str">
        <f>VLOOKUP(E37,'Synths Used'!A:B,2, FALSE)</f>
        <v>Synthmaster</v>
      </c>
      <c r="G37" s="9"/>
      <c r="H37" s="9"/>
      <c r="I37" s="9"/>
    </row>
    <row r="38">
      <c r="A38" s="4">
        <v>37.0</v>
      </c>
      <c r="B38" s="5" t="s">
        <v>76</v>
      </c>
      <c r="C38">
        <v>142.0</v>
      </c>
      <c r="D38" s="6" t="s">
        <v>4</v>
      </c>
      <c r="E38" s="7" t="s">
        <v>77</v>
      </c>
      <c r="F38" s="8" t="str">
        <f>VLOOKUP(E38,'Synths Used'!A:B,2, FALSE)</f>
        <v>Tyrell N6</v>
      </c>
      <c r="G38" s="9"/>
      <c r="H38" s="9"/>
      <c r="I38" s="9"/>
    </row>
    <row r="39">
      <c r="A39" s="4">
        <v>38.0</v>
      </c>
      <c r="B39" s="5" t="s">
        <v>78</v>
      </c>
      <c r="C39">
        <v>142.0</v>
      </c>
      <c r="D39" s="6" t="s">
        <v>4</v>
      </c>
      <c r="E39" s="7" t="s">
        <v>79</v>
      </c>
      <c r="F39" s="8" t="str">
        <f>VLOOKUP(E39,'Synths Used'!A:B,2, FALSE)</f>
        <v>TAL-U-No-LX</v>
      </c>
      <c r="G39" s="9"/>
      <c r="H39" s="9"/>
      <c r="I39" s="9"/>
    </row>
    <row r="40">
      <c r="A40" s="4">
        <v>39.0</v>
      </c>
      <c r="B40" s="5" t="s">
        <v>80</v>
      </c>
      <c r="C40">
        <v>141.0</v>
      </c>
      <c r="D40" s="6" t="s">
        <v>4</v>
      </c>
      <c r="E40" s="7" t="s">
        <v>81</v>
      </c>
      <c r="F40" s="8" t="str">
        <f>VLOOKUP(E40,'Synths Used'!A:B,2, FALSE)</f>
        <v>Mux</v>
      </c>
      <c r="G40" s="9"/>
      <c r="H40" s="9"/>
      <c r="I40" s="9"/>
    </row>
    <row r="41">
      <c r="A41" s="4">
        <v>40.0</v>
      </c>
      <c r="B41" s="5" t="s">
        <v>82</v>
      </c>
      <c r="C41">
        <v>140.0</v>
      </c>
      <c r="D41" s="6" t="s">
        <v>4</v>
      </c>
      <c r="E41" s="7" t="s">
        <v>83</v>
      </c>
      <c r="F41" s="8" t="str">
        <f>VLOOKUP(E41,'Synths Used'!A:B,2, FALSE)</f>
        <v>ElectraX</v>
      </c>
      <c r="G41" s="9"/>
      <c r="H41" s="9"/>
      <c r="I41" s="9"/>
    </row>
    <row r="42">
      <c r="A42" s="4">
        <v>41.0</v>
      </c>
      <c r="B42" s="5" t="s">
        <v>84</v>
      </c>
      <c r="C42">
        <v>137.0</v>
      </c>
      <c r="D42" s="6" t="s">
        <v>4</v>
      </c>
      <c r="E42" s="7" t="s">
        <v>85</v>
      </c>
      <c r="F42" s="8" t="str">
        <f>VLOOKUP(E42,'Synths Used'!A:B,2, FALSE)</f>
        <v>Modular</v>
      </c>
      <c r="G42" s="9"/>
      <c r="H42" s="9"/>
      <c r="I42" s="9"/>
    </row>
    <row r="43">
      <c r="A43" s="4">
        <v>42.0</v>
      </c>
      <c r="B43" s="5" t="s">
        <v>86</v>
      </c>
      <c r="C43">
        <v>136.0</v>
      </c>
      <c r="D43" s="6" t="s">
        <v>4</v>
      </c>
      <c r="E43" s="7" t="s">
        <v>87</v>
      </c>
      <c r="F43" s="8" t="str">
        <f>VLOOKUP(E43,'Synths Used'!A:B,2, FALSE)</f>
        <v>Kontour</v>
      </c>
      <c r="G43" s="9"/>
      <c r="H43" s="9"/>
      <c r="I43" s="9"/>
    </row>
    <row r="44">
      <c r="A44" s="4">
        <v>43.0</v>
      </c>
      <c r="B44" s="5" t="s">
        <v>88</v>
      </c>
      <c r="C44">
        <v>133.0</v>
      </c>
      <c r="D44" s="6" t="s">
        <v>4</v>
      </c>
      <c r="E44" s="7" t="s">
        <v>89</v>
      </c>
      <c r="F44" s="8" t="str">
        <f>VLOOKUP(E44,'Synths Used'!A:B,2, FALSE)</f>
        <v>Bazille</v>
      </c>
      <c r="G44" s="9"/>
      <c r="H44" s="9"/>
      <c r="I44" s="9"/>
    </row>
    <row r="45">
      <c r="A45" s="4">
        <v>44.0</v>
      </c>
      <c r="B45" s="5" t="s">
        <v>90</v>
      </c>
      <c r="C45">
        <v>133.0</v>
      </c>
      <c r="D45" s="6" t="s">
        <v>4</v>
      </c>
      <c r="E45" s="7" t="s">
        <v>91</v>
      </c>
      <c r="F45" s="8" t="str">
        <f>VLOOKUP(E45,'Synths Used'!A:B,2, FALSE)</f>
        <v>Synth1</v>
      </c>
      <c r="G45" s="9"/>
      <c r="H45" s="9"/>
      <c r="I45" s="9"/>
    </row>
    <row r="46">
      <c r="A46" s="4">
        <v>45.0</v>
      </c>
      <c r="B46" s="5" t="s">
        <v>92</v>
      </c>
      <c r="C46">
        <v>132.0</v>
      </c>
      <c r="D46" s="6" t="s">
        <v>4</v>
      </c>
      <c r="E46" s="7" t="s">
        <v>93</v>
      </c>
      <c r="F46" s="8" t="str">
        <f>VLOOKUP(E46,'Synths Used'!A:B,2, FALSE)</f>
        <v>Thor</v>
      </c>
      <c r="G46" s="9"/>
      <c r="H46" s="9"/>
      <c r="I46" s="9"/>
    </row>
    <row r="47">
      <c r="A47" s="4">
        <v>46.0</v>
      </c>
      <c r="B47" s="5" t="s">
        <v>94</v>
      </c>
      <c r="C47">
        <v>128.0</v>
      </c>
      <c r="D47" s="6" t="s">
        <v>4</v>
      </c>
      <c r="E47" s="7" t="s">
        <v>95</v>
      </c>
      <c r="F47" s="8" t="str">
        <f>VLOOKUP(E47,'Synths Used'!A:B,2, FALSE)</f>
        <v>Sunvox</v>
      </c>
      <c r="G47" s="9"/>
      <c r="H47" s="9"/>
      <c r="I47" s="9"/>
    </row>
    <row r="48">
      <c r="A48" s="4">
        <v>47.0</v>
      </c>
      <c r="B48" s="5" t="s">
        <v>96</v>
      </c>
      <c r="C48">
        <v>125.0</v>
      </c>
      <c r="D48" s="6" t="s">
        <v>4</v>
      </c>
      <c r="E48" s="7" t="s">
        <v>97</v>
      </c>
      <c r="F48" s="10" t="str">
        <f>VLOOKUP(E48,'Synths Used'!A:B,2, FALSE)</f>
        <v>Analog Four MkII</v>
      </c>
      <c r="G48" s="9"/>
      <c r="H48" s="9"/>
      <c r="I48" s="9"/>
    </row>
    <row r="49">
      <c r="E49" s="12" t="s">
        <v>35</v>
      </c>
      <c r="F49" s="12" t="s">
        <v>98</v>
      </c>
    </row>
  </sheetData>
  <autoFilter ref="$A$1:$E$48">
    <sortState ref="A1:E48">
      <sortCondition descending="1" ref="C1:C48"/>
    </sortState>
  </autoFilter>
  <mergeCells count="2">
    <mergeCell ref="C1:D1"/>
    <mergeCell ref="F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48" width="3.75"/>
    <col customWidth="1" min="49" max="49" width="4.5"/>
    <col customWidth="1" min="50" max="50" width="5.0"/>
  </cols>
  <sheetData>
    <row r="1">
      <c r="A1" s="13" t="s">
        <v>99</v>
      </c>
      <c r="B1" s="13" t="s">
        <v>40</v>
      </c>
      <c r="C1" s="13" t="s">
        <v>92</v>
      </c>
      <c r="D1" s="13" t="s">
        <v>56</v>
      </c>
      <c r="E1" s="14" t="s">
        <v>86</v>
      </c>
      <c r="F1" s="13" t="s">
        <v>48</v>
      </c>
      <c r="G1" s="13" t="s">
        <v>44</v>
      </c>
      <c r="H1" s="13" t="s">
        <v>84</v>
      </c>
      <c r="I1" s="13" t="s">
        <v>38</v>
      </c>
      <c r="J1" s="13" t="s">
        <v>8</v>
      </c>
      <c r="K1" s="13" t="s">
        <v>94</v>
      </c>
      <c r="L1" s="13" t="s">
        <v>76</v>
      </c>
      <c r="M1" s="13" t="s">
        <v>70</v>
      </c>
      <c r="N1" s="13" t="s">
        <v>60</v>
      </c>
      <c r="O1" s="13" t="s">
        <v>24</v>
      </c>
      <c r="P1" s="13" t="s">
        <v>68</v>
      </c>
      <c r="Q1" s="13" t="s">
        <v>74</v>
      </c>
      <c r="R1" s="13" t="s">
        <v>18</v>
      </c>
      <c r="S1" s="13" t="s">
        <v>22</v>
      </c>
      <c r="T1" s="13" t="s">
        <v>54</v>
      </c>
      <c r="U1" s="13" t="s">
        <v>16</v>
      </c>
      <c r="V1" s="13" t="s">
        <v>28</v>
      </c>
      <c r="W1" s="13" t="s">
        <v>66</v>
      </c>
      <c r="X1" s="13" t="s">
        <v>96</v>
      </c>
      <c r="Y1" s="13" t="s">
        <v>62</v>
      </c>
      <c r="Z1" s="13" t="s">
        <v>82</v>
      </c>
      <c r="AA1" s="13" t="s">
        <v>64</v>
      </c>
      <c r="AB1" s="13" t="s">
        <v>10</v>
      </c>
      <c r="AC1" s="13" t="s">
        <v>88</v>
      </c>
      <c r="AD1" s="13" t="s">
        <v>6</v>
      </c>
      <c r="AE1" s="13" t="s">
        <v>58</v>
      </c>
      <c r="AF1" s="13" t="s">
        <v>32</v>
      </c>
      <c r="AG1" s="13" t="s">
        <v>46</v>
      </c>
      <c r="AH1" s="13" t="s">
        <v>14</v>
      </c>
      <c r="AI1" s="13" t="s">
        <v>90</v>
      </c>
      <c r="AJ1" s="13" t="s">
        <v>50</v>
      </c>
      <c r="AK1" s="13" t="s">
        <v>3</v>
      </c>
      <c r="AL1" s="13" t="s">
        <v>80</v>
      </c>
      <c r="AM1" s="13" t="s">
        <v>72</v>
      </c>
      <c r="AN1" s="13" t="s">
        <v>12</v>
      </c>
      <c r="AO1" s="13" t="s">
        <v>78</v>
      </c>
      <c r="AP1" s="13" t="s">
        <v>36</v>
      </c>
      <c r="AQ1" s="13" t="s">
        <v>26</v>
      </c>
      <c r="AR1" s="13" t="s">
        <v>20</v>
      </c>
      <c r="AS1" s="13" t="s">
        <v>34</v>
      </c>
      <c r="AT1" s="13" t="s">
        <v>52</v>
      </c>
      <c r="AU1" s="13" t="s">
        <v>30</v>
      </c>
      <c r="AV1" s="13" t="s">
        <v>42</v>
      </c>
      <c r="AW1" s="15" t="s">
        <v>100</v>
      </c>
      <c r="AX1" s="15"/>
    </row>
    <row r="2">
      <c r="A2" s="13" t="s">
        <v>101</v>
      </c>
      <c r="B2" s="16">
        <v>1.0</v>
      </c>
      <c r="C2" s="13">
        <v>3.0</v>
      </c>
      <c r="D2" s="13">
        <v>4.0</v>
      </c>
      <c r="E2" s="13">
        <v>5.0</v>
      </c>
      <c r="F2" s="13">
        <v>4.0</v>
      </c>
      <c r="G2" s="13">
        <v>4.0</v>
      </c>
      <c r="H2" s="13">
        <v>5.0</v>
      </c>
      <c r="I2" s="13">
        <v>4.0</v>
      </c>
      <c r="J2" s="13">
        <v>5.0</v>
      </c>
      <c r="K2" s="13">
        <v>4.0</v>
      </c>
      <c r="L2" s="13">
        <v>5.0</v>
      </c>
      <c r="M2" s="13">
        <v>5.0</v>
      </c>
      <c r="N2" s="13">
        <v>4.0</v>
      </c>
      <c r="O2" s="13">
        <v>5.0</v>
      </c>
      <c r="P2" s="13">
        <v>4.0</v>
      </c>
      <c r="Q2" s="13">
        <v>4.0</v>
      </c>
      <c r="R2" s="13">
        <v>5.0</v>
      </c>
      <c r="S2" s="13">
        <v>5.0</v>
      </c>
      <c r="T2" s="13">
        <v>5.0</v>
      </c>
      <c r="U2" s="13">
        <v>5.0</v>
      </c>
      <c r="V2" s="13">
        <v>4.0</v>
      </c>
      <c r="W2" s="13">
        <v>5.0</v>
      </c>
      <c r="X2" s="13">
        <v>4.0</v>
      </c>
      <c r="Y2" s="13">
        <v>5.0</v>
      </c>
      <c r="Z2" s="13">
        <v>4.0</v>
      </c>
      <c r="AA2" s="13">
        <v>4.0</v>
      </c>
      <c r="AB2" s="13">
        <v>5.0</v>
      </c>
      <c r="AC2" s="13">
        <v>4.0</v>
      </c>
      <c r="AD2" s="13">
        <v>4.0</v>
      </c>
      <c r="AE2" s="13">
        <v>4.0</v>
      </c>
      <c r="AF2" s="13">
        <v>5.0</v>
      </c>
      <c r="AG2" s="13">
        <v>4.0</v>
      </c>
      <c r="AH2" s="13">
        <v>5.0</v>
      </c>
      <c r="AI2" s="13">
        <v>4.0</v>
      </c>
      <c r="AJ2" s="13">
        <v>5.0</v>
      </c>
      <c r="AK2" s="13">
        <v>5.0</v>
      </c>
      <c r="AL2" s="13">
        <v>4.0</v>
      </c>
      <c r="AM2" s="13">
        <v>4.0</v>
      </c>
      <c r="AN2" s="13">
        <v>5.0</v>
      </c>
      <c r="AO2" s="13">
        <v>4.0</v>
      </c>
      <c r="AP2" s="13">
        <v>5.0</v>
      </c>
      <c r="AQ2" s="13">
        <v>5.0</v>
      </c>
      <c r="AR2" s="13">
        <v>5.0</v>
      </c>
      <c r="AS2" s="13">
        <v>5.0</v>
      </c>
      <c r="AT2" s="13">
        <v>4.0</v>
      </c>
      <c r="AU2" s="13">
        <v>5.0</v>
      </c>
      <c r="AV2" s="13">
        <v>5.0</v>
      </c>
      <c r="AW2" s="15">
        <f t="shared" ref="AW2:AW50" si="1">SUM(B2:AV2)</f>
        <v>208</v>
      </c>
      <c r="AX2" s="17">
        <f t="shared" ref="AX2:AX50" si="2">(AW2-$C$60)/$C$60</f>
        <v>0.3054950685</v>
      </c>
    </row>
    <row r="3">
      <c r="A3" s="13" t="s">
        <v>93</v>
      </c>
      <c r="B3" s="13">
        <v>3.0</v>
      </c>
      <c r="C3" s="16">
        <v>1.0</v>
      </c>
      <c r="D3" s="13">
        <v>3.0</v>
      </c>
      <c r="E3" s="13">
        <v>4.0</v>
      </c>
      <c r="F3" s="13">
        <v>3.0</v>
      </c>
      <c r="G3" s="13">
        <v>4.0</v>
      </c>
      <c r="H3" s="13">
        <v>2.0</v>
      </c>
      <c r="I3" s="13">
        <v>4.0</v>
      </c>
      <c r="J3" s="13">
        <v>5.0</v>
      </c>
      <c r="K3" s="13">
        <v>5.0</v>
      </c>
      <c r="L3" s="13">
        <v>4.0</v>
      </c>
      <c r="M3" s="13">
        <v>4.0</v>
      </c>
      <c r="N3" s="13">
        <v>4.0</v>
      </c>
      <c r="O3" s="13">
        <v>2.0</v>
      </c>
      <c r="P3" s="13">
        <v>1.0</v>
      </c>
      <c r="Q3" s="13">
        <v>2.0</v>
      </c>
      <c r="R3" s="13">
        <v>5.0</v>
      </c>
      <c r="S3" s="13">
        <v>4.0</v>
      </c>
      <c r="T3" s="13">
        <v>4.0</v>
      </c>
      <c r="U3" s="13">
        <v>5.0</v>
      </c>
      <c r="V3" s="13">
        <v>3.0</v>
      </c>
      <c r="W3" s="13">
        <v>4.0</v>
      </c>
      <c r="X3" s="13">
        <v>3.0</v>
      </c>
      <c r="Y3" s="13">
        <v>3.0</v>
      </c>
      <c r="Z3" s="13">
        <v>2.0</v>
      </c>
      <c r="AA3" s="13">
        <v>1.0</v>
      </c>
      <c r="AB3" s="13">
        <v>5.0</v>
      </c>
      <c r="AC3" s="13">
        <v>2.0</v>
      </c>
      <c r="AD3" s="13">
        <v>5.0</v>
      </c>
      <c r="AE3" s="13">
        <v>5.0</v>
      </c>
      <c r="AF3" s="13">
        <v>5.0</v>
      </c>
      <c r="AG3" s="13">
        <v>3.0</v>
      </c>
      <c r="AH3" s="13">
        <v>4.0</v>
      </c>
      <c r="AI3" s="13">
        <v>3.0</v>
      </c>
      <c r="AJ3" s="13">
        <v>2.0</v>
      </c>
      <c r="AK3" s="13">
        <v>2.0</v>
      </c>
      <c r="AL3" s="13">
        <v>5.0</v>
      </c>
      <c r="AM3" s="13">
        <v>4.0</v>
      </c>
      <c r="AN3" s="13">
        <v>4.0</v>
      </c>
      <c r="AO3" s="13">
        <v>4.0</v>
      </c>
      <c r="AP3" s="13">
        <v>5.0</v>
      </c>
      <c r="AQ3" s="13">
        <v>4.0</v>
      </c>
      <c r="AR3" s="13">
        <v>5.0</v>
      </c>
      <c r="AS3" s="13">
        <v>5.0</v>
      </c>
      <c r="AT3" s="13">
        <v>3.0</v>
      </c>
      <c r="AU3" s="13">
        <v>5.0</v>
      </c>
      <c r="AV3" s="13">
        <v>2.0</v>
      </c>
      <c r="AW3" s="15">
        <f t="shared" si="1"/>
        <v>167</v>
      </c>
      <c r="AX3" s="17">
        <f t="shared" si="2"/>
        <v>0.04816190598</v>
      </c>
    </row>
    <row r="4">
      <c r="A4" s="13" t="s">
        <v>57</v>
      </c>
      <c r="B4" s="13">
        <v>3.0</v>
      </c>
      <c r="C4" s="13">
        <v>3.0</v>
      </c>
      <c r="D4" s="16">
        <v>1.0</v>
      </c>
      <c r="E4" s="13">
        <v>4.0</v>
      </c>
      <c r="F4" s="13">
        <v>3.0</v>
      </c>
      <c r="G4" s="13">
        <v>3.0</v>
      </c>
      <c r="H4" s="13">
        <v>3.0</v>
      </c>
      <c r="I4" s="13">
        <v>3.0</v>
      </c>
      <c r="J4" s="13">
        <v>4.0</v>
      </c>
      <c r="K4" s="13">
        <v>3.0</v>
      </c>
      <c r="L4" s="13">
        <v>3.0</v>
      </c>
      <c r="M4" s="13">
        <v>3.0</v>
      </c>
      <c r="N4" s="13">
        <v>3.0</v>
      </c>
      <c r="O4" s="13">
        <v>3.0</v>
      </c>
      <c r="P4" s="13">
        <v>3.0</v>
      </c>
      <c r="Q4" s="13">
        <v>3.0</v>
      </c>
      <c r="R4" s="13">
        <v>3.0</v>
      </c>
      <c r="S4" s="13">
        <v>4.0</v>
      </c>
      <c r="T4" s="13">
        <v>3.0</v>
      </c>
      <c r="U4" s="13">
        <v>4.0</v>
      </c>
      <c r="V4" s="13">
        <v>3.0</v>
      </c>
      <c r="W4" s="13">
        <v>3.0</v>
      </c>
      <c r="X4" s="13">
        <v>3.0</v>
      </c>
      <c r="Y4" s="13">
        <v>3.0</v>
      </c>
      <c r="Z4" s="13">
        <v>3.0</v>
      </c>
      <c r="AA4" s="13">
        <v>3.0</v>
      </c>
      <c r="AB4" s="13">
        <v>4.0</v>
      </c>
      <c r="AC4" s="13">
        <v>3.0</v>
      </c>
      <c r="AD4" s="13">
        <v>3.0</v>
      </c>
      <c r="AE4" s="13">
        <v>3.0</v>
      </c>
      <c r="AF4" s="13">
        <v>4.0</v>
      </c>
      <c r="AG4" s="13">
        <v>3.0</v>
      </c>
      <c r="AH4" s="13">
        <v>4.0</v>
      </c>
      <c r="AI4" s="13">
        <v>3.0</v>
      </c>
      <c r="AJ4" s="13">
        <v>3.0</v>
      </c>
      <c r="AK4" s="13">
        <v>4.0</v>
      </c>
      <c r="AL4" s="13">
        <v>3.0</v>
      </c>
      <c r="AM4" s="13">
        <v>3.0</v>
      </c>
      <c r="AN4" s="13">
        <v>5.0</v>
      </c>
      <c r="AO4" s="13">
        <v>4.0</v>
      </c>
      <c r="AP4" s="13">
        <v>3.0</v>
      </c>
      <c r="AQ4" s="13">
        <v>3.0</v>
      </c>
      <c r="AR4" s="13">
        <v>5.0</v>
      </c>
      <c r="AS4" s="13">
        <v>3.0</v>
      </c>
      <c r="AT4" s="13">
        <v>3.0</v>
      </c>
      <c r="AU4" s="13">
        <v>4.0</v>
      </c>
      <c r="AV4" s="13">
        <v>3.0</v>
      </c>
      <c r="AW4" s="15">
        <f t="shared" si="1"/>
        <v>153</v>
      </c>
      <c r="AX4" s="17">
        <f t="shared" si="2"/>
        <v>-0.0397079544</v>
      </c>
    </row>
    <row r="5">
      <c r="A5" s="13" t="s">
        <v>49</v>
      </c>
      <c r="B5" s="13">
        <v>3.0</v>
      </c>
      <c r="C5" s="13">
        <v>3.0</v>
      </c>
      <c r="D5" s="13">
        <v>3.0</v>
      </c>
      <c r="E5" s="13">
        <v>3.0</v>
      </c>
      <c r="F5" s="16">
        <v>1.0</v>
      </c>
      <c r="G5" s="13">
        <v>4.0</v>
      </c>
      <c r="H5" s="13">
        <v>3.0</v>
      </c>
      <c r="I5" s="13">
        <v>4.0</v>
      </c>
      <c r="J5" s="13">
        <v>3.0</v>
      </c>
      <c r="K5" s="13">
        <v>3.0</v>
      </c>
      <c r="L5" s="13">
        <v>3.0</v>
      </c>
      <c r="M5" s="13">
        <v>4.0</v>
      </c>
      <c r="N5" s="13">
        <v>4.0</v>
      </c>
      <c r="O5" s="13">
        <v>4.0</v>
      </c>
      <c r="P5" s="13">
        <v>5.0</v>
      </c>
      <c r="Q5" s="13">
        <v>4.0</v>
      </c>
      <c r="R5" s="13">
        <v>4.0</v>
      </c>
      <c r="S5" s="13">
        <v>4.0</v>
      </c>
      <c r="T5" s="13">
        <v>3.0</v>
      </c>
      <c r="U5" s="13">
        <v>3.0</v>
      </c>
      <c r="V5" s="13">
        <v>4.0</v>
      </c>
      <c r="W5" s="13">
        <v>4.0</v>
      </c>
      <c r="X5" s="13">
        <v>3.0</v>
      </c>
      <c r="Y5" s="13">
        <v>3.0</v>
      </c>
      <c r="Z5" s="13">
        <v>4.0</v>
      </c>
      <c r="AA5" s="13">
        <v>3.0</v>
      </c>
      <c r="AB5" s="13">
        <v>4.0</v>
      </c>
      <c r="AC5" s="13">
        <v>4.0</v>
      </c>
      <c r="AD5" s="13">
        <v>5.0</v>
      </c>
      <c r="AE5" s="13">
        <v>4.0</v>
      </c>
      <c r="AF5" s="13">
        <v>4.0</v>
      </c>
      <c r="AG5" s="13">
        <v>3.0</v>
      </c>
      <c r="AH5" s="13">
        <v>4.0</v>
      </c>
      <c r="AI5" s="13">
        <v>3.0</v>
      </c>
      <c r="AJ5" s="13">
        <v>4.0</v>
      </c>
      <c r="AK5" s="13">
        <v>5.0</v>
      </c>
      <c r="AL5" s="13">
        <v>2.0</v>
      </c>
      <c r="AM5" s="13">
        <v>3.0</v>
      </c>
      <c r="AN5" s="13">
        <v>4.0</v>
      </c>
      <c r="AO5" s="13">
        <v>3.0</v>
      </c>
      <c r="AP5" s="13">
        <v>4.0</v>
      </c>
      <c r="AQ5" s="13">
        <v>3.0</v>
      </c>
      <c r="AR5" s="13">
        <v>4.0</v>
      </c>
      <c r="AS5" s="13">
        <v>3.0</v>
      </c>
      <c r="AT5" s="13">
        <v>4.0</v>
      </c>
      <c r="AU5" s="13">
        <v>3.0</v>
      </c>
      <c r="AV5" s="13">
        <v>4.0</v>
      </c>
      <c r="AW5" s="15">
        <f t="shared" si="1"/>
        <v>166</v>
      </c>
      <c r="AX5" s="17">
        <f t="shared" si="2"/>
        <v>0.04188548738</v>
      </c>
    </row>
    <row r="6">
      <c r="A6" s="13" t="s">
        <v>85</v>
      </c>
      <c r="B6" s="13">
        <v>2.0</v>
      </c>
      <c r="C6" s="13">
        <v>3.0</v>
      </c>
      <c r="D6" s="13">
        <v>3.0</v>
      </c>
      <c r="E6" s="13">
        <v>2.0</v>
      </c>
      <c r="F6" s="13">
        <v>3.0</v>
      </c>
      <c r="G6" s="13">
        <v>2.0</v>
      </c>
      <c r="H6" s="16">
        <v>1.0</v>
      </c>
      <c r="I6" s="13">
        <v>3.0</v>
      </c>
      <c r="J6" s="13">
        <v>4.0</v>
      </c>
      <c r="K6" s="13">
        <v>1.0</v>
      </c>
      <c r="L6" s="13">
        <v>2.0</v>
      </c>
      <c r="M6" s="13">
        <v>1.0</v>
      </c>
      <c r="N6" s="13">
        <v>2.0</v>
      </c>
      <c r="O6" s="13">
        <v>4.0</v>
      </c>
      <c r="P6" s="13">
        <v>1.0</v>
      </c>
      <c r="Q6" s="13">
        <v>1.0</v>
      </c>
      <c r="R6" s="13">
        <v>3.0</v>
      </c>
      <c r="S6" s="13">
        <v>1.0</v>
      </c>
      <c r="T6" s="13">
        <v>1.0</v>
      </c>
      <c r="U6" s="13">
        <v>3.0</v>
      </c>
      <c r="V6" s="13">
        <v>5.0</v>
      </c>
      <c r="W6" s="13">
        <v>3.0</v>
      </c>
      <c r="X6" s="13">
        <v>3.0</v>
      </c>
      <c r="Y6" s="13">
        <v>5.0</v>
      </c>
      <c r="Z6" s="13">
        <v>5.0</v>
      </c>
      <c r="AA6" s="13">
        <v>1.0</v>
      </c>
      <c r="AB6" s="13">
        <v>4.0</v>
      </c>
      <c r="AC6" s="13">
        <v>1.0</v>
      </c>
      <c r="AD6" s="13">
        <v>5.0</v>
      </c>
      <c r="AE6" s="13">
        <v>2.0</v>
      </c>
      <c r="AF6" s="13">
        <v>3.0</v>
      </c>
      <c r="AG6" s="13">
        <v>2.0</v>
      </c>
      <c r="AH6" s="13">
        <v>5.0</v>
      </c>
      <c r="AI6" s="13">
        <v>1.0</v>
      </c>
      <c r="AJ6" s="13">
        <v>1.0</v>
      </c>
      <c r="AK6" s="13">
        <v>5.0</v>
      </c>
      <c r="AL6" s="13">
        <v>1.0</v>
      </c>
      <c r="AM6" s="13">
        <v>2.0</v>
      </c>
      <c r="AN6" s="13">
        <v>4.0</v>
      </c>
      <c r="AO6" s="13">
        <v>3.0</v>
      </c>
      <c r="AP6" s="13">
        <v>2.0</v>
      </c>
      <c r="AQ6" s="13">
        <v>5.0</v>
      </c>
      <c r="AR6" s="13">
        <v>3.0</v>
      </c>
      <c r="AS6" s="13">
        <v>2.0</v>
      </c>
      <c r="AT6" s="13">
        <v>4.0</v>
      </c>
      <c r="AU6" s="13">
        <v>4.0</v>
      </c>
      <c r="AV6" s="13">
        <v>3.0</v>
      </c>
      <c r="AW6" s="15">
        <f t="shared" si="1"/>
        <v>127</v>
      </c>
      <c r="AX6" s="17">
        <f t="shared" si="2"/>
        <v>-0.202894838</v>
      </c>
    </row>
    <row r="7">
      <c r="A7" s="13" t="s">
        <v>39</v>
      </c>
      <c r="B7" s="13">
        <v>3.0</v>
      </c>
      <c r="C7" s="13">
        <v>3.0</v>
      </c>
      <c r="D7" s="13">
        <v>3.0</v>
      </c>
      <c r="E7" s="13">
        <v>3.0</v>
      </c>
      <c r="F7" s="13">
        <v>3.0</v>
      </c>
      <c r="G7" s="13">
        <v>3.0</v>
      </c>
      <c r="H7" s="13">
        <v>3.0</v>
      </c>
      <c r="I7" s="16">
        <v>1.0</v>
      </c>
      <c r="J7" s="13">
        <v>4.0</v>
      </c>
      <c r="K7" s="13">
        <v>3.0</v>
      </c>
      <c r="L7" s="13">
        <v>3.0</v>
      </c>
      <c r="M7" s="13">
        <v>3.0</v>
      </c>
      <c r="N7" s="13">
        <v>3.0</v>
      </c>
      <c r="O7" s="13">
        <v>4.0</v>
      </c>
      <c r="P7" s="13">
        <v>3.0</v>
      </c>
      <c r="Q7" s="13">
        <v>3.0</v>
      </c>
      <c r="R7" s="13">
        <v>3.0</v>
      </c>
      <c r="S7" s="13">
        <v>3.0</v>
      </c>
      <c r="T7" s="13">
        <v>3.0</v>
      </c>
      <c r="U7" s="13">
        <v>4.0</v>
      </c>
      <c r="V7" s="13">
        <v>3.0</v>
      </c>
      <c r="W7" s="13">
        <v>3.0</v>
      </c>
      <c r="X7" s="13">
        <v>3.0</v>
      </c>
      <c r="Y7" s="13">
        <v>3.0</v>
      </c>
      <c r="Z7" s="13">
        <v>3.0</v>
      </c>
      <c r="AA7" s="13">
        <v>3.0</v>
      </c>
      <c r="AB7" s="13">
        <v>4.0</v>
      </c>
      <c r="AC7" s="13">
        <v>3.0</v>
      </c>
      <c r="AD7" s="13">
        <v>4.0</v>
      </c>
      <c r="AE7" s="13">
        <v>3.0</v>
      </c>
      <c r="AF7" s="13">
        <v>3.0</v>
      </c>
      <c r="AG7" s="13">
        <v>3.0</v>
      </c>
      <c r="AH7" s="13">
        <v>3.0</v>
      </c>
      <c r="AI7" s="13">
        <v>3.0</v>
      </c>
      <c r="AJ7" s="13">
        <v>3.0</v>
      </c>
      <c r="AK7" s="13">
        <v>5.0</v>
      </c>
      <c r="AL7" s="13">
        <v>3.0</v>
      </c>
      <c r="AM7" s="13">
        <v>3.0</v>
      </c>
      <c r="AN7" s="13">
        <v>3.0</v>
      </c>
      <c r="AO7" s="13">
        <v>3.0</v>
      </c>
      <c r="AP7" s="13">
        <v>3.0</v>
      </c>
      <c r="AQ7" s="13">
        <v>3.0</v>
      </c>
      <c r="AR7" s="13">
        <v>3.0</v>
      </c>
      <c r="AS7" s="13">
        <v>3.0</v>
      </c>
      <c r="AT7" s="13">
        <v>4.0</v>
      </c>
      <c r="AU7" s="13">
        <v>3.0</v>
      </c>
      <c r="AV7" s="13">
        <v>4.0</v>
      </c>
      <c r="AW7" s="15">
        <f t="shared" si="1"/>
        <v>148</v>
      </c>
      <c r="AX7" s="17">
        <f t="shared" si="2"/>
        <v>-0.07109004739</v>
      </c>
    </row>
    <row r="8">
      <c r="A8" s="13" t="s">
        <v>9</v>
      </c>
      <c r="B8" s="13">
        <v>2.0</v>
      </c>
      <c r="C8" s="13">
        <v>1.0</v>
      </c>
      <c r="D8" s="13">
        <v>2.0</v>
      </c>
      <c r="E8" s="13">
        <v>1.0</v>
      </c>
      <c r="F8" s="13">
        <v>2.0</v>
      </c>
      <c r="G8" s="13">
        <v>1.0</v>
      </c>
      <c r="H8" s="13">
        <v>1.0</v>
      </c>
      <c r="I8" s="13">
        <v>2.0</v>
      </c>
      <c r="J8" s="16">
        <v>1.0</v>
      </c>
      <c r="K8" s="13">
        <v>1.0</v>
      </c>
      <c r="L8" s="13">
        <v>2.0</v>
      </c>
      <c r="M8" s="13">
        <v>2.0</v>
      </c>
      <c r="N8" s="13">
        <v>2.0</v>
      </c>
      <c r="O8" s="13">
        <v>3.0</v>
      </c>
      <c r="P8" s="13">
        <v>1.0</v>
      </c>
      <c r="Q8" s="13">
        <v>1.0</v>
      </c>
      <c r="R8" s="13">
        <v>2.0</v>
      </c>
      <c r="S8" s="13">
        <v>2.0</v>
      </c>
      <c r="T8" s="13">
        <v>2.0</v>
      </c>
      <c r="U8" s="13">
        <v>3.0</v>
      </c>
      <c r="V8" s="13">
        <v>2.0</v>
      </c>
      <c r="W8" s="13">
        <v>1.0</v>
      </c>
      <c r="X8" s="13">
        <v>1.0</v>
      </c>
      <c r="Y8" s="13">
        <v>1.0</v>
      </c>
      <c r="Z8" s="13">
        <v>1.0</v>
      </c>
      <c r="AA8" s="13">
        <v>1.0</v>
      </c>
      <c r="AB8" s="13">
        <v>3.0</v>
      </c>
      <c r="AC8" s="13">
        <v>1.0</v>
      </c>
      <c r="AD8" s="13">
        <v>3.0</v>
      </c>
      <c r="AE8" s="13">
        <v>2.0</v>
      </c>
      <c r="AF8" s="13">
        <v>3.0</v>
      </c>
      <c r="AG8" s="13">
        <v>2.0</v>
      </c>
      <c r="AH8" s="13">
        <v>3.0</v>
      </c>
      <c r="AI8" s="13">
        <v>1.0</v>
      </c>
      <c r="AJ8" s="13">
        <v>2.0</v>
      </c>
      <c r="AK8" s="13">
        <v>5.0</v>
      </c>
      <c r="AL8" s="13">
        <v>2.0</v>
      </c>
      <c r="AM8" s="13">
        <v>1.0</v>
      </c>
      <c r="AN8" s="13">
        <v>4.0</v>
      </c>
      <c r="AO8" s="13">
        <v>1.0</v>
      </c>
      <c r="AP8" s="13">
        <v>1.0</v>
      </c>
      <c r="AQ8" s="13">
        <v>3.0</v>
      </c>
      <c r="AR8" s="13">
        <v>2.0</v>
      </c>
      <c r="AS8" s="13">
        <v>2.0</v>
      </c>
      <c r="AT8" s="13">
        <v>2.0</v>
      </c>
      <c r="AU8" s="13">
        <v>3.0</v>
      </c>
      <c r="AV8" s="13">
        <v>3.0</v>
      </c>
      <c r="AW8" s="15">
        <f t="shared" si="1"/>
        <v>90</v>
      </c>
      <c r="AX8" s="17">
        <f t="shared" si="2"/>
        <v>-0.4351223261</v>
      </c>
    </row>
    <row r="9">
      <c r="A9" s="13" t="s">
        <v>95</v>
      </c>
      <c r="B9" s="13">
        <v>4.0</v>
      </c>
      <c r="C9" s="13">
        <v>3.0</v>
      </c>
      <c r="D9" s="13">
        <v>4.0</v>
      </c>
      <c r="E9" s="13">
        <v>3.0</v>
      </c>
      <c r="F9" s="13">
        <v>5.0</v>
      </c>
      <c r="G9" s="13">
        <v>5.0</v>
      </c>
      <c r="H9" s="13">
        <v>3.0</v>
      </c>
      <c r="I9" s="13">
        <v>4.0</v>
      </c>
      <c r="J9" s="13">
        <v>5.0</v>
      </c>
      <c r="K9" s="16">
        <v>1.0</v>
      </c>
      <c r="L9" s="13">
        <v>5.0</v>
      </c>
      <c r="M9" s="13">
        <v>4.0</v>
      </c>
      <c r="N9" s="13">
        <v>3.0</v>
      </c>
      <c r="O9" s="13">
        <v>4.0</v>
      </c>
      <c r="P9" s="13">
        <v>4.0</v>
      </c>
      <c r="Q9" s="13">
        <v>4.0</v>
      </c>
      <c r="R9" s="13">
        <v>5.0</v>
      </c>
      <c r="S9" s="13">
        <v>5.0</v>
      </c>
      <c r="T9" s="13">
        <v>4.0</v>
      </c>
      <c r="U9" s="13">
        <v>5.0</v>
      </c>
      <c r="V9" s="13">
        <v>3.0</v>
      </c>
      <c r="W9" s="13">
        <v>3.0</v>
      </c>
      <c r="X9" s="13">
        <v>4.0</v>
      </c>
      <c r="Y9" s="13">
        <v>3.0</v>
      </c>
      <c r="Z9" s="13">
        <v>4.0</v>
      </c>
      <c r="AA9" s="13">
        <v>3.0</v>
      </c>
      <c r="AB9" s="13">
        <v>4.0</v>
      </c>
      <c r="AC9" s="13">
        <v>3.0</v>
      </c>
      <c r="AD9" s="13">
        <v>5.0</v>
      </c>
      <c r="AE9" s="13">
        <v>4.0</v>
      </c>
      <c r="AF9" s="13">
        <v>5.0</v>
      </c>
      <c r="AG9" s="13">
        <v>4.0</v>
      </c>
      <c r="AH9" s="13">
        <v>4.0</v>
      </c>
      <c r="AI9" s="13">
        <v>3.0</v>
      </c>
      <c r="AJ9" s="13">
        <v>3.0</v>
      </c>
      <c r="AK9" s="13">
        <v>5.0</v>
      </c>
      <c r="AL9" s="13">
        <v>4.0</v>
      </c>
      <c r="AM9" s="13">
        <v>5.0</v>
      </c>
      <c r="AN9" s="13">
        <v>5.0</v>
      </c>
      <c r="AO9" s="13">
        <v>4.0</v>
      </c>
      <c r="AP9" s="13">
        <v>5.0</v>
      </c>
      <c r="AQ9" s="13">
        <v>5.0</v>
      </c>
      <c r="AR9" s="13">
        <v>4.0</v>
      </c>
      <c r="AS9" s="13">
        <v>5.0</v>
      </c>
      <c r="AT9" s="13">
        <v>4.0</v>
      </c>
      <c r="AU9" s="13">
        <v>3.0</v>
      </c>
      <c r="AV9" s="13">
        <v>4.0</v>
      </c>
      <c r="AW9" s="15">
        <f t="shared" si="1"/>
        <v>188</v>
      </c>
      <c r="AX9" s="17">
        <f t="shared" si="2"/>
        <v>0.1799666966</v>
      </c>
    </row>
    <row r="10">
      <c r="A10" s="13" t="s">
        <v>77</v>
      </c>
      <c r="B10" s="13">
        <v>4.0</v>
      </c>
      <c r="C10" s="13">
        <v>3.0</v>
      </c>
      <c r="D10" s="13">
        <v>2.0</v>
      </c>
      <c r="E10" s="13">
        <v>2.0</v>
      </c>
      <c r="F10" s="13">
        <v>4.0</v>
      </c>
      <c r="G10" s="13">
        <v>5.0</v>
      </c>
      <c r="H10" s="13">
        <v>3.0</v>
      </c>
      <c r="I10" s="13">
        <v>4.0</v>
      </c>
      <c r="J10" s="13">
        <v>5.0</v>
      </c>
      <c r="K10" s="13">
        <v>3.0</v>
      </c>
      <c r="L10" s="16">
        <v>1.0</v>
      </c>
      <c r="M10" s="13">
        <v>2.0</v>
      </c>
      <c r="N10" s="13">
        <v>3.0</v>
      </c>
      <c r="O10" s="13">
        <v>4.0</v>
      </c>
      <c r="P10" s="13">
        <v>3.0</v>
      </c>
      <c r="Q10" s="13">
        <v>3.0</v>
      </c>
      <c r="R10" s="13">
        <v>5.0</v>
      </c>
      <c r="S10" s="13">
        <v>5.0</v>
      </c>
      <c r="T10" s="13">
        <v>5.0</v>
      </c>
      <c r="U10" s="13">
        <v>4.0</v>
      </c>
      <c r="V10" s="13">
        <v>5.0</v>
      </c>
      <c r="W10" s="13">
        <v>3.0</v>
      </c>
      <c r="X10" s="13">
        <v>2.0</v>
      </c>
      <c r="Y10" s="13">
        <v>2.0</v>
      </c>
      <c r="Z10" s="13">
        <v>4.0</v>
      </c>
      <c r="AA10" s="13">
        <v>2.0</v>
      </c>
      <c r="AB10" s="13">
        <v>5.0</v>
      </c>
      <c r="AC10" s="13">
        <v>3.0</v>
      </c>
      <c r="AD10" s="13">
        <v>5.0</v>
      </c>
      <c r="AE10" s="13">
        <v>3.0</v>
      </c>
      <c r="AF10" s="13">
        <v>5.0</v>
      </c>
      <c r="AG10" s="13">
        <v>3.0</v>
      </c>
      <c r="AH10" s="13">
        <v>5.0</v>
      </c>
      <c r="AI10" s="13">
        <v>3.0</v>
      </c>
      <c r="AJ10" s="13">
        <v>3.0</v>
      </c>
      <c r="AK10" s="13">
        <v>5.0</v>
      </c>
      <c r="AL10" s="13">
        <v>3.0</v>
      </c>
      <c r="AM10" s="13">
        <v>4.0</v>
      </c>
      <c r="AN10" s="13">
        <v>4.0</v>
      </c>
      <c r="AO10" s="13">
        <v>2.0</v>
      </c>
      <c r="AP10" s="13">
        <v>4.0</v>
      </c>
      <c r="AQ10" s="13">
        <v>3.0</v>
      </c>
      <c r="AR10" s="13">
        <v>5.0</v>
      </c>
      <c r="AS10" s="13">
        <v>5.0</v>
      </c>
      <c r="AT10" s="13">
        <v>3.0</v>
      </c>
      <c r="AU10" s="13">
        <v>3.0</v>
      </c>
      <c r="AV10" s="13">
        <v>3.0</v>
      </c>
      <c r="AW10" s="15">
        <f t="shared" si="1"/>
        <v>167</v>
      </c>
      <c r="AX10" s="17">
        <f t="shared" si="2"/>
        <v>0.04816190598</v>
      </c>
    </row>
    <row r="11">
      <c r="A11" s="13" t="s">
        <v>71</v>
      </c>
      <c r="B11" s="13">
        <v>4.0</v>
      </c>
      <c r="C11" s="13">
        <v>3.0</v>
      </c>
      <c r="D11" s="13">
        <v>4.0</v>
      </c>
      <c r="E11" s="13">
        <v>3.0</v>
      </c>
      <c r="F11" s="13">
        <v>3.0</v>
      </c>
      <c r="G11" s="13">
        <v>3.0</v>
      </c>
      <c r="H11" s="13">
        <v>3.0</v>
      </c>
      <c r="I11" s="13">
        <v>4.0</v>
      </c>
      <c r="J11" s="13">
        <v>3.0</v>
      </c>
      <c r="K11" s="13">
        <v>3.0</v>
      </c>
      <c r="L11" s="13">
        <v>3.0</v>
      </c>
      <c r="M11" s="16">
        <v>1.0</v>
      </c>
      <c r="N11" s="13">
        <v>3.0</v>
      </c>
      <c r="O11" s="13">
        <v>4.0</v>
      </c>
      <c r="P11" s="13">
        <v>3.0</v>
      </c>
      <c r="Q11" s="13">
        <v>3.0</v>
      </c>
      <c r="R11" s="13">
        <v>4.0</v>
      </c>
      <c r="S11" s="13">
        <v>4.0</v>
      </c>
      <c r="T11" s="13">
        <v>4.0</v>
      </c>
      <c r="U11" s="13">
        <v>3.0</v>
      </c>
      <c r="V11" s="13">
        <v>3.0</v>
      </c>
      <c r="W11" s="13">
        <v>3.0</v>
      </c>
      <c r="X11" s="13">
        <v>3.0</v>
      </c>
      <c r="Y11" s="13">
        <v>3.0</v>
      </c>
      <c r="Z11" s="13">
        <v>3.0</v>
      </c>
      <c r="AA11" s="13">
        <v>3.0</v>
      </c>
      <c r="AB11" s="13">
        <v>3.0</v>
      </c>
      <c r="AC11" s="13">
        <v>3.0</v>
      </c>
      <c r="AD11" s="13">
        <v>4.0</v>
      </c>
      <c r="AE11" s="13">
        <v>3.0</v>
      </c>
      <c r="AF11" s="13">
        <v>4.0</v>
      </c>
      <c r="AG11" s="13">
        <v>3.0</v>
      </c>
      <c r="AH11" s="13">
        <v>5.0</v>
      </c>
      <c r="AI11" s="13">
        <v>3.0</v>
      </c>
      <c r="AJ11" s="13">
        <v>3.0</v>
      </c>
      <c r="AK11" s="13">
        <v>3.0</v>
      </c>
      <c r="AL11" s="13">
        <v>3.0</v>
      </c>
      <c r="AM11" s="13">
        <v>3.0</v>
      </c>
      <c r="AN11" s="13">
        <v>5.0</v>
      </c>
      <c r="AO11" s="13">
        <v>3.0</v>
      </c>
      <c r="AP11" s="13">
        <v>4.0</v>
      </c>
      <c r="AQ11" s="13">
        <v>3.0</v>
      </c>
      <c r="AR11" s="13">
        <v>3.0</v>
      </c>
      <c r="AS11" s="13">
        <v>4.0</v>
      </c>
      <c r="AT11" s="13">
        <v>3.0</v>
      </c>
      <c r="AU11" s="13">
        <v>3.0</v>
      </c>
      <c r="AV11" s="13">
        <v>3.0</v>
      </c>
      <c r="AW11" s="15">
        <f t="shared" si="1"/>
        <v>154</v>
      </c>
      <c r="AX11" s="17">
        <f t="shared" si="2"/>
        <v>-0.0334315358</v>
      </c>
    </row>
    <row r="12">
      <c r="A12" s="13" t="s">
        <v>61</v>
      </c>
      <c r="B12" s="13">
        <v>4.0</v>
      </c>
      <c r="C12" s="13">
        <v>4.0</v>
      </c>
      <c r="D12" s="13">
        <v>3.0</v>
      </c>
      <c r="E12" s="13">
        <v>4.0</v>
      </c>
      <c r="F12" s="13">
        <v>4.0</v>
      </c>
      <c r="G12" s="13">
        <v>3.0</v>
      </c>
      <c r="H12" s="13">
        <v>3.0</v>
      </c>
      <c r="I12" s="13">
        <v>4.0</v>
      </c>
      <c r="J12" s="13">
        <v>5.0</v>
      </c>
      <c r="K12" s="13">
        <v>3.0</v>
      </c>
      <c r="L12" s="13">
        <v>3.0</v>
      </c>
      <c r="M12" s="13">
        <v>3.0</v>
      </c>
      <c r="N12" s="16">
        <v>1.0</v>
      </c>
      <c r="O12" s="13">
        <v>4.0</v>
      </c>
      <c r="P12" s="13">
        <v>4.0</v>
      </c>
      <c r="Q12" s="13">
        <v>3.0</v>
      </c>
      <c r="R12" s="13">
        <v>4.0</v>
      </c>
      <c r="S12" s="13">
        <v>5.0</v>
      </c>
      <c r="T12" s="13">
        <v>4.0</v>
      </c>
      <c r="U12" s="13">
        <v>4.0</v>
      </c>
      <c r="V12" s="13">
        <v>4.0</v>
      </c>
      <c r="W12" s="13">
        <v>3.0</v>
      </c>
      <c r="X12" s="13">
        <v>3.0</v>
      </c>
      <c r="Y12" s="13">
        <v>5.0</v>
      </c>
      <c r="Z12" s="13">
        <v>3.0</v>
      </c>
      <c r="AA12" s="13">
        <v>3.0</v>
      </c>
      <c r="AB12" s="13">
        <v>4.0</v>
      </c>
      <c r="AC12" s="13">
        <v>4.0</v>
      </c>
      <c r="AD12" s="13">
        <v>5.0</v>
      </c>
      <c r="AE12" s="13">
        <v>3.0</v>
      </c>
      <c r="AF12" s="13">
        <v>3.0</v>
      </c>
      <c r="AG12" s="13">
        <v>5.0</v>
      </c>
      <c r="AH12" s="13">
        <v>5.0</v>
      </c>
      <c r="AI12" s="13">
        <v>3.0</v>
      </c>
      <c r="AJ12" s="13">
        <v>4.0</v>
      </c>
      <c r="AK12" s="13">
        <v>4.0</v>
      </c>
      <c r="AL12" s="13">
        <v>4.0</v>
      </c>
      <c r="AM12" s="13">
        <v>3.0</v>
      </c>
      <c r="AN12" s="13">
        <v>3.0</v>
      </c>
      <c r="AO12" s="13">
        <v>3.0</v>
      </c>
      <c r="AP12" s="13">
        <v>4.0</v>
      </c>
      <c r="AQ12" s="13">
        <v>4.0</v>
      </c>
      <c r="AR12" s="13">
        <v>5.0</v>
      </c>
      <c r="AS12" s="13">
        <v>4.0</v>
      </c>
      <c r="AT12" s="13">
        <v>4.0</v>
      </c>
      <c r="AU12" s="13">
        <v>5.0</v>
      </c>
      <c r="AV12" s="13">
        <v>4.0</v>
      </c>
      <c r="AW12" s="15">
        <f t="shared" si="1"/>
        <v>176</v>
      </c>
      <c r="AX12" s="17">
        <f t="shared" si="2"/>
        <v>0.1046496734</v>
      </c>
    </row>
    <row r="13">
      <c r="A13" s="13" t="s">
        <v>25</v>
      </c>
      <c r="B13" s="13">
        <v>3.0</v>
      </c>
      <c r="C13" s="13">
        <v>3.0</v>
      </c>
      <c r="D13" s="13">
        <v>3.0</v>
      </c>
      <c r="E13" s="13">
        <v>2.0</v>
      </c>
      <c r="F13" s="13">
        <v>3.0</v>
      </c>
      <c r="G13" s="13">
        <v>3.0</v>
      </c>
      <c r="H13" s="13">
        <v>2.0</v>
      </c>
      <c r="I13" s="13">
        <v>4.0</v>
      </c>
      <c r="J13" s="13">
        <v>5.0</v>
      </c>
      <c r="K13" s="13">
        <v>2.0</v>
      </c>
      <c r="L13" s="13">
        <v>2.0</v>
      </c>
      <c r="M13" s="13">
        <v>3.0</v>
      </c>
      <c r="N13" s="13">
        <v>3.0</v>
      </c>
      <c r="O13" s="16">
        <v>1.0</v>
      </c>
      <c r="P13" s="13">
        <v>3.0</v>
      </c>
      <c r="Q13" s="13">
        <v>3.0</v>
      </c>
      <c r="R13" s="13">
        <v>3.0</v>
      </c>
      <c r="S13" s="13">
        <v>3.0</v>
      </c>
      <c r="T13" s="13">
        <v>3.0</v>
      </c>
      <c r="U13" s="13">
        <v>4.0</v>
      </c>
      <c r="V13" s="13">
        <v>3.0</v>
      </c>
      <c r="W13" s="13">
        <v>2.0</v>
      </c>
      <c r="X13" s="13">
        <v>3.0</v>
      </c>
      <c r="Y13" s="13">
        <v>4.0</v>
      </c>
      <c r="Z13" s="13">
        <v>3.0</v>
      </c>
      <c r="AA13" s="13">
        <v>2.0</v>
      </c>
      <c r="AB13" s="13">
        <v>4.0</v>
      </c>
      <c r="AC13" s="13">
        <v>2.0</v>
      </c>
      <c r="AD13" s="13">
        <v>4.0</v>
      </c>
      <c r="AE13" s="13">
        <v>3.0</v>
      </c>
      <c r="AF13" s="13">
        <v>3.0</v>
      </c>
      <c r="AG13" s="13">
        <v>4.0</v>
      </c>
      <c r="AH13" s="13">
        <v>5.0</v>
      </c>
      <c r="AI13" s="13">
        <v>2.0</v>
      </c>
      <c r="AJ13" s="13">
        <v>3.0</v>
      </c>
      <c r="AK13" s="13">
        <v>5.0</v>
      </c>
      <c r="AL13" s="13">
        <v>3.0</v>
      </c>
      <c r="AM13" s="13">
        <v>2.0</v>
      </c>
      <c r="AN13" s="13">
        <v>3.0</v>
      </c>
      <c r="AO13" s="13">
        <v>3.0</v>
      </c>
      <c r="AP13" s="13">
        <v>4.0</v>
      </c>
      <c r="AQ13" s="13">
        <v>5.0</v>
      </c>
      <c r="AR13" s="13">
        <v>4.0</v>
      </c>
      <c r="AS13" s="13">
        <v>3.0</v>
      </c>
      <c r="AT13" s="13">
        <v>5.0</v>
      </c>
      <c r="AU13" s="13">
        <v>4.0</v>
      </c>
      <c r="AV13" s="13">
        <v>4.0</v>
      </c>
      <c r="AW13" s="15">
        <f t="shared" si="1"/>
        <v>150</v>
      </c>
      <c r="AX13" s="17">
        <f t="shared" si="2"/>
        <v>-0.0585372102</v>
      </c>
    </row>
    <row r="14">
      <c r="A14" s="13" t="s">
        <v>102</v>
      </c>
      <c r="B14" s="13">
        <v>4.0</v>
      </c>
      <c r="C14" s="13">
        <v>4.0</v>
      </c>
      <c r="D14" s="13">
        <v>3.0</v>
      </c>
      <c r="E14" s="13">
        <v>3.0</v>
      </c>
      <c r="F14" s="13">
        <v>4.0</v>
      </c>
      <c r="G14" s="13">
        <v>3.0</v>
      </c>
      <c r="H14" s="13">
        <v>4.0</v>
      </c>
      <c r="I14" s="13">
        <v>5.0</v>
      </c>
      <c r="J14" s="13">
        <v>3.0</v>
      </c>
      <c r="K14" s="13">
        <v>3.0</v>
      </c>
      <c r="L14" s="13">
        <v>4.0</v>
      </c>
      <c r="M14" s="13">
        <v>4.0</v>
      </c>
      <c r="N14" s="13">
        <v>4.0</v>
      </c>
      <c r="O14" s="13">
        <v>3.0</v>
      </c>
      <c r="P14" s="16">
        <v>1.0</v>
      </c>
      <c r="Q14" s="13">
        <v>4.0</v>
      </c>
      <c r="R14" s="13">
        <v>4.0</v>
      </c>
      <c r="S14" s="13">
        <v>4.0</v>
      </c>
      <c r="T14" s="13">
        <v>4.0</v>
      </c>
      <c r="U14" s="13">
        <v>4.0</v>
      </c>
      <c r="V14" s="13">
        <v>4.0</v>
      </c>
      <c r="W14" s="13">
        <v>4.0</v>
      </c>
      <c r="X14" s="13">
        <v>3.0</v>
      </c>
      <c r="Y14" s="13">
        <v>3.0</v>
      </c>
      <c r="Z14" s="13">
        <v>4.0</v>
      </c>
      <c r="AA14" s="13">
        <v>3.0</v>
      </c>
      <c r="AB14" s="13">
        <v>4.0</v>
      </c>
      <c r="AC14" s="13">
        <v>3.0</v>
      </c>
      <c r="AD14" s="13">
        <v>4.0</v>
      </c>
      <c r="AE14" s="13">
        <v>4.0</v>
      </c>
      <c r="AF14" s="13">
        <v>5.0</v>
      </c>
      <c r="AG14" s="13">
        <v>4.0</v>
      </c>
      <c r="AH14" s="13">
        <v>4.0</v>
      </c>
      <c r="AI14" s="13">
        <v>3.0</v>
      </c>
      <c r="AJ14" s="13">
        <v>3.0</v>
      </c>
      <c r="AK14" s="13">
        <v>4.0</v>
      </c>
      <c r="AL14" s="13">
        <v>4.0</v>
      </c>
      <c r="AM14" s="13">
        <v>4.0</v>
      </c>
      <c r="AN14" s="13">
        <v>5.0</v>
      </c>
      <c r="AO14" s="13">
        <v>4.0</v>
      </c>
      <c r="AP14" s="13">
        <v>4.0</v>
      </c>
      <c r="AQ14" s="13">
        <v>4.0</v>
      </c>
      <c r="AR14" s="13">
        <v>3.0</v>
      </c>
      <c r="AS14" s="13">
        <v>4.0</v>
      </c>
      <c r="AT14" s="13">
        <v>3.0</v>
      </c>
      <c r="AU14" s="13">
        <v>3.0</v>
      </c>
      <c r="AV14" s="13">
        <v>4.0</v>
      </c>
      <c r="AW14" s="15">
        <f t="shared" si="1"/>
        <v>173</v>
      </c>
      <c r="AX14" s="17">
        <f t="shared" si="2"/>
        <v>0.08582041757</v>
      </c>
    </row>
    <row r="15">
      <c r="A15" s="13" t="s">
        <v>75</v>
      </c>
      <c r="B15" s="13">
        <v>4.0</v>
      </c>
      <c r="C15" s="13">
        <v>3.0</v>
      </c>
      <c r="D15" s="13">
        <v>3.0</v>
      </c>
      <c r="E15" s="13">
        <v>3.0</v>
      </c>
      <c r="F15" s="13">
        <v>4.0</v>
      </c>
      <c r="G15" s="13">
        <v>4.0</v>
      </c>
      <c r="H15" s="13">
        <v>3.0</v>
      </c>
      <c r="I15" s="13">
        <v>4.0</v>
      </c>
      <c r="J15" s="13">
        <v>5.0</v>
      </c>
      <c r="K15" s="13">
        <v>3.0</v>
      </c>
      <c r="L15" s="13">
        <v>3.0</v>
      </c>
      <c r="M15" s="13">
        <v>3.0</v>
      </c>
      <c r="N15" s="13">
        <v>4.0</v>
      </c>
      <c r="O15" s="13">
        <v>5.0</v>
      </c>
      <c r="P15" s="13">
        <v>3.0</v>
      </c>
      <c r="Q15" s="16">
        <v>1.0</v>
      </c>
      <c r="R15" s="13">
        <v>4.0</v>
      </c>
      <c r="S15" s="13">
        <v>4.0</v>
      </c>
      <c r="T15" s="13">
        <v>4.0</v>
      </c>
      <c r="U15" s="13">
        <v>5.0</v>
      </c>
      <c r="V15" s="13">
        <v>4.0</v>
      </c>
      <c r="W15" s="13">
        <v>3.0</v>
      </c>
      <c r="X15" s="13">
        <v>3.0</v>
      </c>
      <c r="Y15" s="13">
        <v>4.0</v>
      </c>
      <c r="Z15" s="13">
        <v>3.0</v>
      </c>
      <c r="AA15" s="13">
        <v>3.0</v>
      </c>
      <c r="AB15" s="13">
        <v>5.0</v>
      </c>
      <c r="AC15" s="13">
        <v>3.0</v>
      </c>
      <c r="AD15" s="13">
        <v>5.0</v>
      </c>
      <c r="AE15" s="13">
        <v>3.0</v>
      </c>
      <c r="AF15" s="13">
        <v>4.0</v>
      </c>
      <c r="AG15" s="13">
        <v>4.0</v>
      </c>
      <c r="AH15" s="13">
        <v>5.0</v>
      </c>
      <c r="AI15" s="13">
        <v>3.0</v>
      </c>
      <c r="AJ15" s="13">
        <v>4.0</v>
      </c>
      <c r="AK15" s="13">
        <v>5.0</v>
      </c>
      <c r="AL15" s="13">
        <v>3.0</v>
      </c>
      <c r="AM15" s="13">
        <v>4.0</v>
      </c>
      <c r="AN15" s="13">
        <v>5.0</v>
      </c>
      <c r="AO15" s="13">
        <v>4.0</v>
      </c>
      <c r="AP15" s="13">
        <v>4.0</v>
      </c>
      <c r="AQ15" s="13">
        <v>4.0</v>
      </c>
      <c r="AR15" s="13">
        <v>5.0</v>
      </c>
      <c r="AS15" s="13">
        <v>4.0</v>
      </c>
      <c r="AT15" s="13">
        <v>4.0</v>
      </c>
      <c r="AU15" s="13">
        <v>4.0</v>
      </c>
      <c r="AV15" s="13">
        <v>5.0</v>
      </c>
      <c r="AW15" s="15">
        <f t="shared" si="1"/>
        <v>179</v>
      </c>
      <c r="AX15" s="17">
        <f t="shared" si="2"/>
        <v>0.1234789292</v>
      </c>
    </row>
    <row r="16">
      <c r="A16" s="13" t="s">
        <v>19</v>
      </c>
      <c r="B16" s="13">
        <v>4.0</v>
      </c>
      <c r="C16" s="13">
        <v>2.0</v>
      </c>
      <c r="D16" s="13">
        <v>3.0</v>
      </c>
      <c r="E16" s="13">
        <v>3.0</v>
      </c>
      <c r="F16" s="13">
        <v>4.0</v>
      </c>
      <c r="G16" s="13">
        <v>4.0</v>
      </c>
      <c r="H16" s="13">
        <v>3.0</v>
      </c>
      <c r="I16" s="13">
        <v>4.0</v>
      </c>
      <c r="J16" s="13">
        <v>5.0</v>
      </c>
      <c r="K16" s="13">
        <v>2.0</v>
      </c>
      <c r="L16" s="13">
        <v>2.0</v>
      </c>
      <c r="M16" s="13">
        <v>3.0</v>
      </c>
      <c r="N16" s="13">
        <v>3.0</v>
      </c>
      <c r="O16" s="13">
        <v>4.0</v>
      </c>
      <c r="P16" s="13">
        <v>4.0</v>
      </c>
      <c r="Q16" s="13">
        <v>3.0</v>
      </c>
      <c r="R16" s="16">
        <v>1.0</v>
      </c>
      <c r="S16" s="13">
        <v>4.0</v>
      </c>
      <c r="T16" s="13">
        <v>3.0</v>
      </c>
      <c r="U16" s="13">
        <v>4.0</v>
      </c>
      <c r="V16" s="13">
        <v>4.0</v>
      </c>
      <c r="W16" s="13">
        <v>3.0</v>
      </c>
      <c r="X16" s="13">
        <v>2.0</v>
      </c>
      <c r="Y16" s="13">
        <v>3.0</v>
      </c>
      <c r="Z16" s="13">
        <v>2.0</v>
      </c>
      <c r="AA16" s="13">
        <v>3.0</v>
      </c>
      <c r="AB16" s="13">
        <v>4.0</v>
      </c>
      <c r="AC16" s="13">
        <v>3.0</v>
      </c>
      <c r="AD16" s="13">
        <v>5.0</v>
      </c>
      <c r="AE16" s="13">
        <v>3.0</v>
      </c>
      <c r="AF16" s="13">
        <v>4.0</v>
      </c>
      <c r="AG16" s="13">
        <v>4.0</v>
      </c>
      <c r="AH16" s="13">
        <v>4.0</v>
      </c>
      <c r="AI16" s="13">
        <v>3.0</v>
      </c>
      <c r="AJ16" s="13">
        <v>4.0</v>
      </c>
      <c r="AK16" s="13">
        <v>5.0</v>
      </c>
      <c r="AL16" s="13">
        <v>2.0</v>
      </c>
      <c r="AM16" s="13">
        <v>3.0</v>
      </c>
      <c r="AN16" s="13">
        <v>4.0</v>
      </c>
      <c r="AO16" s="13">
        <v>3.0</v>
      </c>
      <c r="AP16" s="13">
        <v>3.0</v>
      </c>
      <c r="AQ16" s="13">
        <v>5.0</v>
      </c>
      <c r="AR16" s="13">
        <v>3.0</v>
      </c>
      <c r="AS16" s="13">
        <v>4.0</v>
      </c>
      <c r="AT16" s="13">
        <v>4.0</v>
      </c>
      <c r="AU16" s="13">
        <v>5.0</v>
      </c>
      <c r="AV16" s="13">
        <v>3.0</v>
      </c>
      <c r="AW16" s="15">
        <f t="shared" si="1"/>
        <v>160</v>
      </c>
      <c r="AX16" s="17">
        <f t="shared" si="2"/>
        <v>0.004226975791</v>
      </c>
    </row>
    <row r="17">
      <c r="A17" s="13" t="s">
        <v>103</v>
      </c>
      <c r="B17" s="13">
        <v>5.0</v>
      </c>
      <c r="C17" s="13">
        <v>2.0</v>
      </c>
      <c r="D17" s="13">
        <v>3.0</v>
      </c>
      <c r="E17" s="13">
        <v>2.0</v>
      </c>
      <c r="F17" s="13">
        <v>3.0</v>
      </c>
      <c r="G17" s="13">
        <v>3.0</v>
      </c>
      <c r="H17" s="13">
        <v>3.0</v>
      </c>
      <c r="I17" s="13">
        <v>4.0</v>
      </c>
      <c r="J17" s="13">
        <v>4.0</v>
      </c>
      <c r="K17" s="13">
        <v>2.0</v>
      </c>
      <c r="L17" s="13">
        <v>3.0</v>
      </c>
      <c r="M17" s="13">
        <v>3.0</v>
      </c>
      <c r="N17" s="13">
        <v>4.0</v>
      </c>
      <c r="O17" s="13">
        <v>4.0</v>
      </c>
      <c r="P17" s="13">
        <v>4.0</v>
      </c>
      <c r="Q17" s="13">
        <v>4.0</v>
      </c>
      <c r="R17" s="13">
        <v>4.0</v>
      </c>
      <c r="S17" s="16">
        <v>1.0</v>
      </c>
      <c r="T17" s="13">
        <v>3.0</v>
      </c>
      <c r="U17" s="13">
        <v>4.0</v>
      </c>
      <c r="V17" s="13">
        <v>5.0</v>
      </c>
      <c r="W17" s="13">
        <v>3.0</v>
      </c>
      <c r="X17" s="13">
        <v>3.0</v>
      </c>
      <c r="Y17" s="13">
        <v>4.0</v>
      </c>
      <c r="Z17" s="13">
        <v>2.0</v>
      </c>
      <c r="AA17" s="13">
        <v>5.0</v>
      </c>
      <c r="AB17" s="13">
        <v>5.0</v>
      </c>
      <c r="AC17" s="13">
        <v>3.0</v>
      </c>
      <c r="AD17" s="13">
        <v>5.0</v>
      </c>
      <c r="AE17" s="13">
        <v>4.0</v>
      </c>
      <c r="AF17" s="13">
        <v>3.0</v>
      </c>
      <c r="AG17" s="13">
        <v>4.0</v>
      </c>
      <c r="AH17" s="13">
        <v>5.0</v>
      </c>
      <c r="AI17" s="13">
        <v>2.0</v>
      </c>
      <c r="AJ17" s="13">
        <v>3.0</v>
      </c>
      <c r="AK17" s="13">
        <v>5.0</v>
      </c>
      <c r="AL17" s="13">
        <v>3.0</v>
      </c>
      <c r="AM17" s="13">
        <v>3.0</v>
      </c>
      <c r="AN17" s="13">
        <v>4.0</v>
      </c>
      <c r="AO17" s="13">
        <v>3.0</v>
      </c>
      <c r="AP17" s="13">
        <v>4.0</v>
      </c>
      <c r="AQ17" s="13">
        <v>4.0</v>
      </c>
      <c r="AR17" s="13">
        <v>3.0</v>
      </c>
      <c r="AS17" s="13">
        <v>4.0</v>
      </c>
      <c r="AT17" s="13">
        <v>4.0</v>
      </c>
      <c r="AU17" s="13">
        <v>5.0</v>
      </c>
      <c r="AV17" s="13">
        <v>5.0</v>
      </c>
      <c r="AW17" s="15">
        <f t="shared" si="1"/>
        <v>168</v>
      </c>
      <c r="AX17" s="17">
        <f t="shared" si="2"/>
        <v>0.05443832458</v>
      </c>
    </row>
    <row r="18">
      <c r="A18" s="13" t="s">
        <v>55</v>
      </c>
      <c r="B18" s="13">
        <v>3.0</v>
      </c>
      <c r="C18" s="13">
        <v>3.0</v>
      </c>
      <c r="D18" s="13">
        <v>3.0</v>
      </c>
      <c r="E18" s="13">
        <v>3.0</v>
      </c>
      <c r="F18" s="13">
        <v>3.0</v>
      </c>
      <c r="G18" s="13">
        <v>3.0</v>
      </c>
      <c r="H18" s="13">
        <v>3.0</v>
      </c>
      <c r="I18" s="13">
        <v>3.0</v>
      </c>
      <c r="J18" s="13">
        <v>4.0</v>
      </c>
      <c r="K18" s="13">
        <v>2.0</v>
      </c>
      <c r="L18" s="13">
        <v>2.0</v>
      </c>
      <c r="M18" s="13">
        <v>3.0</v>
      </c>
      <c r="N18" s="13">
        <v>3.0</v>
      </c>
      <c r="O18" s="13">
        <v>4.0</v>
      </c>
      <c r="P18" s="13">
        <v>3.0</v>
      </c>
      <c r="Q18" s="13">
        <v>3.0</v>
      </c>
      <c r="R18" s="13">
        <v>3.0</v>
      </c>
      <c r="S18" s="13">
        <v>3.0</v>
      </c>
      <c r="T18" s="16">
        <v>1.0</v>
      </c>
      <c r="U18" s="13">
        <v>4.0</v>
      </c>
      <c r="V18" s="13">
        <v>5.0</v>
      </c>
      <c r="W18" s="13">
        <v>3.0</v>
      </c>
      <c r="X18" s="13">
        <v>3.0</v>
      </c>
      <c r="Y18" s="13">
        <v>3.0</v>
      </c>
      <c r="Z18" s="13">
        <v>2.0</v>
      </c>
      <c r="AA18" s="13">
        <v>4.0</v>
      </c>
      <c r="AB18" s="13">
        <v>4.0</v>
      </c>
      <c r="AC18" s="13">
        <v>3.0</v>
      </c>
      <c r="AD18" s="13">
        <v>5.0</v>
      </c>
      <c r="AE18" s="13">
        <v>3.0</v>
      </c>
      <c r="AF18" s="13">
        <v>3.0</v>
      </c>
      <c r="AG18" s="13">
        <v>3.0</v>
      </c>
      <c r="AH18" s="13">
        <v>4.0</v>
      </c>
      <c r="AI18" s="13">
        <v>2.0</v>
      </c>
      <c r="AJ18" s="13">
        <v>3.0</v>
      </c>
      <c r="AK18" s="13">
        <v>5.0</v>
      </c>
      <c r="AL18" s="13">
        <v>3.0</v>
      </c>
      <c r="AM18" s="13">
        <v>3.0</v>
      </c>
      <c r="AN18" s="13">
        <v>4.0</v>
      </c>
      <c r="AO18" s="13">
        <v>3.0</v>
      </c>
      <c r="AP18" s="13">
        <v>3.0</v>
      </c>
      <c r="AQ18" s="13">
        <v>4.0</v>
      </c>
      <c r="AR18" s="13">
        <v>4.0</v>
      </c>
      <c r="AS18" s="13">
        <v>3.0</v>
      </c>
      <c r="AT18" s="13">
        <v>3.0</v>
      </c>
      <c r="AU18" s="13">
        <v>3.0</v>
      </c>
      <c r="AV18" s="13">
        <v>3.0</v>
      </c>
      <c r="AW18" s="15">
        <f t="shared" si="1"/>
        <v>150</v>
      </c>
      <c r="AX18" s="17">
        <f t="shared" si="2"/>
        <v>-0.0585372102</v>
      </c>
    </row>
    <row r="19">
      <c r="A19" s="13" t="s">
        <v>17</v>
      </c>
      <c r="B19" s="13">
        <v>4.0</v>
      </c>
      <c r="C19" s="13">
        <v>3.0</v>
      </c>
      <c r="D19" s="13">
        <v>4.0</v>
      </c>
      <c r="E19" s="13">
        <v>3.0</v>
      </c>
      <c r="F19" s="13">
        <v>4.0</v>
      </c>
      <c r="G19" s="13">
        <v>3.0</v>
      </c>
      <c r="H19" s="13">
        <v>3.0</v>
      </c>
      <c r="I19" s="13">
        <v>3.0</v>
      </c>
      <c r="J19" s="13">
        <v>5.0</v>
      </c>
      <c r="K19" s="13">
        <v>3.0</v>
      </c>
      <c r="L19" s="13">
        <v>3.0</v>
      </c>
      <c r="M19" s="13">
        <v>3.0</v>
      </c>
      <c r="N19" s="13">
        <v>3.0</v>
      </c>
      <c r="O19" s="13">
        <v>5.0</v>
      </c>
      <c r="P19" s="13">
        <v>3.0</v>
      </c>
      <c r="Q19" s="13">
        <v>3.0</v>
      </c>
      <c r="R19" s="13">
        <v>4.0</v>
      </c>
      <c r="S19" s="13">
        <v>4.0</v>
      </c>
      <c r="T19" s="13">
        <v>3.0</v>
      </c>
      <c r="U19" s="16">
        <v>1.0</v>
      </c>
      <c r="V19" s="13">
        <v>4.0</v>
      </c>
      <c r="W19" s="13">
        <v>3.0</v>
      </c>
      <c r="X19" s="13">
        <v>3.0</v>
      </c>
      <c r="Y19" s="13">
        <v>3.0</v>
      </c>
      <c r="Z19" s="13">
        <v>3.0</v>
      </c>
      <c r="AA19" s="13">
        <v>2.0</v>
      </c>
      <c r="AB19" s="13">
        <v>4.0</v>
      </c>
      <c r="AC19" s="13">
        <v>3.0</v>
      </c>
      <c r="AD19" s="13">
        <v>5.0</v>
      </c>
      <c r="AE19" s="13">
        <v>3.0</v>
      </c>
      <c r="AF19" s="13">
        <v>4.0</v>
      </c>
      <c r="AG19" s="13">
        <v>3.0</v>
      </c>
      <c r="AH19" s="13">
        <v>5.0</v>
      </c>
      <c r="AI19" s="13">
        <v>3.0</v>
      </c>
      <c r="AJ19" s="13">
        <v>4.0</v>
      </c>
      <c r="AK19" s="13">
        <v>5.0</v>
      </c>
      <c r="AL19" s="13">
        <v>4.0</v>
      </c>
      <c r="AM19" s="13">
        <v>3.0</v>
      </c>
      <c r="AN19" s="13">
        <v>5.0</v>
      </c>
      <c r="AO19" s="13">
        <v>3.0</v>
      </c>
      <c r="AP19" s="13">
        <v>4.0</v>
      </c>
      <c r="AQ19" s="13">
        <v>5.0</v>
      </c>
      <c r="AR19" s="13">
        <v>3.0</v>
      </c>
      <c r="AS19" s="13">
        <v>4.0</v>
      </c>
      <c r="AT19" s="13">
        <v>3.0</v>
      </c>
      <c r="AU19" s="13">
        <v>3.0</v>
      </c>
      <c r="AV19" s="13">
        <v>3.0</v>
      </c>
      <c r="AW19" s="15">
        <f t="shared" si="1"/>
        <v>164</v>
      </c>
      <c r="AX19" s="17">
        <f t="shared" si="2"/>
        <v>0.02933265019</v>
      </c>
    </row>
    <row r="20">
      <c r="A20" s="13" t="s">
        <v>29</v>
      </c>
      <c r="B20" s="13">
        <v>4.0</v>
      </c>
      <c r="C20" s="13">
        <v>2.0</v>
      </c>
      <c r="D20" s="13">
        <v>2.0</v>
      </c>
      <c r="E20" s="13">
        <v>2.0</v>
      </c>
      <c r="F20" s="13">
        <v>3.0</v>
      </c>
      <c r="G20" s="13">
        <v>2.0</v>
      </c>
      <c r="H20" s="13">
        <v>3.0</v>
      </c>
      <c r="I20" s="13">
        <v>4.0</v>
      </c>
      <c r="J20" s="13">
        <v>5.0</v>
      </c>
      <c r="K20" s="13">
        <v>2.0</v>
      </c>
      <c r="L20" s="13">
        <v>3.0</v>
      </c>
      <c r="M20" s="13">
        <v>3.0</v>
      </c>
      <c r="N20" s="13">
        <v>3.0</v>
      </c>
      <c r="O20" s="13">
        <v>5.0</v>
      </c>
      <c r="P20" s="13">
        <v>3.0</v>
      </c>
      <c r="Q20" s="13">
        <v>3.0</v>
      </c>
      <c r="R20" s="13">
        <v>3.0</v>
      </c>
      <c r="S20" s="13">
        <v>4.0</v>
      </c>
      <c r="T20" s="13">
        <v>3.0</v>
      </c>
      <c r="U20" s="13">
        <v>4.0</v>
      </c>
      <c r="V20" s="16">
        <v>1.0</v>
      </c>
      <c r="W20" s="13">
        <v>3.0</v>
      </c>
      <c r="X20" s="13">
        <v>3.0</v>
      </c>
      <c r="Y20" s="13">
        <v>4.0</v>
      </c>
      <c r="Z20" s="13">
        <v>2.0</v>
      </c>
      <c r="AA20" s="13">
        <v>2.0</v>
      </c>
      <c r="AB20" s="13">
        <v>4.0</v>
      </c>
      <c r="AC20" s="13">
        <v>3.0</v>
      </c>
      <c r="AD20" s="13">
        <v>5.0</v>
      </c>
      <c r="AE20" s="13">
        <v>4.0</v>
      </c>
      <c r="AF20" s="13">
        <v>3.0</v>
      </c>
      <c r="AG20" s="13">
        <v>3.0</v>
      </c>
      <c r="AH20" s="13">
        <v>4.0</v>
      </c>
      <c r="AI20" s="13">
        <v>3.0</v>
      </c>
      <c r="AJ20" s="13">
        <v>4.0</v>
      </c>
      <c r="AK20" s="13">
        <v>5.0</v>
      </c>
      <c r="AL20" s="13">
        <v>3.0</v>
      </c>
      <c r="AM20" s="13">
        <v>3.0</v>
      </c>
      <c r="AN20" s="13">
        <v>5.0</v>
      </c>
      <c r="AO20" s="13">
        <v>3.0</v>
      </c>
      <c r="AP20" s="13">
        <v>3.0</v>
      </c>
      <c r="AQ20" s="13">
        <v>4.0</v>
      </c>
      <c r="AR20" s="13">
        <v>5.0</v>
      </c>
      <c r="AS20" s="13">
        <v>4.0</v>
      </c>
      <c r="AT20" s="13">
        <v>3.0</v>
      </c>
      <c r="AU20" s="13">
        <v>4.0</v>
      </c>
      <c r="AV20" s="13">
        <v>3.0</v>
      </c>
      <c r="AW20" s="15">
        <f t="shared" si="1"/>
        <v>156</v>
      </c>
      <c r="AX20" s="17">
        <f t="shared" si="2"/>
        <v>-0.0208786986</v>
      </c>
    </row>
    <row r="21">
      <c r="A21" s="13" t="s">
        <v>67</v>
      </c>
      <c r="B21" s="13">
        <v>5.0</v>
      </c>
      <c r="C21" s="13">
        <v>4.0</v>
      </c>
      <c r="D21" s="13">
        <v>4.0</v>
      </c>
      <c r="E21" s="13">
        <v>3.0</v>
      </c>
      <c r="F21" s="13">
        <v>4.0</v>
      </c>
      <c r="G21" s="13">
        <v>4.0</v>
      </c>
      <c r="H21" s="13">
        <v>2.0</v>
      </c>
      <c r="I21" s="13">
        <v>3.0</v>
      </c>
      <c r="J21" s="13">
        <v>5.0</v>
      </c>
      <c r="K21" s="13">
        <v>3.0</v>
      </c>
      <c r="L21" s="13">
        <v>2.0</v>
      </c>
      <c r="M21" s="13">
        <v>3.0</v>
      </c>
      <c r="N21" s="13">
        <v>3.0</v>
      </c>
      <c r="O21" s="13">
        <v>5.0</v>
      </c>
      <c r="P21" s="13">
        <v>4.0</v>
      </c>
      <c r="Q21" s="13">
        <v>4.0</v>
      </c>
      <c r="R21" s="13">
        <v>4.0</v>
      </c>
      <c r="S21" s="13">
        <v>4.0</v>
      </c>
      <c r="T21" s="13">
        <v>5.0</v>
      </c>
      <c r="U21" s="13">
        <v>5.0</v>
      </c>
      <c r="V21" s="13">
        <v>5.0</v>
      </c>
      <c r="W21" s="16">
        <v>1.0</v>
      </c>
      <c r="X21" s="13">
        <v>3.0</v>
      </c>
      <c r="Y21" s="13">
        <v>3.0</v>
      </c>
      <c r="Z21" s="13">
        <v>4.0</v>
      </c>
      <c r="AA21" s="13">
        <v>5.0</v>
      </c>
      <c r="AB21" s="13">
        <v>4.0</v>
      </c>
      <c r="AC21" s="13">
        <v>3.0</v>
      </c>
      <c r="AD21" s="13">
        <v>5.0</v>
      </c>
      <c r="AE21" s="13">
        <v>3.0</v>
      </c>
      <c r="AF21" s="13">
        <v>4.0</v>
      </c>
      <c r="AG21" s="13">
        <v>4.0</v>
      </c>
      <c r="AH21" s="13">
        <v>5.0</v>
      </c>
      <c r="AI21" s="13">
        <v>3.0</v>
      </c>
      <c r="AJ21" s="13">
        <v>3.0</v>
      </c>
      <c r="AK21" s="13">
        <v>5.0</v>
      </c>
      <c r="AL21" s="13">
        <v>3.0</v>
      </c>
      <c r="AM21" s="13">
        <v>2.0</v>
      </c>
      <c r="AN21" s="13">
        <v>4.0</v>
      </c>
      <c r="AO21" s="13">
        <v>3.0</v>
      </c>
      <c r="AP21" s="13">
        <v>5.0</v>
      </c>
      <c r="AQ21" s="13">
        <v>4.0</v>
      </c>
      <c r="AR21" s="13">
        <v>4.0</v>
      </c>
      <c r="AS21" s="13">
        <v>4.0</v>
      </c>
      <c r="AT21" s="13">
        <v>4.0</v>
      </c>
      <c r="AU21" s="13">
        <v>5.0</v>
      </c>
      <c r="AV21" s="13">
        <v>4.0</v>
      </c>
      <c r="AW21" s="15">
        <f t="shared" si="1"/>
        <v>178</v>
      </c>
      <c r="AX21" s="17">
        <f t="shared" si="2"/>
        <v>0.1172025106</v>
      </c>
    </row>
    <row r="22">
      <c r="A22" s="18" t="s">
        <v>104</v>
      </c>
      <c r="B22" s="13">
        <v>4.0</v>
      </c>
      <c r="C22" s="13">
        <v>4.0</v>
      </c>
      <c r="D22" s="13">
        <v>4.0</v>
      </c>
      <c r="E22" s="13">
        <v>2.0</v>
      </c>
      <c r="F22" s="13">
        <v>3.0</v>
      </c>
      <c r="G22" s="13">
        <v>4.0</v>
      </c>
      <c r="H22" s="13">
        <v>2.0</v>
      </c>
      <c r="I22" s="13">
        <v>3.0</v>
      </c>
      <c r="J22" s="13">
        <v>2.0</v>
      </c>
      <c r="K22" s="13">
        <v>3.0</v>
      </c>
      <c r="L22" s="13">
        <v>2.0</v>
      </c>
      <c r="M22" s="13">
        <v>3.0</v>
      </c>
      <c r="N22" s="13">
        <v>3.0</v>
      </c>
      <c r="O22" s="13">
        <v>5.0</v>
      </c>
      <c r="P22" s="13">
        <v>3.0</v>
      </c>
      <c r="Q22" s="13">
        <v>3.0</v>
      </c>
      <c r="R22" s="13">
        <v>3.0</v>
      </c>
      <c r="S22" s="13">
        <v>5.0</v>
      </c>
      <c r="T22" s="13">
        <v>3.0</v>
      </c>
      <c r="U22" s="13">
        <v>2.0</v>
      </c>
      <c r="V22" s="13">
        <v>4.0</v>
      </c>
      <c r="W22" s="13">
        <v>3.0</v>
      </c>
      <c r="X22" s="13">
        <v>2.0</v>
      </c>
      <c r="Y22" s="13">
        <v>3.0</v>
      </c>
      <c r="Z22" s="13">
        <v>2.0</v>
      </c>
      <c r="AA22" s="13">
        <v>3.0</v>
      </c>
      <c r="AB22" s="13">
        <v>5.0</v>
      </c>
      <c r="AC22" s="13">
        <v>3.0</v>
      </c>
      <c r="AD22" s="13">
        <v>3.0</v>
      </c>
      <c r="AE22" s="13">
        <v>3.0</v>
      </c>
      <c r="AF22" s="13">
        <v>3.0</v>
      </c>
      <c r="AG22" s="13">
        <v>5.0</v>
      </c>
      <c r="AH22" s="13">
        <v>2.0</v>
      </c>
      <c r="AI22" s="13">
        <v>2.0</v>
      </c>
      <c r="AJ22" s="13">
        <v>3.0</v>
      </c>
      <c r="AK22" s="13">
        <v>4.0</v>
      </c>
      <c r="AL22" s="13">
        <v>3.0</v>
      </c>
      <c r="AM22" s="13">
        <v>3.0</v>
      </c>
      <c r="AN22" s="13">
        <v>4.0</v>
      </c>
      <c r="AO22" s="13">
        <v>3.0</v>
      </c>
      <c r="AP22" s="13">
        <v>3.0</v>
      </c>
      <c r="AQ22" s="13">
        <v>3.0</v>
      </c>
      <c r="AR22" s="13">
        <v>3.0</v>
      </c>
      <c r="AS22" s="13">
        <v>3.0</v>
      </c>
      <c r="AT22" s="13">
        <v>4.0</v>
      </c>
      <c r="AU22" s="13">
        <v>3.0</v>
      </c>
      <c r="AV22" s="13">
        <v>4.0</v>
      </c>
      <c r="AW22" s="15">
        <f t="shared" si="1"/>
        <v>149</v>
      </c>
      <c r="AX22" s="17">
        <f t="shared" si="2"/>
        <v>-0.06481362879</v>
      </c>
    </row>
    <row r="23">
      <c r="A23" s="13" t="s">
        <v>97</v>
      </c>
      <c r="B23" s="13">
        <v>2.0</v>
      </c>
      <c r="C23" s="13">
        <v>2.0</v>
      </c>
      <c r="D23" s="13">
        <v>2.0</v>
      </c>
      <c r="E23" s="13">
        <v>2.0</v>
      </c>
      <c r="F23" s="13">
        <v>3.0</v>
      </c>
      <c r="G23" s="13">
        <v>3.0</v>
      </c>
      <c r="H23" s="13">
        <v>2.0</v>
      </c>
      <c r="I23" s="13">
        <v>3.0</v>
      </c>
      <c r="J23" s="13">
        <v>5.0</v>
      </c>
      <c r="K23" s="13">
        <v>2.0</v>
      </c>
      <c r="L23" s="13">
        <v>3.0</v>
      </c>
      <c r="M23" s="13">
        <v>3.0</v>
      </c>
      <c r="N23" s="13">
        <v>2.0</v>
      </c>
      <c r="O23" s="13">
        <v>4.0</v>
      </c>
      <c r="P23" s="13">
        <v>1.0</v>
      </c>
      <c r="Q23" s="13">
        <v>3.0</v>
      </c>
      <c r="R23" s="13">
        <v>4.0</v>
      </c>
      <c r="S23" s="13">
        <v>3.0</v>
      </c>
      <c r="T23" s="13">
        <v>4.0</v>
      </c>
      <c r="U23" s="13">
        <v>3.0</v>
      </c>
      <c r="V23" s="13">
        <v>2.0</v>
      </c>
      <c r="W23" s="13">
        <v>2.0</v>
      </c>
      <c r="X23" s="16">
        <v>1.0</v>
      </c>
      <c r="Y23" s="13">
        <v>3.0</v>
      </c>
      <c r="Z23" s="13">
        <v>3.0</v>
      </c>
      <c r="AA23" s="13">
        <v>2.0</v>
      </c>
      <c r="AB23" s="13">
        <v>4.0</v>
      </c>
      <c r="AC23" s="13">
        <v>2.0</v>
      </c>
      <c r="AD23" s="13">
        <v>5.0</v>
      </c>
      <c r="AE23" s="13">
        <v>2.0</v>
      </c>
      <c r="AF23" s="13">
        <v>4.0</v>
      </c>
      <c r="AG23" s="13">
        <v>2.0</v>
      </c>
      <c r="AH23" s="13">
        <v>4.0</v>
      </c>
      <c r="AI23" s="13">
        <v>3.0</v>
      </c>
      <c r="AJ23" s="13">
        <v>3.0</v>
      </c>
      <c r="AK23" s="13">
        <v>5.0</v>
      </c>
      <c r="AL23" s="13">
        <v>2.0</v>
      </c>
      <c r="AM23" s="13">
        <v>3.0</v>
      </c>
      <c r="AN23" s="13">
        <v>4.0</v>
      </c>
      <c r="AO23" s="13">
        <v>2.0</v>
      </c>
      <c r="AP23" s="13">
        <v>3.0</v>
      </c>
      <c r="AQ23" s="13">
        <v>3.0</v>
      </c>
      <c r="AR23" s="13">
        <v>4.0</v>
      </c>
      <c r="AS23" s="13">
        <v>3.0</v>
      </c>
      <c r="AT23" s="13">
        <v>3.0</v>
      </c>
      <c r="AU23" s="13">
        <v>3.0</v>
      </c>
      <c r="AV23" s="13">
        <v>3.0</v>
      </c>
      <c r="AW23" s="15">
        <f t="shared" si="1"/>
        <v>136</v>
      </c>
      <c r="AX23" s="17">
        <f t="shared" si="2"/>
        <v>-0.1464070706</v>
      </c>
    </row>
    <row r="24">
      <c r="A24" s="13" t="s">
        <v>63</v>
      </c>
      <c r="B24" s="13">
        <v>3.0</v>
      </c>
      <c r="C24" s="13">
        <v>3.0</v>
      </c>
      <c r="D24" s="13">
        <v>3.0</v>
      </c>
      <c r="E24" s="13">
        <v>3.0</v>
      </c>
      <c r="F24" s="13">
        <v>3.0</v>
      </c>
      <c r="G24" s="13">
        <v>3.0</v>
      </c>
      <c r="H24" s="13">
        <v>3.0</v>
      </c>
      <c r="I24" s="13">
        <v>4.0</v>
      </c>
      <c r="J24" s="13">
        <v>4.0</v>
      </c>
      <c r="K24" s="13">
        <v>3.0</v>
      </c>
      <c r="L24" s="13">
        <v>4.0</v>
      </c>
      <c r="M24" s="13">
        <v>3.0</v>
      </c>
      <c r="N24" s="13">
        <v>4.0</v>
      </c>
      <c r="O24" s="13">
        <v>5.0</v>
      </c>
      <c r="P24" s="13">
        <v>3.0</v>
      </c>
      <c r="Q24" s="13">
        <v>4.0</v>
      </c>
      <c r="R24" s="13">
        <v>3.0</v>
      </c>
      <c r="S24" s="13">
        <v>4.0</v>
      </c>
      <c r="T24" s="13">
        <v>3.0</v>
      </c>
      <c r="U24" s="13">
        <v>3.0</v>
      </c>
      <c r="V24" s="13">
        <v>4.0</v>
      </c>
      <c r="W24" s="13">
        <v>4.0</v>
      </c>
      <c r="X24" s="13">
        <v>4.0</v>
      </c>
      <c r="Y24" s="16">
        <v>1.0</v>
      </c>
      <c r="Z24" s="13">
        <v>3.0</v>
      </c>
      <c r="AA24" s="13">
        <v>4.0</v>
      </c>
      <c r="AB24" s="13">
        <v>3.0</v>
      </c>
      <c r="AC24" s="13">
        <v>3.0</v>
      </c>
      <c r="AD24" s="13">
        <v>4.0</v>
      </c>
      <c r="AE24" s="13">
        <v>3.0</v>
      </c>
      <c r="AF24" s="13">
        <v>3.0</v>
      </c>
      <c r="AG24" s="13">
        <v>5.0</v>
      </c>
      <c r="AH24" s="13">
        <v>5.0</v>
      </c>
      <c r="AI24" s="13">
        <v>3.0</v>
      </c>
      <c r="AJ24" s="13">
        <v>3.0</v>
      </c>
      <c r="AK24" s="13">
        <v>5.0</v>
      </c>
      <c r="AL24" s="13">
        <v>3.0</v>
      </c>
      <c r="AM24" s="13">
        <v>4.0</v>
      </c>
      <c r="AN24" s="13">
        <v>4.0</v>
      </c>
      <c r="AO24" s="13">
        <v>3.0</v>
      </c>
      <c r="AP24" s="13">
        <v>3.0</v>
      </c>
      <c r="AQ24" s="13">
        <v>3.0</v>
      </c>
      <c r="AR24" s="13">
        <v>4.0</v>
      </c>
      <c r="AS24" s="13">
        <v>4.0</v>
      </c>
      <c r="AT24" s="13">
        <v>3.0</v>
      </c>
      <c r="AU24" s="13">
        <v>4.0</v>
      </c>
      <c r="AV24" s="13">
        <v>4.0</v>
      </c>
      <c r="AW24" s="15">
        <f t="shared" si="1"/>
        <v>164</v>
      </c>
      <c r="AX24" s="17">
        <f t="shared" si="2"/>
        <v>0.02933265019</v>
      </c>
    </row>
    <row r="25">
      <c r="A25" s="13" t="s">
        <v>83</v>
      </c>
      <c r="B25" s="13">
        <v>4.0</v>
      </c>
      <c r="C25" s="13">
        <v>1.0</v>
      </c>
      <c r="D25" s="13">
        <v>4.0</v>
      </c>
      <c r="E25" s="13">
        <v>1.0</v>
      </c>
      <c r="F25" s="13">
        <v>2.0</v>
      </c>
      <c r="G25" s="13">
        <v>1.0</v>
      </c>
      <c r="H25" s="13">
        <v>5.0</v>
      </c>
      <c r="I25" s="13">
        <v>2.0</v>
      </c>
      <c r="J25" s="13">
        <v>2.0</v>
      </c>
      <c r="K25" s="13">
        <v>3.0</v>
      </c>
      <c r="L25" s="13">
        <v>4.0</v>
      </c>
      <c r="M25" s="13">
        <v>2.0</v>
      </c>
      <c r="N25" s="13">
        <v>3.0</v>
      </c>
      <c r="O25" s="13">
        <v>1.0</v>
      </c>
      <c r="P25" s="13">
        <v>2.0</v>
      </c>
      <c r="Q25" s="13">
        <v>2.0</v>
      </c>
      <c r="R25" s="13">
        <v>3.0</v>
      </c>
      <c r="S25" s="13">
        <v>4.0</v>
      </c>
      <c r="T25" s="13">
        <v>1.0</v>
      </c>
      <c r="U25" s="13">
        <v>4.0</v>
      </c>
      <c r="V25" s="13">
        <v>4.0</v>
      </c>
      <c r="W25" s="13">
        <v>1.0</v>
      </c>
      <c r="X25" s="13">
        <v>1.0</v>
      </c>
      <c r="Y25" s="13">
        <v>1.0</v>
      </c>
      <c r="Z25" s="16">
        <v>1.0</v>
      </c>
      <c r="AA25" s="13">
        <v>3.0</v>
      </c>
      <c r="AB25" s="13">
        <v>5.0</v>
      </c>
      <c r="AC25" s="13">
        <v>1.0</v>
      </c>
      <c r="AD25" s="13">
        <v>3.0</v>
      </c>
      <c r="AE25" s="13">
        <v>3.0</v>
      </c>
      <c r="AF25" s="13">
        <v>4.0</v>
      </c>
      <c r="AG25" s="13">
        <v>1.0</v>
      </c>
      <c r="AH25" s="13">
        <v>1.0</v>
      </c>
      <c r="AI25" s="13">
        <v>1.0</v>
      </c>
      <c r="AJ25" s="13">
        <v>3.0</v>
      </c>
      <c r="AK25" s="13">
        <v>5.0</v>
      </c>
      <c r="AL25" s="13">
        <v>1.0</v>
      </c>
      <c r="AM25" s="13">
        <v>3.0</v>
      </c>
      <c r="AN25" s="13">
        <v>4.0</v>
      </c>
      <c r="AO25" s="13">
        <v>2.0</v>
      </c>
      <c r="AP25" s="13">
        <v>3.0</v>
      </c>
      <c r="AQ25" s="13">
        <v>1.0</v>
      </c>
      <c r="AR25" s="13">
        <v>5.0</v>
      </c>
      <c r="AS25" s="13">
        <v>3.0</v>
      </c>
      <c r="AT25" s="13">
        <v>4.0</v>
      </c>
      <c r="AU25" s="13">
        <v>3.0</v>
      </c>
      <c r="AV25" s="13">
        <v>2.0</v>
      </c>
      <c r="AW25" s="15">
        <f t="shared" si="1"/>
        <v>120</v>
      </c>
      <c r="AX25" s="17">
        <f t="shared" si="2"/>
        <v>-0.2468297682</v>
      </c>
    </row>
    <row r="26">
      <c r="A26" s="13" t="s">
        <v>105</v>
      </c>
      <c r="B26" s="13">
        <v>3.0</v>
      </c>
      <c r="C26" s="13">
        <v>3.0</v>
      </c>
      <c r="D26" s="13">
        <v>3.0</v>
      </c>
      <c r="E26" s="13">
        <v>4.0</v>
      </c>
      <c r="F26" s="13">
        <v>3.0</v>
      </c>
      <c r="G26" s="13">
        <v>4.0</v>
      </c>
      <c r="H26" s="13">
        <v>2.0</v>
      </c>
      <c r="I26" s="13">
        <v>2.0</v>
      </c>
      <c r="J26" s="13">
        <v>3.0</v>
      </c>
      <c r="K26" s="13">
        <v>2.0</v>
      </c>
      <c r="L26" s="13">
        <v>3.0</v>
      </c>
      <c r="M26" s="13">
        <v>3.0</v>
      </c>
      <c r="N26" s="13">
        <v>3.0</v>
      </c>
      <c r="O26" s="13">
        <v>5.0</v>
      </c>
      <c r="P26" s="13">
        <v>2.0</v>
      </c>
      <c r="Q26" s="13">
        <v>2.0</v>
      </c>
      <c r="R26" s="13">
        <v>2.0</v>
      </c>
      <c r="S26" s="13">
        <v>4.0</v>
      </c>
      <c r="T26" s="13">
        <v>2.0</v>
      </c>
      <c r="U26" s="13">
        <v>3.0</v>
      </c>
      <c r="V26" s="13">
        <v>4.0</v>
      </c>
      <c r="W26" s="13">
        <v>2.0</v>
      </c>
      <c r="X26" s="13">
        <v>2.0</v>
      </c>
      <c r="Y26" s="13">
        <v>2.0</v>
      </c>
      <c r="Z26" s="13">
        <v>1.0</v>
      </c>
      <c r="AA26" s="16">
        <v>1.0</v>
      </c>
      <c r="AB26" s="13">
        <v>3.0</v>
      </c>
      <c r="AC26" s="13">
        <v>2.0</v>
      </c>
      <c r="AD26" s="13">
        <v>4.0</v>
      </c>
      <c r="AE26" s="13">
        <v>4.0</v>
      </c>
      <c r="AF26" s="13">
        <v>3.0</v>
      </c>
      <c r="AG26" s="13">
        <v>3.0</v>
      </c>
      <c r="AH26" s="13">
        <v>3.0</v>
      </c>
      <c r="AI26" s="13">
        <v>4.0</v>
      </c>
      <c r="AJ26" s="13">
        <v>4.0</v>
      </c>
      <c r="AK26" s="13">
        <v>5.0</v>
      </c>
      <c r="AL26" s="13">
        <v>3.0</v>
      </c>
      <c r="AM26" s="13">
        <v>3.0</v>
      </c>
      <c r="AN26" s="13">
        <v>3.0</v>
      </c>
      <c r="AO26" s="13">
        <v>3.0</v>
      </c>
      <c r="AP26" s="13">
        <v>5.0</v>
      </c>
      <c r="AQ26" s="13">
        <v>2.0</v>
      </c>
      <c r="AR26" s="13">
        <v>4.0</v>
      </c>
      <c r="AS26" s="13">
        <v>2.0</v>
      </c>
      <c r="AT26" s="13">
        <v>4.0</v>
      </c>
      <c r="AU26" s="13">
        <v>4.0</v>
      </c>
      <c r="AV26" s="13">
        <v>4.0</v>
      </c>
      <c r="AW26" s="15">
        <f t="shared" si="1"/>
        <v>142</v>
      </c>
      <c r="AX26" s="17">
        <f t="shared" si="2"/>
        <v>-0.108748559</v>
      </c>
    </row>
    <row r="27">
      <c r="A27" s="13" t="s">
        <v>11</v>
      </c>
      <c r="B27" s="13">
        <v>4.0</v>
      </c>
      <c r="C27" s="13">
        <v>3.0</v>
      </c>
      <c r="D27" s="13">
        <v>5.0</v>
      </c>
      <c r="E27" s="13">
        <v>3.0</v>
      </c>
      <c r="F27" s="13">
        <v>3.0</v>
      </c>
      <c r="G27" s="13">
        <v>3.0</v>
      </c>
      <c r="H27" s="13">
        <v>4.0</v>
      </c>
      <c r="I27" s="13">
        <v>5.0</v>
      </c>
      <c r="J27" s="13">
        <v>5.0</v>
      </c>
      <c r="K27" s="13">
        <v>3.0</v>
      </c>
      <c r="L27" s="13">
        <v>3.0</v>
      </c>
      <c r="M27" s="13">
        <v>3.0</v>
      </c>
      <c r="N27" s="13">
        <v>3.0</v>
      </c>
      <c r="O27" s="13">
        <v>4.0</v>
      </c>
      <c r="P27" s="13">
        <v>3.0</v>
      </c>
      <c r="Q27" s="13">
        <v>4.0</v>
      </c>
      <c r="R27" s="13">
        <v>5.0</v>
      </c>
      <c r="S27" s="13">
        <v>3.0</v>
      </c>
      <c r="T27" s="13">
        <v>3.0</v>
      </c>
      <c r="U27" s="13">
        <v>5.0</v>
      </c>
      <c r="V27" s="13">
        <v>5.0</v>
      </c>
      <c r="W27" s="13">
        <v>3.0</v>
      </c>
      <c r="X27" s="13">
        <v>3.0</v>
      </c>
      <c r="Y27" s="13">
        <v>4.0</v>
      </c>
      <c r="Z27" s="13">
        <v>3.0</v>
      </c>
      <c r="AA27" s="13">
        <v>3.0</v>
      </c>
      <c r="AB27" s="16">
        <v>1.0</v>
      </c>
      <c r="AC27" s="13">
        <v>3.0</v>
      </c>
      <c r="AD27" s="13">
        <v>5.0</v>
      </c>
      <c r="AE27" s="13">
        <v>3.0</v>
      </c>
      <c r="AF27" s="13">
        <v>4.0</v>
      </c>
      <c r="AG27" s="13">
        <v>3.0</v>
      </c>
      <c r="AH27" s="13">
        <v>4.0</v>
      </c>
      <c r="AI27" s="13">
        <v>3.0</v>
      </c>
      <c r="AJ27" s="13">
        <v>4.0</v>
      </c>
      <c r="AK27" s="13">
        <v>4.0</v>
      </c>
      <c r="AL27" s="13">
        <v>4.0</v>
      </c>
      <c r="AM27" s="13">
        <v>4.0</v>
      </c>
      <c r="AN27" s="13">
        <v>5.0</v>
      </c>
      <c r="AO27" s="13">
        <v>3.0</v>
      </c>
      <c r="AP27" s="13">
        <v>4.0</v>
      </c>
      <c r="AQ27" s="13">
        <v>4.0</v>
      </c>
      <c r="AR27" s="13">
        <v>4.0</v>
      </c>
      <c r="AS27" s="13">
        <v>3.0</v>
      </c>
      <c r="AT27" s="13">
        <v>3.0</v>
      </c>
      <c r="AU27" s="13">
        <v>3.0</v>
      </c>
      <c r="AV27" s="13">
        <v>3.0</v>
      </c>
      <c r="AW27" s="15">
        <f t="shared" si="1"/>
        <v>169</v>
      </c>
      <c r="AX27" s="17">
        <f t="shared" si="2"/>
        <v>0.06071474318</v>
      </c>
    </row>
    <row r="28">
      <c r="A28" s="13" t="s">
        <v>89</v>
      </c>
      <c r="B28" s="13">
        <v>5.0</v>
      </c>
      <c r="C28" s="13">
        <v>4.0</v>
      </c>
      <c r="D28" s="13">
        <v>3.0</v>
      </c>
      <c r="E28" s="13">
        <v>3.0</v>
      </c>
      <c r="F28" s="13">
        <v>5.0</v>
      </c>
      <c r="G28" s="13">
        <v>5.0</v>
      </c>
      <c r="H28" s="13">
        <v>3.0</v>
      </c>
      <c r="I28" s="13">
        <v>5.0</v>
      </c>
      <c r="J28" s="13">
        <v>5.0</v>
      </c>
      <c r="K28" s="13">
        <v>3.0</v>
      </c>
      <c r="L28" s="13">
        <v>3.0</v>
      </c>
      <c r="M28" s="13">
        <v>4.0</v>
      </c>
      <c r="N28" s="13">
        <v>4.0</v>
      </c>
      <c r="O28" s="13">
        <v>5.0</v>
      </c>
      <c r="P28" s="13">
        <v>5.0</v>
      </c>
      <c r="Q28" s="13">
        <v>4.0</v>
      </c>
      <c r="R28" s="13">
        <v>5.0</v>
      </c>
      <c r="S28" s="13">
        <v>5.0</v>
      </c>
      <c r="T28" s="13">
        <v>4.0</v>
      </c>
      <c r="U28" s="13">
        <v>5.0</v>
      </c>
      <c r="V28" s="13">
        <v>3.0</v>
      </c>
      <c r="W28" s="13">
        <v>5.0</v>
      </c>
      <c r="X28" s="13">
        <v>3.0</v>
      </c>
      <c r="Y28" s="13">
        <v>3.0</v>
      </c>
      <c r="Z28" s="13">
        <v>3.0</v>
      </c>
      <c r="AA28" s="13">
        <v>4.0</v>
      </c>
      <c r="AB28" s="13">
        <v>4.0</v>
      </c>
      <c r="AC28" s="16">
        <v>1.0</v>
      </c>
      <c r="AD28" s="13">
        <v>5.0</v>
      </c>
      <c r="AE28" s="13">
        <v>5.0</v>
      </c>
      <c r="AF28" s="13">
        <v>3.0</v>
      </c>
      <c r="AG28" s="13">
        <v>5.0</v>
      </c>
      <c r="AH28" s="13">
        <v>5.0</v>
      </c>
      <c r="AI28" s="13">
        <v>3.0</v>
      </c>
      <c r="AJ28" s="13">
        <v>4.0</v>
      </c>
      <c r="AK28" s="13">
        <v>5.0</v>
      </c>
      <c r="AL28" s="13">
        <v>3.0</v>
      </c>
      <c r="AM28" s="13">
        <v>3.0</v>
      </c>
      <c r="AN28" s="13">
        <v>5.0</v>
      </c>
      <c r="AO28" s="13">
        <v>4.0</v>
      </c>
      <c r="AP28" s="13">
        <v>4.0</v>
      </c>
      <c r="AQ28" s="13">
        <v>5.0</v>
      </c>
      <c r="AR28" s="13">
        <v>5.0</v>
      </c>
      <c r="AS28" s="13">
        <v>4.0</v>
      </c>
      <c r="AT28" s="13">
        <v>4.0</v>
      </c>
      <c r="AU28" s="13">
        <v>5.0</v>
      </c>
      <c r="AV28" s="13">
        <v>4.0</v>
      </c>
      <c r="AW28" s="15">
        <f t="shared" si="1"/>
        <v>192</v>
      </c>
      <c r="AX28" s="17">
        <f t="shared" si="2"/>
        <v>0.2050723709</v>
      </c>
    </row>
    <row r="29">
      <c r="A29" s="13" t="s">
        <v>7</v>
      </c>
      <c r="B29" s="13">
        <v>4.0</v>
      </c>
      <c r="C29" s="13">
        <v>3.0</v>
      </c>
      <c r="D29" s="13">
        <v>4.0</v>
      </c>
      <c r="E29" s="13">
        <v>3.0</v>
      </c>
      <c r="F29" s="13">
        <v>4.0</v>
      </c>
      <c r="G29" s="13">
        <v>4.0</v>
      </c>
      <c r="H29" s="13">
        <v>3.0</v>
      </c>
      <c r="I29" s="13">
        <v>4.0</v>
      </c>
      <c r="J29" s="13">
        <v>5.0</v>
      </c>
      <c r="K29" s="13">
        <v>3.0</v>
      </c>
      <c r="L29" s="13">
        <v>3.0</v>
      </c>
      <c r="M29" s="13">
        <v>3.0</v>
      </c>
      <c r="N29" s="13">
        <v>3.0</v>
      </c>
      <c r="O29" s="13">
        <v>4.0</v>
      </c>
      <c r="P29" s="13">
        <v>4.0</v>
      </c>
      <c r="Q29" s="13">
        <v>4.0</v>
      </c>
      <c r="R29" s="13">
        <v>4.0</v>
      </c>
      <c r="S29" s="13">
        <v>4.0</v>
      </c>
      <c r="T29" s="13">
        <v>4.0</v>
      </c>
      <c r="U29" s="13">
        <v>5.0</v>
      </c>
      <c r="V29" s="13">
        <v>5.0</v>
      </c>
      <c r="W29" s="13">
        <v>4.0</v>
      </c>
      <c r="X29" s="13">
        <v>3.0</v>
      </c>
      <c r="Y29" s="13">
        <v>4.0</v>
      </c>
      <c r="Z29" s="13">
        <v>4.0</v>
      </c>
      <c r="AA29" s="13">
        <v>5.0</v>
      </c>
      <c r="AB29" s="13">
        <v>5.0</v>
      </c>
      <c r="AC29" s="13">
        <v>4.0</v>
      </c>
      <c r="AD29" s="16">
        <v>1.0</v>
      </c>
      <c r="AE29" s="13">
        <v>4.0</v>
      </c>
      <c r="AF29" s="13">
        <v>4.0</v>
      </c>
      <c r="AG29" s="13">
        <v>4.0</v>
      </c>
      <c r="AH29" s="13">
        <v>4.0</v>
      </c>
      <c r="AI29" s="13">
        <v>3.0</v>
      </c>
      <c r="AJ29" s="13">
        <v>4.0</v>
      </c>
      <c r="AK29" s="13">
        <v>5.0</v>
      </c>
      <c r="AL29" s="13">
        <v>3.0</v>
      </c>
      <c r="AM29" s="13">
        <v>4.0</v>
      </c>
      <c r="AN29" s="13">
        <v>4.0</v>
      </c>
      <c r="AO29" s="13">
        <v>3.0</v>
      </c>
      <c r="AP29" s="13">
        <v>4.0</v>
      </c>
      <c r="AQ29" s="13">
        <v>4.0</v>
      </c>
      <c r="AR29" s="13">
        <v>4.0</v>
      </c>
      <c r="AS29" s="13">
        <v>5.0</v>
      </c>
      <c r="AT29" s="13">
        <v>4.0</v>
      </c>
      <c r="AU29" s="13">
        <v>4.0</v>
      </c>
      <c r="AV29" s="13">
        <v>5.0</v>
      </c>
      <c r="AW29" s="15">
        <f t="shared" si="1"/>
        <v>182</v>
      </c>
      <c r="AX29" s="17">
        <f t="shared" si="2"/>
        <v>0.142308185</v>
      </c>
    </row>
    <row r="30">
      <c r="A30" s="13" t="s">
        <v>59</v>
      </c>
      <c r="B30" s="13">
        <v>5.0</v>
      </c>
      <c r="C30" s="13">
        <v>3.0</v>
      </c>
      <c r="D30" s="13">
        <v>3.0</v>
      </c>
      <c r="E30" s="13">
        <v>4.0</v>
      </c>
      <c r="F30" s="13">
        <v>4.0</v>
      </c>
      <c r="G30" s="13">
        <v>4.0</v>
      </c>
      <c r="H30" s="13">
        <v>3.0</v>
      </c>
      <c r="I30" s="13">
        <v>4.0</v>
      </c>
      <c r="J30" s="13">
        <v>5.0</v>
      </c>
      <c r="K30" s="13">
        <v>3.0</v>
      </c>
      <c r="L30" s="13">
        <v>4.0</v>
      </c>
      <c r="M30" s="13">
        <v>3.0</v>
      </c>
      <c r="N30" s="13">
        <v>4.0</v>
      </c>
      <c r="O30" s="13">
        <v>3.0</v>
      </c>
      <c r="P30" s="13">
        <v>4.0</v>
      </c>
      <c r="Q30" s="13">
        <v>3.0</v>
      </c>
      <c r="R30" s="13">
        <v>4.0</v>
      </c>
      <c r="S30" s="13">
        <v>4.0</v>
      </c>
      <c r="T30" s="13">
        <v>4.0</v>
      </c>
      <c r="U30" s="13">
        <v>3.0</v>
      </c>
      <c r="V30" s="13">
        <v>4.0</v>
      </c>
      <c r="W30" s="13">
        <v>5.0</v>
      </c>
      <c r="X30" s="13">
        <v>2.0</v>
      </c>
      <c r="Y30" s="13">
        <v>4.0</v>
      </c>
      <c r="Z30" s="13">
        <v>5.0</v>
      </c>
      <c r="AA30" s="13">
        <v>4.0</v>
      </c>
      <c r="AB30" s="13">
        <v>3.0</v>
      </c>
      <c r="AC30" s="13">
        <v>3.0</v>
      </c>
      <c r="AD30" s="13">
        <v>5.0</v>
      </c>
      <c r="AE30" s="16">
        <v>1.0</v>
      </c>
      <c r="AF30" s="13">
        <v>4.0</v>
      </c>
      <c r="AG30" s="13">
        <v>3.0</v>
      </c>
      <c r="AH30" s="13">
        <v>3.0</v>
      </c>
      <c r="AI30" s="13">
        <v>2.0</v>
      </c>
      <c r="AJ30" s="13">
        <v>3.0</v>
      </c>
      <c r="AK30" s="13">
        <v>4.0</v>
      </c>
      <c r="AL30" s="13">
        <v>3.0</v>
      </c>
      <c r="AM30" s="13">
        <v>3.0</v>
      </c>
      <c r="AN30" s="13">
        <v>4.0</v>
      </c>
      <c r="AO30" s="13">
        <v>2.0</v>
      </c>
      <c r="AP30" s="13">
        <v>4.0</v>
      </c>
      <c r="AQ30" s="13">
        <v>4.0</v>
      </c>
      <c r="AR30" s="13">
        <v>3.0</v>
      </c>
      <c r="AS30" s="13">
        <v>4.0</v>
      </c>
      <c r="AT30" s="13">
        <v>3.0</v>
      </c>
      <c r="AU30" s="13">
        <v>5.0</v>
      </c>
      <c r="AV30" s="13">
        <v>3.0</v>
      </c>
      <c r="AW30" s="15">
        <f t="shared" si="1"/>
        <v>167</v>
      </c>
      <c r="AX30" s="17">
        <f t="shared" si="2"/>
        <v>0.04816190598</v>
      </c>
    </row>
    <row r="31">
      <c r="A31" s="13" t="s">
        <v>31</v>
      </c>
      <c r="B31" s="13">
        <v>3.0</v>
      </c>
      <c r="C31" s="13">
        <v>2.0</v>
      </c>
      <c r="D31" s="13">
        <v>2.0</v>
      </c>
      <c r="E31" s="13">
        <v>1.0</v>
      </c>
      <c r="F31" s="13">
        <v>2.0</v>
      </c>
      <c r="G31" s="13">
        <v>1.0</v>
      </c>
      <c r="H31" s="13">
        <v>1.0</v>
      </c>
      <c r="I31" s="13">
        <v>3.0</v>
      </c>
      <c r="J31" s="13">
        <v>5.0</v>
      </c>
      <c r="K31" s="13">
        <v>1.0</v>
      </c>
      <c r="L31" s="13">
        <v>2.0</v>
      </c>
      <c r="M31" s="13">
        <v>3.0</v>
      </c>
      <c r="N31" s="13">
        <v>3.0</v>
      </c>
      <c r="O31" s="13">
        <v>3.0</v>
      </c>
      <c r="P31" s="13">
        <v>1.0</v>
      </c>
      <c r="Q31" s="13">
        <v>2.0</v>
      </c>
      <c r="R31" s="13">
        <v>4.0</v>
      </c>
      <c r="S31" s="13">
        <v>3.0</v>
      </c>
      <c r="T31" s="13">
        <v>3.0</v>
      </c>
      <c r="U31" s="13">
        <v>3.0</v>
      </c>
      <c r="V31" s="13">
        <v>2.0</v>
      </c>
      <c r="W31" s="13">
        <v>2.0</v>
      </c>
      <c r="X31" s="13">
        <v>1.0</v>
      </c>
      <c r="Y31" s="13">
        <v>3.0</v>
      </c>
      <c r="Z31" s="13">
        <v>2.0</v>
      </c>
      <c r="AA31" s="13">
        <v>2.0</v>
      </c>
      <c r="AB31" s="13">
        <v>5.0</v>
      </c>
      <c r="AC31" s="13">
        <v>1.0</v>
      </c>
      <c r="AD31" s="13">
        <v>4.0</v>
      </c>
      <c r="AE31" s="13">
        <v>2.0</v>
      </c>
      <c r="AF31" s="16">
        <v>1.0</v>
      </c>
      <c r="AG31" s="13">
        <v>2.0</v>
      </c>
      <c r="AH31" s="13">
        <v>3.0</v>
      </c>
      <c r="AI31" s="13">
        <v>2.0</v>
      </c>
      <c r="AJ31" s="13">
        <v>4.0</v>
      </c>
      <c r="AK31" s="13">
        <v>5.0</v>
      </c>
      <c r="AL31" s="13">
        <v>2.0</v>
      </c>
      <c r="AM31" s="13">
        <v>2.0</v>
      </c>
      <c r="AN31" s="13">
        <v>2.0</v>
      </c>
      <c r="AO31" s="13">
        <v>1.0</v>
      </c>
      <c r="AP31" s="13">
        <v>2.0</v>
      </c>
      <c r="AQ31" s="13">
        <v>4.0</v>
      </c>
      <c r="AR31" s="13">
        <v>3.0</v>
      </c>
      <c r="AS31" s="13">
        <v>2.0</v>
      </c>
      <c r="AT31" s="13">
        <v>3.0</v>
      </c>
      <c r="AU31" s="13">
        <v>3.0</v>
      </c>
      <c r="AV31" s="13">
        <v>2.0</v>
      </c>
      <c r="AW31" s="15">
        <f t="shared" si="1"/>
        <v>115</v>
      </c>
      <c r="AX31" s="17">
        <f t="shared" si="2"/>
        <v>-0.2782118612</v>
      </c>
    </row>
    <row r="32">
      <c r="A32" s="13" t="s">
        <v>47</v>
      </c>
      <c r="B32" s="13">
        <v>4.0</v>
      </c>
      <c r="C32" s="13">
        <v>3.0</v>
      </c>
      <c r="D32" s="13">
        <v>3.0</v>
      </c>
      <c r="E32" s="13">
        <v>3.0</v>
      </c>
      <c r="F32" s="13">
        <v>4.0</v>
      </c>
      <c r="G32" s="13">
        <v>4.0</v>
      </c>
      <c r="H32" s="13">
        <v>3.0</v>
      </c>
      <c r="I32" s="13">
        <v>3.0</v>
      </c>
      <c r="J32" s="13">
        <v>4.0</v>
      </c>
      <c r="K32" s="13">
        <v>3.0</v>
      </c>
      <c r="L32" s="13">
        <v>3.0</v>
      </c>
      <c r="M32" s="13">
        <v>3.0</v>
      </c>
      <c r="N32" s="13">
        <v>4.0</v>
      </c>
      <c r="O32" s="13">
        <v>4.0</v>
      </c>
      <c r="P32" s="13">
        <v>4.0</v>
      </c>
      <c r="Q32" s="13">
        <v>4.0</v>
      </c>
      <c r="R32" s="13">
        <v>4.0</v>
      </c>
      <c r="S32" s="13">
        <v>4.0</v>
      </c>
      <c r="T32" s="13">
        <v>5.0</v>
      </c>
      <c r="U32" s="13">
        <v>3.0</v>
      </c>
      <c r="V32" s="13">
        <v>3.0</v>
      </c>
      <c r="W32" s="13">
        <v>3.0</v>
      </c>
      <c r="X32" s="13">
        <v>2.0</v>
      </c>
      <c r="Y32" s="13">
        <v>3.0</v>
      </c>
      <c r="Z32" s="13">
        <v>3.0</v>
      </c>
      <c r="AA32" s="13">
        <v>5.0</v>
      </c>
      <c r="AB32" s="13">
        <v>4.0</v>
      </c>
      <c r="AC32" s="13">
        <v>3.0</v>
      </c>
      <c r="AD32" s="13">
        <v>5.0</v>
      </c>
      <c r="AE32" s="13">
        <v>3.0</v>
      </c>
      <c r="AF32" s="13">
        <v>3.0</v>
      </c>
      <c r="AG32" s="16">
        <v>1.0</v>
      </c>
      <c r="AH32" s="13">
        <v>4.0</v>
      </c>
      <c r="AI32" s="13">
        <v>3.0</v>
      </c>
      <c r="AJ32" s="13">
        <v>4.0</v>
      </c>
      <c r="AK32" s="13">
        <v>5.0</v>
      </c>
      <c r="AL32" s="13">
        <v>3.0</v>
      </c>
      <c r="AM32" s="13">
        <v>3.0</v>
      </c>
      <c r="AN32" s="13">
        <v>3.0</v>
      </c>
      <c r="AO32" s="13">
        <v>3.0</v>
      </c>
      <c r="AP32" s="13">
        <v>3.0</v>
      </c>
      <c r="AQ32" s="13">
        <v>5.0</v>
      </c>
      <c r="AR32" s="13">
        <v>4.0</v>
      </c>
      <c r="AS32" s="13">
        <v>4.0</v>
      </c>
      <c r="AT32" s="13">
        <v>3.0</v>
      </c>
      <c r="AU32" s="13">
        <v>5.0</v>
      </c>
      <c r="AV32" s="13">
        <v>4.0</v>
      </c>
      <c r="AW32" s="15">
        <f t="shared" si="1"/>
        <v>166</v>
      </c>
      <c r="AX32" s="17">
        <f t="shared" si="2"/>
        <v>0.04188548738</v>
      </c>
    </row>
    <row r="33">
      <c r="A33" s="13" t="s">
        <v>106</v>
      </c>
      <c r="B33" s="13">
        <v>4.0</v>
      </c>
      <c r="C33" s="13">
        <v>2.0</v>
      </c>
      <c r="D33" s="13">
        <v>3.0</v>
      </c>
      <c r="E33" s="13">
        <v>3.0</v>
      </c>
      <c r="F33" s="13">
        <v>3.0</v>
      </c>
      <c r="G33" s="13">
        <v>3.0</v>
      </c>
      <c r="H33" s="13">
        <v>3.0</v>
      </c>
      <c r="I33" s="13">
        <v>4.0</v>
      </c>
      <c r="J33" s="13">
        <v>5.0</v>
      </c>
      <c r="K33" s="13">
        <v>2.0</v>
      </c>
      <c r="L33" s="13">
        <v>3.0</v>
      </c>
      <c r="M33" s="13">
        <v>3.0</v>
      </c>
      <c r="N33" s="13">
        <v>3.0</v>
      </c>
      <c r="O33" s="13">
        <v>4.0</v>
      </c>
      <c r="P33" s="13">
        <v>2.0</v>
      </c>
      <c r="Q33" s="13">
        <v>2.0</v>
      </c>
      <c r="R33" s="13">
        <v>4.0</v>
      </c>
      <c r="S33" s="13">
        <v>4.0</v>
      </c>
      <c r="T33" s="13">
        <v>4.0</v>
      </c>
      <c r="U33" s="13">
        <v>4.0</v>
      </c>
      <c r="V33" s="13">
        <v>4.0</v>
      </c>
      <c r="W33" s="13">
        <v>2.0</v>
      </c>
      <c r="X33" s="13">
        <v>2.0</v>
      </c>
      <c r="Y33" s="13">
        <v>3.0</v>
      </c>
      <c r="Z33" s="13">
        <v>2.0</v>
      </c>
      <c r="AA33" s="13">
        <v>2.0</v>
      </c>
      <c r="AB33" s="13">
        <v>5.0</v>
      </c>
      <c r="AC33" s="13">
        <v>2.0</v>
      </c>
      <c r="AD33" s="13">
        <v>5.0</v>
      </c>
      <c r="AE33" s="13">
        <v>3.0</v>
      </c>
      <c r="AF33" s="13">
        <v>3.0</v>
      </c>
      <c r="AG33" s="13">
        <v>3.0</v>
      </c>
      <c r="AH33" s="16">
        <v>1.0</v>
      </c>
      <c r="AI33" s="13">
        <v>3.0</v>
      </c>
      <c r="AJ33" s="13">
        <v>4.0</v>
      </c>
      <c r="AK33" s="13">
        <v>5.0</v>
      </c>
      <c r="AL33" s="13">
        <v>3.0</v>
      </c>
      <c r="AM33" s="13">
        <v>3.0</v>
      </c>
      <c r="AN33" s="13">
        <v>4.0</v>
      </c>
      <c r="AO33" s="13">
        <v>3.0</v>
      </c>
      <c r="AP33" s="13">
        <v>3.0</v>
      </c>
      <c r="AQ33" s="13">
        <v>4.0</v>
      </c>
      <c r="AR33" s="13">
        <v>3.0</v>
      </c>
      <c r="AS33" s="13">
        <v>4.0</v>
      </c>
      <c r="AT33" s="13">
        <v>3.0</v>
      </c>
      <c r="AU33" s="13">
        <v>4.0</v>
      </c>
      <c r="AV33" s="13">
        <v>3.0</v>
      </c>
      <c r="AW33" s="15">
        <f t="shared" si="1"/>
        <v>151</v>
      </c>
      <c r="AX33" s="17">
        <f t="shared" si="2"/>
        <v>-0.0522607916</v>
      </c>
    </row>
    <row r="34">
      <c r="A34" s="13" t="s">
        <v>91</v>
      </c>
      <c r="B34" s="13">
        <v>3.0</v>
      </c>
      <c r="C34" s="13">
        <v>2.0</v>
      </c>
      <c r="D34" s="13">
        <v>3.0</v>
      </c>
      <c r="E34" s="13">
        <v>2.0</v>
      </c>
      <c r="F34" s="13">
        <v>3.0</v>
      </c>
      <c r="G34" s="13">
        <v>3.0</v>
      </c>
      <c r="H34" s="13">
        <v>2.0</v>
      </c>
      <c r="I34" s="13">
        <v>3.0</v>
      </c>
      <c r="J34" s="13">
        <v>2.0</v>
      </c>
      <c r="K34" s="13">
        <v>2.0</v>
      </c>
      <c r="L34" s="13">
        <v>3.0</v>
      </c>
      <c r="M34" s="13">
        <v>3.0</v>
      </c>
      <c r="N34" s="13">
        <v>3.0</v>
      </c>
      <c r="O34" s="13">
        <v>2.0</v>
      </c>
      <c r="P34" s="13">
        <v>2.0</v>
      </c>
      <c r="Q34" s="13">
        <v>3.0</v>
      </c>
      <c r="R34" s="13">
        <v>3.0</v>
      </c>
      <c r="S34" s="13">
        <v>2.0</v>
      </c>
      <c r="T34" s="13">
        <v>1.0</v>
      </c>
      <c r="U34" s="13">
        <v>4.0</v>
      </c>
      <c r="V34" s="13">
        <v>2.0</v>
      </c>
      <c r="W34" s="13">
        <v>3.0</v>
      </c>
      <c r="X34" s="13">
        <v>2.0</v>
      </c>
      <c r="Y34" s="13">
        <v>2.0</v>
      </c>
      <c r="Z34" s="13">
        <v>2.0</v>
      </c>
      <c r="AA34" s="13">
        <v>2.0</v>
      </c>
      <c r="AB34" s="13">
        <v>4.0</v>
      </c>
      <c r="AC34" s="13">
        <v>2.0</v>
      </c>
      <c r="AD34" s="13">
        <v>3.0</v>
      </c>
      <c r="AE34" s="13">
        <v>3.0</v>
      </c>
      <c r="AF34" s="13">
        <v>4.0</v>
      </c>
      <c r="AG34" s="13">
        <v>2.0</v>
      </c>
      <c r="AH34" s="13">
        <v>4.0</v>
      </c>
      <c r="AI34" s="16">
        <v>1.0</v>
      </c>
      <c r="AJ34" s="13">
        <v>2.0</v>
      </c>
      <c r="AK34" s="13">
        <v>3.0</v>
      </c>
      <c r="AL34" s="13">
        <v>3.0</v>
      </c>
      <c r="AM34" s="13">
        <v>3.0</v>
      </c>
      <c r="AN34" s="13">
        <v>5.0</v>
      </c>
      <c r="AO34" s="13">
        <v>2.0</v>
      </c>
      <c r="AP34" s="13">
        <v>4.0</v>
      </c>
      <c r="AQ34" s="13">
        <v>3.0</v>
      </c>
      <c r="AR34" s="13">
        <v>3.0</v>
      </c>
      <c r="AS34" s="13">
        <v>2.0</v>
      </c>
      <c r="AT34" s="13">
        <v>2.0</v>
      </c>
      <c r="AU34" s="13">
        <v>3.0</v>
      </c>
      <c r="AV34" s="13">
        <v>2.0</v>
      </c>
      <c r="AW34" s="15">
        <f t="shared" si="1"/>
        <v>124</v>
      </c>
      <c r="AX34" s="17">
        <f t="shared" si="2"/>
        <v>-0.2217240938</v>
      </c>
    </row>
    <row r="35">
      <c r="A35" s="13" t="s">
        <v>51</v>
      </c>
      <c r="B35" s="13">
        <v>3.0</v>
      </c>
      <c r="C35" s="13">
        <v>3.0</v>
      </c>
      <c r="D35" s="13">
        <v>3.0</v>
      </c>
      <c r="E35" s="13">
        <v>3.0</v>
      </c>
      <c r="F35" s="13">
        <v>4.0</v>
      </c>
      <c r="G35" s="13">
        <v>4.0</v>
      </c>
      <c r="H35" s="13">
        <v>3.0</v>
      </c>
      <c r="I35" s="13">
        <v>5.0</v>
      </c>
      <c r="J35" s="13">
        <v>4.0</v>
      </c>
      <c r="K35" s="13">
        <v>3.0</v>
      </c>
      <c r="L35" s="13">
        <v>3.0</v>
      </c>
      <c r="M35" s="13">
        <v>3.0</v>
      </c>
      <c r="N35" s="13">
        <v>4.0</v>
      </c>
      <c r="O35" s="13">
        <v>4.0</v>
      </c>
      <c r="P35" s="13">
        <v>4.0</v>
      </c>
      <c r="Q35" s="13">
        <v>4.0</v>
      </c>
      <c r="R35" s="13">
        <v>5.0</v>
      </c>
      <c r="S35" s="13">
        <v>5.0</v>
      </c>
      <c r="T35" s="13">
        <v>3.0</v>
      </c>
      <c r="U35" s="13">
        <v>5.0</v>
      </c>
      <c r="V35" s="13">
        <v>4.0</v>
      </c>
      <c r="W35" s="13">
        <v>4.0</v>
      </c>
      <c r="X35" s="13">
        <v>3.0</v>
      </c>
      <c r="Y35" s="13">
        <v>4.0</v>
      </c>
      <c r="Z35" s="13">
        <v>4.0</v>
      </c>
      <c r="AA35" s="13">
        <v>5.0</v>
      </c>
      <c r="AB35" s="13">
        <v>5.0</v>
      </c>
      <c r="AC35" s="13">
        <v>3.0</v>
      </c>
      <c r="AD35" s="13">
        <v>5.0</v>
      </c>
      <c r="AE35" s="13">
        <v>4.0</v>
      </c>
      <c r="AF35" s="13">
        <v>4.0</v>
      </c>
      <c r="AG35" s="13">
        <v>4.0</v>
      </c>
      <c r="AH35" s="13">
        <v>5.0</v>
      </c>
      <c r="AI35" s="13">
        <v>3.0</v>
      </c>
      <c r="AJ35" s="16">
        <v>1.0</v>
      </c>
      <c r="AK35" s="13">
        <v>5.0</v>
      </c>
      <c r="AL35" s="13">
        <v>3.0</v>
      </c>
      <c r="AM35" s="13">
        <v>4.0</v>
      </c>
      <c r="AN35" s="13">
        <v>5.0</v>
      </c>
      <c r="AO35" s="13">
        <v>3.0</v>
      </c>
      <c r="AP35" s="13">
        <v>4.0</v>
      </c>
      <c r="AQ35" s="13">
        <v>4.0</v>
      </c>
      <c r="AR35" s="13">
        <v>4.0</v>
      </c>
      <c r="AS35" s="13">
        <v>4.0</v>
      </c>
      <c r="AT35" s="13">
        <v>4.0</v>
      </c>
      <c r="AU35" s="13">
        <v>4.0</v>
      </c>
      <c r="AV35" s="13">
        <v>4.0</v>
      </c>
      <c r="AW35" s="15">
        <f t="shared" si="1"/>
        <v>181</v>
      </c>
      <c r="AX35" s="17">
        <f t="shared" si="2"/>
        <v>0.1360317664</v>
      </c>
    </row>
    <row r="36">
      <c r="A36" s="13" t="s">
        <v>5</v>
      </c>
      <c r="B36" s="13">
        <v>3.0</v>
      </c>
      <c r="C36" s="13">
        <v>2.0</v>
      </c>
      <c r="D36" s="13">
        <v>3.0</v>
      </c>
      <c r="E36" s="13">
        <v>2.0</v>
      </c>
      <c r="F36" s="13">
        <v>4.0</v>
      </c>
      <c r="G36" s="13">
        <v>3.0</v>
      </c>
      <c r="H36" s="13">
        <v>3.0</v>
      </c>
      <c r="I36" s="13">
        <v>3.0</v>
      </c>
      <c r="J36" s="13">
        <v>5.0</v>
      </c>
      <c r="K36" s="13">
        <v>3.0</v>
      </c>
      <c r="L36" s="13">
        <v>3.0</v>
      </c>
      <c r="M36" s="13">
        <v>3.0</v>
      </c>
      <c r="N36" s="13">
        <v>2.0</v>
      </c>
      <c r="O36" s="13">
        <v>4.0</v>
      </c>
      <c r="P36" s="13">
        <v>4.0</v>
      </c>
      <c r="Q36" s="13">
        <v>3.0</v>
      </c>
      <c r="R36" s="13">
        <v>4.0</v>
      </c>
      <c r="S36" s="13">
        <v>4.0</v>
      </c>
      <c r="T36" s="13">
        <v>3.0</v>
      </c>
      <c r="U36" s="13">
        <v>5.0</v>
      </c>
      <c r="V36" s="13">
        <v>5.0</v>
      </c>
      <c r="W36" s="13">
        <v>3.0</v>
      </c>
      <c r="X36" s="13">
        <v>2.0</v>
      </c>
      <c r="Y36" s="13">
        <v>3.0</v>
      </c>
      <c r="Z36" s="13">
        <v>3.0</v>
      </c>
      <c r="AA36" s="13">
        <v>5.0</v>
      </c>
      <c r="AB36" s="13">
        <v>5.0</v>
      </c>
      <c r="AC36" s="13">
        <v>2.0</v>
      </c>
      <c r="AD36" s="13">
        <v>5.0</v>
      </c>
      <c r="AE36" s="13">
        <v>3.0</v>
      </c>
      <c r="AF36" s="13">
        <v>4.0</v>
      </c>
      <c r="AG36" s="13">
        <v>4.0</v>
      </c>
      <c r="AH36" s="13">
        <v>5.0</v>
      </c>
      <c r="AI36" s="13">
        <v>3.0</v>
      </c>
      <c r="AJ36" s="13">
        <v>3.0</v>
      </c>
      <c r="AK36" s="16">
        <v>1.0</v>
      </c>
      <c r="AL36" s="13">
        <v>3.0</v>
      </c>
      <c r="AM36" s="13">
        <v>3.0</v>
      </c>
      <c r="AN36" s="13">
        <v>5.0</v>
      </c>
      <c r="AO36" s="13">
        <v>3.0</v>
      </c>
      <c r="AP36" s="13">
        <v>4.0</v>
      </c>
      <c r="AQ36" s="13">
        <v>4.0</v>
      </c>
      <c r="AR36" s="13">
        <v>5.0</v>
      </c>
      <c r="AS36" s="13">
        <v>4.0</v>
      </c>
      <c r="AT36" s="13">
        <v>3.0</v>
      </c>
      <c r="AU36" s="13">
        <v>3.0</v>
      </c>
      <c r="AV36" s="13">
        <v>4.0</v>
      </c>
      <c r="AW36" s="15">
        <f t="shared" si="1"/>
        <v>163</v>
      </c>
      <c r="AX36" s="17">
        <f t="shared" si="2"/>
        <v>0.02305623159</v>
      </c>
    </row>
    <row r="37">
      <c r="A37" s="13" t="s">
        <v>107</v>
      </c>
      <c r="B37" s="13">
        <v>2.0</v>
      </c>
      <c r="C37" s="13">
        <v>2.0</v>
      </c>
      <c r="D37" s="13">
        <v>4.0</v>
      </c>
      <c r="E37" s="13">
        <v>2.0</v>
      </c>
      <c r="F37" s="13">
        <v>4.0</v>
      </c>
      <c r="G37" s="13">
        <v>3.0</v>
      </c>
      <c r="H37" s="13">
        <v>2.0</v>
      </c>
      <c r="I37" s="13">
        <v>4.0</v>
      </c>
      <c r="J37" s="13">
        <v>5.0</v>
      </c>
      <c r="K37" s="13">
        <v>2.0</v>
      </c>
      <c r="L37" s="13">
        <v>4.0</v>
      </c>
      <c r="M37" s="13">
        <v>5.0</v>
      </c>
      <c r="N37" s="13">
        <v>4.0</v>
      </c>
      <c r="O37" s="13">
        <v>4.0</v>
      </c>
      <c r="P37" s="13">
        <v>2.0</v>
      </c>
      <c r="Q37" s="13">
        <v>4.0</v>
      </c>
      <c r="R37" s="13">
        <v>5.0</v>
      </c>
      <c r="S37" s="13">
        <v>3.0</v>
      </c>
      <c r="T37" s="13">
        <v>3.0</v>
      </c>
      <c r="U37" s="13">
        <v>4.0</v>
      </c>
      <c r="V37" s="13">
        <v>3.0</v>
      </c>
      <c r="W37" s="13">
        <v>3.0</v>
      </c>
      <c r="X37" s="13">
        <v>2.0</v>
      </c>
      <c r="Y37" s="13">
        <v>3.0</v>
      </c>
      <c r="Z37" s="13">
        <v>2.0</v>
      </c>
      <c r="AA37" s="13">
        <v>2.0</v>
      </c>
      <c r="AB37" s="13">
        <v>5.0</v>
      </c>
      <c r="AC37" s="13">
        <v>2.0</v>
      </c>
      <c r="AD37" s="13">
        <v>3.0</v>
      </c>
      <c r="AE37" s="13">
        <v>4.0</v>
      </c>
      <c r="AF37" s="13">
        <v>5.0</v>
      </c>
      <c r="AG37" s="13">
        <v>4.0</v>
      </c>
      <c r="AH37" s="13">
        <v>5.0</v>
      </c>
      <c r="AI37" s="13">
        <v>3.0</v>
      </c>
      <c r="AJ37" s="13">
        <v>5.0</v>
      </c>
      <c r="AK37" s="13">
        <v>4.0</v>
      </c>
      <c r="AL37" s="16">
        <v>1.0</v>
      </c>
      <c r="AM37" s="13">
        <v>3.0</v>
      </c>
      <c r="AN37" s="13">
        <v>5.0</v>
      </c>
      <c r="AO37" s="13">
        <v>3.0</v>
      </c>
      <c r="AP37" s="13">
        <v>5.0</v>
      </c>
      <c r="AQ37" s="13">
        <v>5.0</v>
      </c>
      <c r="AR37" s="13">
        <v>4.0</v>
      </c>
      <c r="AS37" s="13">
        <v>4.0</v>
      </c>
      <c r="AT37" s="13">
        <v>3.0</v>
      </c>
      <c r="AU37" s="13">
        <v>3.0</v>
      </c>
      <c r="AV37" s="13">
        <v>2.0</v>
      </c>
      <c r="AW37" s="15">
        <f t="shared" si="1"/>
        <v>161</v>
      </c>
      <c r="AX37" s="17">
        <f t="shared" si="2"/>
        <v>0.01050339439</v>
      </c>
    </row>
    <row r="38">
      <c r="A38" s="13" t="s">
        <v>108</v>
      </c>
      <c r="B38" s="13">
        <v>3.0</v>
      </c>
      <c r="C38" s="13">
        <v>3.0</v>
      </c>
      <c r="D38" s="13">
        <v>4.0</v>
      </c>
      <c r="E38" s="13">
        <v>3.0</v>
      </c>
      <c r="F38" s="13">
        <v>4.0</v>
      </c>
      <c r="G38" s="13">
        <v>4.0</v>
      </c>
      <c r="H38" s="13">
        <v>3.0</v>
      </c>
      <c r="I38" s="13">
        <v>3.0</v>
      </c>
      <c r="J38" s="13">
        <v>5.0</v>
      </c>
      <c r="K38" s="13">
        <v>3.0</v>
      </c>
      <c r="L38" s="13">
        <v>3.0</v>
      </c>
      <c r="M38" s="13">
        <v>3.0</v>
      </c>
      <c r="N38" s="13">
        <v>3.0</v>
      </c>
      <c r="O38" s="13">
        <v>5.0</v>
      </c>
      <c r="P38" s="13">
        <v>4.0</v>
      </c>
      <c r="Q38" s="13">
        <v>3.0</v>
      </c>
      <c r="R38" s="13">
        <v>3.0</v>
      </c>
      <c r="S38" s="13">
        <v>4.0</v>
      </c>
      <c r="T38" s="13">
        <v>4.0</v>
      </c>
      <c r="U38" s="13">
        <v>5.0</v>
      </c>
      <c r="V38" s="13">
        <v>4.0</v>
      </c>
      <c r="W38" s="13">
        <v>4.0</v>
      </c>
      <c r="X38" s="13">
        <v>3.0</v>
      </c>
      <c r="Y38" s="13">
        <v>4.0</v>
      </c>
      <c r="Z38" s="13">
        <v>3.0</v>
      </c>
      <c r="AA38" s="13">
        <v>4.0</v>
      </c>
      <c r="AB38" s="13">
        <v>4.0</v>
      </c>
      <c r="AC38" s="13">
        <v>4.0</v>
      </c>
      <c r="AD38" s="13">
        <v>5.0</v>
      </c>
      <c r="AE38" s="13">
        <v>3.0</v>
      </c>
      <c r="AF38" s="13">
        <v>3.0</v>
      </c>
      <c r="AG38" s="13">
        <v>3.0</v>
      </c>
      <c r="AH38" s="13">
        <v>5.0</v>
      </c>
      <c r="AI38" s="13">
        <v>3.0</v>
      </c>
      <c r="AJ38" s="13">
        <v>4.0</v>
      </c>
      <c r="AK38" s="13">
        <v>5.0</v>
      </c>
      <c r="AL38" s="13">
        <v>4.0</v>
      </c>
      <c r="AM38" s="16">
        <v>1.0</v>
      </c>
      <c r="AN38" s="13">
        <v>5.0</v>
      </c>
      <c r="AO38" s="13">
        <v>4.0</v>
      </c>
      <c r="AP38" s="13">
        <v>3.0</v>
      </c>
      <c r="AQ38" s="13">
        <v>4.0</v>
      </c>
      <c r="AR38" s="13">
        <v>4.0</v>
      </c>
      <c r="AS38" s="13">
        <v>4.0</v>
      </c>
      <c r="AT38" s="13">
        <v>4.0</v>
      </c>
      <c r="AU38" s="13">
        <v>4.0</v>
      </c>
      <c r="AV38" s="13">
        <v>4.0</v>
      </c>
      <c r="AW38" s="15">
        <f t="shared" si="1"/>
        <v>174</v>
      </c>
      <c r="AX38" s="17">
        <f t="shared" si="2"/>
        <v>0.09209683617</v>
      </c>
    </row>
    <row r="39">
      <c r="A39" s="13" t="s">
        <v>13</v>
      </c>
      <c r="B39" s="13">
        <v>4.0</v>
      </c>
      <c r="C39" s="13">
        <v>3.0</v>
      </c>
      <c r="D39" s="13">
        <v>5.0</v>
      </c>
      <c r="E39" s="13">
        <v>3.0</v>
      </c>
      <c r="F39" s="13">
        <v>3.0</v>
      </c>
      <c r="G39" s="13">
        <v>4.0</v>
      </c>
      <c r="H39" s="13">
        <v>3.0</v>
      </c>
      <c r="I39" s="13">
        <v>3.0</v>
      </c>
      <c r="J39" s="13">
        <v>4.0</v>
      </c>
      <c r="K39" s="13">
        <v>3.0</v>
      </c>
      <c r="L39" s="13">
        <v>3.0</v>
      </c>
      <c r="M39" s="13">
        <v>4.0</v>
      </c>
      <c r="N39" s="13">
        <v>4.0</v>
      </c>
      <c r="O39" s="13">
        <v>3.0</v>
      </c>
      <c r="P39" s="13">
        <v>4.0</v>
      </c>
      <c r="Q39" s="13">
        <v>3.0</v>
      </c>
      <c r="R39" s="13">
        <v>4.0</v>
      </c>
      <c r="S39" s="13">
        <v>4.0</v>
      </c>
      <c r="T39" s="13">
        <v>3.0</v>
      </c>
      <c r="U39" s="13">
        <v>4.0</v>
      </c>
      <c r="V39" s="13">
        <v>5.0</v>
      </c>
      <c r="W39" s="13">
        <v>3.0</v>
      </c>
      <c r="X39" s="13">
        <v>3.0</v>
      </c>
      <c r="Y39" s="13">
        <v>4.0</v>
      </c>
      <c r="Z39" s="13">
        <v>3.0</v>
      </c>
      <c r="AA39" s="13">
        <v>4.0</v>
      </c>
      <c r="AB39" s="13">
        <v>5.0</v>
      </c>
      <c r="AC39" s="13">
        <v>3.0</v>
      </c>
      <c r="AD39" s="13">
        <v>4.0</v>
      </c>
      <c r="AE39" s="13">
        <v>3.0</v>
      </c>
      <c r="AF39" s="13">
        <v>4.0</v>
      </c>
      <c r="AG39" s="13">
        <v>3.0</v>
      </c>
      <c r="AH39" s="13">
        <v>4.0</v>
      </c>
      <c r="AI39" s="13">
        <v>3.0</v>
      </c>
      <c r="AJ39" s="13">
        <v>4.0</v>
      </c>
      <c r="AK39" s="13">
        <v>5.0</v>
      </c>
      <c r="AL39" s="13">
        <v>3.0</v>
      </c>
      <c r="AM39" s="13">
        <v>4.0</v>
      </c>
      <c r="AN39" s="16">
        <v>1.0</v>
      </c>
      <c r="AO39" s="13">
        <v>3.0</v>
      </c>
      <c r="AP39" s="13">
        <v>3.0</v>
      </c>
      <c r="AQ39" s="13">
        <v>4.0</v>
      </c>
      <c r="AR39" s="13">
        <v>4.0</v>
      </c>
      <c r="AS39" s="13">
        <v>4.0</v>
      </c>
      <c r="AT39" s="13">
        <v>3.0</v>
      </c>
      <c r="AU39" s="13">
        <v>4.0</v>
      </c>
      <c r="AV39" s="13">
        <v>3.0</v>
      </c>
      <c r="AW39" s="15">
        <f t="shared" si="1"/>
        <v>167</v>
      </c>
      <c r="AX39" s="17">
        <f t="shared" si="2"/>
        <v>0.04816190598</v>
      </c>
    </row>
    <row r="40">
      <c r="A40" s="13" t="s">
        <v>79</v>
      </c>
      <c r="B40" s="13">
        <v>4.0</v>
      </c>
      <c r="C40" s="13">
        <v>3.0</v>
      </c>
      <c r="D40" s="13">
        <v>4.0</v>
      </c>
      <c r="E40" s="13">
        <v>4.0</v>
      </c>
      <c r="F40" s="13">
        <v>4.0</v>
      </c>
      <c r="G40" s="13">
        <v>4.0</v>
      </c>
      <c r="H40" s="13">
        <v>4.0</v>
      </c>
      <c r="I40" s="13">
        <v>3.0</v>
      </c>
      <c r="J40" s="13">
        <v>3.0</v>
      </c>
      <c r="K40" s="13">
        <v>4.0</v>
      </c>
      <c r="L40" s="13">
        <v>3.0</v>
      </c>
      <c r="M40" s="13">
        <v>4.0</v>
      </c>
      <c r="N40" s="13">
        <v>3.0</v>
      </c>
      <c r="O40" s="13">
        <v>4.0</v>
      </c>
      <c r="P40" s="13">
        <v>4.0</v>
      </c>
      <c r="Q40" s="13">
        <v>3.0</v>
      </c>
      <c r="R40" s="13">
        <v>3.0</v>
      </c>
      <c r="S40" s="13">
        <v>4.0</v>
      </c>
      <c r="T40" s="13">
        <v>4.0</v>
      </c>
      <c r="U40" s="13">
        <v>4.0</v>
      </c>
      <c r="V40" s="13">
        <v>4.0</v>
      </c>
      <c r="W40" s="13">
        <v>3.0</v>
      </c>
      <c r="X40" s="13">
        <v>4.0</v>
      </c>
      <c r="Y40" s="13">
        <v>4.0</v>
      </c>
      <c r="Z40" s="13">
        <v>4.0</v>
      </c>
      <c r="AA40" s="13">
        <v>3.0</v>
      </c>
      <c r="AB40" s="13">
        <v>4.0</v>
      </c>
      <c r="AC40" s="13">
        <v>4.0</v>
      </c>
      <c r="AD40" s="13">
        <v>5.0</v>
      </c>
      <c r="AE40" s="13">
        <v>4.0</v>
      </c>
      <c r="AF40" s="13">
        <v>4.0</v>
      </c>
      <c r="AG40" s="13">
        <v>4.0</v>
      </c>
      <c r="AH40" s="13">
        <v>4.0</v>
      </c>
      <c r="AI40" s="13">
        <v>4.0</v>
      </c>
      <c r="AJ40" s="13">
        <v>3.0</v>
      </c>
      <c r="AK40" s="13">
        <v>4.0</v>
      </c>
      <c r="AL40" s="13">
        <v>3.0</v>
      </c>
      <c r="AM40" s="13">
        <v>4.0</v>
      </c>
      <c r="AN40" s="13">
        <v>4.0</v>
      </c>
      <c r="AO40" s="16">
        <v>1.0</v>
      </c>
      <c r="AP40" s="13">
        <v>3.0</v>
      </c>
      <c r="AQ40" s="13">
        <v>4.0</v>
      </c>
      <c r="AR40" s="13">
        <v>4.0</v>
      </c>
      <c r="AS40" s="13">
        <v>4.0</v>
      </c>
      <c r="AT40" s="13">
        <v>4.0</v>
      </c>
      <c r="AU40" s="13">
        <v>4.0</v>
      </c>
      <c r="AV40" s="13">
        <v>3.0</v>
      </c>
      <c r="AW40" s="15">
        <f t="shared" si="1"/>
        <v>173</v>
      </c>
      <c r="AX40" s="17">
        <f t="shared" si="2"/>
        <v>0.08582041757</v>
      </c>
    </row>
    <row r="41">
      <c r="A41" s="13" t="s">
        <v>37</v>
      </c>
      <c r="B41" s="13">
        <v>3.0</v>
      </c>
      <c r="C41" s="13">
        <v>2.0</v>
      </c>
      <c r="D41" s="13">
        <v>4.0</v>
      </c>
      <c r="E41" s="13">
        <v>3.0</v>
      </c>
      <c r="F41" s="13">
        <v>3.0</v>
      </c>
      <c r="G41" s="13">
        <v>3.0</v>
      </c>
      <c r="H41" s="13">
        <v>3.0</v>
      </c>
      <c r="I41" s="13">
        <v>3.0</v>
      </c>
      <c r="J41" s="13">
        <v>4.0</v>
      </c>
      <c r="K41" s="13">
        <v>2.0</v>
      </c>
      <c r="L41" s="13">
        <v>2.0</v>
      </c>
      <c r="M41" s="13">
        <v>3.0</v>
      </c>
      <c r="N41" s="13">
        <v>3.0</v>
      </c>
      <c r="O41" s="13">
        <v>4.0</v>
      </c>
      <c r="P41" s="13">
        <v>3.0</v>
      </c>
      <c r="Q41" s="13">
        <v>3.0</v>
      </c>
      <c r="R41" s="13">
        <v>4.0</v>
      </c>
      <c r="S41" s="13">
        <v>4.0</v>
      </c>
      <c r="T41" s="13">
        <v>3.0</v>
      </c>
      <c r="U41" s="13">
        <v>4.0</v>
      </c>
      <c r="V41" s="13">
        <v>3.0</v>
      </c>
      <c r="W41" s="13">
        <v>4.0</v>
      </c>
      <c r="X41" s="13">
        <v>2.0</v>
      </c>
      <c r="Y41" s="13">
        <v>3.0</v>
      </c>
      <c r="Z41" s="13">
        <v>3.0</v>
      </c>
      <c r="AA41" s="13">
        <v>4.0</v>
      </c>
      <c r="AB41" s="13">
        <v>4.0</v>
      </c>
      <c r="AC41" s="13">
        <v>3.0</v>
      </c>
      <c r="AD41" s="13">
        <v>5.0</v>
      </c>
      <c r="AE41" s="13">
        <v>4.0</v>
      </c>
      <c r="AF41" s="13">
        <v>4.0</v>
      </c>
      <c r="AG41" s="13">
        <v>3.0</v>
      </c>
      <c r="AH41" s="13">
        <v>4.0</v>
      </c>
      <c r="AI41" s="13">
        <v>3.0</v>
      </c>
      <c r="AJ41" s="13">
        <v>3.0</v>
      </c>
      <c r="AK41" s="13">
        <v>4.0</v>
      </c>
      <c r="AL41" s="13">
        <v>2.0</v>
      </c>
      <c r="AM41" s="13">
        <v>3.0</v>
      </c>
      <c r="AN41" s="13">
        <v>4.0</v>
      </c>
      <c r="AO41" s="13">
        <v>3.0</v>
      </c>
      <c r="AP41" s="16">
        <v>1.0</v>
      </c>
      <c r="AQ41" s="13">
        <v>4.0</v>
      </c>
      <c r="AR41" s="13">
        <v>4.0</v>
      </c>
      <c r="AS41" s="13">
        <v>3.0</v>
      </c>
      <c r="AT41" s="13">
        <v>3.0</v>
      </c>
      <c r="AU41" s="13">
        <v>3.0</v>
      </c>
      <c r="AV41" s="13">
        <v>3.0</v>
      </c>
      <c r="AW41" s="15">
        <f t="shared" si="1"/>
        <v>152</v>
      </c>
      <c r="AX41" s="17">
        <f t="shared" si="2"/>
        <v>-0.045984373</v>
      </c>
    </row>
    <row r="42">
      <c r="A42" s="18" t="s">
        <v>109</v>
      </c>
      <c r="B42" s="13">
        <v>4.0</v>
      </c>
      <c r="C42" s="13">
        <v>3.0</v>
      </c>
      <c r="D42" s="13">
        <v>3.0</v>
      </c>
      <c r="E42" s="13">
        <v>3.0</v>
      </c>
      <c r="F42" s="13">
        <v>3.0</v>
      </c>
      <c r="G42" s="13">
        <v>4.0</v>
      </c>
      <c r="H42" s="13">
        <v>2.0</v>
      </c>
      <c r="I42" s="13">
        <v>3.0</v>
      </c>
      <c r="J42" s="13">
        <v>5.0</v>
      </c>
      <c r="K42" s="13">
        <v>3.0</v>
      </c>
      <c r="L42" s="13">
        <v>3.0</v>
      </c>
      <c r="M42" s="13">
        <v>2.0</v>
      </c>
      <c r="N42" s="13">
        <v>3.0</v>
      </c>
      <c r="O42" s="13">
        <v>3.0</v>
      </c>
      <c r="P42" s="13">
        <v>4.0</v>
      </c>
      <c r="Q42" s="13">
        <v>3.0</v>
      </c>
      <c r="R42" s="13">
        <v>5.0</v>
      </c>
      <c r="S42" s="13">
        <v>5.0</v>
      </c>
      <c r="T42" s="13">
        <v>4.0</v>
      </c>
      <c r="U42" s="13">
        <v>4.0</v>
      </c>
      <c r="V42" s="13">
        <v>4.0</v>
      </c>
      <c r="W42" s="13">
        <v>3.0</v>
      </c>
      <c r="X42" s="13">
        <v>2.0</v>
      </c>
      <c r="Y42" s="13">
        <v>3.0</v>
      </c>
      <c r="Z42" s="13">
        <v>2.0</v>
      </c>
      <c r="AA42" s="13">
        <v>5.0</v>
      </c>
      <c r="AB42" s="13">
        <v>3.0</v>
      </c>
      <c r="AC42" s="13">
        <v>3.0</v>
      </c>
      <c r="AD42" s="13">
        <v>5.0</v>
      </c>
      <c r="AE42" s="13">
        <v>4.0</v>
      </c>
      <c r="AF42" s="13">
        <v>4.0</v>
      </c>
      <c r="AG42" s="13">
        <v>4.0</v>
      </c>
      <c r="AH42" s="13">
        <v>3.0</v>
      </c>
      <c r="AI42" s="13">
        <v>2.0</v>
      </c>
      <c r="AJ42" s="13">
        <v>3.0</v>
      </c>
      <c r="AK42" s="13">
        <v>5.0</v>
      </c>
      <c r="AL42" s="13">
        <v>3.0</v>
      </c>
      <c r="AM42" s="13">
        <v>2.0</v>
      </c>
      <c r="AN42" s="13">
        <v>4.0</v>
      </c>
      <c r="AO42" s="13">
        <v>3.0</v>
      </c>
      <c r="AP42" s="13">
        <v>3.0</v>
      </c>
      <c r="AQ42" s="13">
        <v>5.0</v>
      </c>
      <c r="AR42" s="13">
        <v>4.0</v>
      </c>
      <c r="AS42" s="13">
        <v>4.0</v>
      </c>
      <c r="AT42" s="13">
        <v>3.0</v>
      </c>
      <c r="AU42" s="13">
        <v>4.0</v>
      </c>
      <c r="AV42" s="13">
        <v>5.0</v>
      </c>
      <c r="AW42" s="15">
        <f t="shared" si="1"/>
        <v>164</v>
      </c>
      <c r="AX42" s="17">
        <f t="shared" si="2"/>
        <v>0.02933265019</v>
      </c>
    </row>
    <row r="43">
      <c r="A43" s="13" t="s">
        <v>27</v>
      </c>
      <c r="B43" s="13">
        <v>5.0</v>
      </c>
      <c r="C43" s="13">
        <v>2.0</v>
      </c>
      <c r="D43" s="13">
        <v>4.0</v>
      </c>
      <c r="E43" s="13">
        <v>2.0</v>
      </c>
      <c r="F43" s="13">
        <v>3.0</v>
      </c>
      <c r="G43" s="13">
        <v>4.0</v>
      </c>
      <c r="H43" s="13">
        <v>3.0</v>
      </c>
      <c r="I43" s="13">
        <v>5.0</v>
      </c>
      <c r="J43" s="13">
        <v>5.0</v>
      </c>
      <c r="K43" s="13">
        <v>2.0</v>
      </c>
      <c r="L43" s="13">
        <v>3.0</v>
      </c>
      <c r="M43" s="13">
        <v>4.0</v>
      </c>
      <c r="N43" s="13">
        <v>5.0</v>
      </c>
      <c r="O43" s="13">
        <v>5.0</v>
      </c>
      <c r="P43" s="13">
        <v>3.0</v>
      </c>
      <c r="Q43" s="13">
        <v>3.0</v>
      </c>
      <c r="R43" s="13">
        <v>4.0</v>
      </c>
      <c r="S43" s="13">
        <v>4.0</v>
      </c>
      <c r="T43" s="13">
        <v>5.0</v>
      </c>
      <c r="U43" s="13">
        <v>5.0</v>
      </c>
      <c r="V43" s="13">
        <v>5.0</v>
      </c>
      <c r="W43" s="13">
        <v>3.0</v>
      </c>
      <c r="X43" s="13">
        <v>2.0</v>
      </c>
      <c r="Y43" s="13">
        <v>3.0</v>
      </c>
      <c r="Z43" s="13">
        <v>3.0</v>
      </c>
      <c r="AA43" s="13">
        <v>4.0</v>
      </c>
      <c r="AB43" s="13">
        <v>4.0</v>
      </c>
      <c r="AC43" s="13">
        <v>3.0</v>
      </c>
      <c r="AD43" s="13">
        <v>5.0</v>
      </c>
      <c r="AE43" s="13">
        <v>4.0</v>
      </c>
      <c r="AF43" s="13">
        <v>4.0</v>
      </c>
      <c r="AG43" s="13">
        <v>5.0</v>
      </c>
      <c r="AH43" s="13">
        <v>4.0</v>
      </c>
      <c r="AI43" s="13">
        <v>3.0</v>
      </c>
      <c r="AJ43" s="13">
        <v>4.0</v>
      </c>
      <c r="AK43" s="13">
        <v>5.0</v>
      </c>
      <c r="AL43" s="13">
        <v>3.0</v>
      </c>
      <c r="AM43" s="13">
        <v>2.0</v>
      </c>
      <c r="AN43" s="13">
        <v>5.0</v>
      </c>
      <c r="AO43" s="13">
        <v>3.0</v>
      </c>
      <c r="AP43" s="13">
        <v>5.0</v>
      </c>
      <c r="AQ43" s="16">
        <v>1.0</v>
      </c>
      <c r="AR43" s="13">
        <v>4.0</v>
      </c>
      <c r="AS43" s="13">
        <v>4.0</v>
      </c>
      <c r="AT43" s="13">
        <v>3.0</v>
      </c>
      <c r="AU43" s="13">
        <v>5.0</v>
      </c>
      <c r="AV43" s="13">
        <v>5.0</v>
      </c>
      <c r="AW43" s="15">
        <f t="shared" si="1"/>
        <v>177</v>
      </c>
      <c r="AX43" s="17">
        <f t="shared" si="2"/>
        <v>0.110926092</v>
      </c>
    </row>
    <row r="44">
      <c r="A44" s="13" t="s">
        <v>21</v>
      </c>
      <c r="B44" s="13">
        <v>3.0</v>
      </c>
      <c r="C44" s="13">
        <v>3.0</v>
      </c>
      <c r="D44" s="13">
        <v>4.0</v>
      </c>
      <c r="E44" s="13">
        <v>3.0</v>
      </c>
      <c r="F44" s="13">
        <v>4.0</v>
      </c>
      <c r="G44" s="13">
        <v>3.0</v>
      </c>
      <c r="H44" s="13">
        <v>3.0</v>
      </c>
      <c r="I44" s="13">
        <v>3.0</v>
      </c>
      <c r="J44" s="13">
        <v>4.0</v>
      </c>
      <c r="K44" s="13">
        <v>3.0</v>
      </c>
      <c r="L44" s="13">
        <v>3.0</v>
      </c>
      <c r="M44" s="13">
        <v>4.0</v>
      </c>
      <c r="N44" s="13">
        <v>3.0</v>
      </c>
      <c r="O44" s="13">
        <v>4.0</v>
      </c>
      <c r="P44" s="13">
        <v>3.0</v>
      </c>
      <c r="Q44" s="13">
        <v>3.0</v>
      </c>
      <c r="R44" s="13">
        <v>5.0</v>
      </c>
      <c r="S44" s="13">
        <v>4.0</v>
      </c>
      <c r="T44" s="13">
        <v>3.0</v>
      </c>
      <c r="U44" s="13">
        <v>4.0</v>
      </c>
      <c r="V44" s="13">
        <v>4.0</v>
      </c>
      <c r="W44" s="13">
        <v>4.0</v>
      </c>
      <c r="X44" s="13">
        <v>3.0</v>
      </c>
      <c r="Y44" s="13">
        <v>4.0</v>
      </c>
      <c r="Z44" s="13">
        <v>3.0</v>
      </c>
      <c r="AA44" s="13">
        <v>4.0</v>
      </c>
      <c r="AB44" s="13">
        <v>4.0</v>
      </c>
      <c r="AC44" s="13">
        <v>3.0</v>
      </c>
      <c r="AD44" s="13">
        <v>3.0</v>
      </c>
      <c r="AE44" s="13">
        <v>3.0</v>
      </c>
      <c r="AF44" s="13">
        <v>4.0</v>
      </c>
      <c r="AG44" s="13">
        <v>3.0</v>
      </c>
      <c r="AH44" s="13">
        <v>4.0</v>
      </c>
      <c r="AI44" s="13">
        <v>4.0</v>
      </c>
      <c r="AJ44" s="13">
        <v>3.0</v>
      </c>
      <c r="AK44" s="13">
        <v>4.0</v>
      </c>
      <c r="AL44" s="13">
        <v>3.0</v>
      </c>
      <c r="AM44" s="13">
        <v>3.0</v>
      </c>
      <c r="AN44" s="13">
        <v>5.0</v>
      </c>
      <c r="AO44" s="13">
        <v>3.0</v>
      </c>
      <c r="AP44" s="13">
        <v>3.0</v>
      </c>
      <c r="AQ44" s="13">
        <v>4.0</v>
      </c>
      <c r="AR44" s="16">
        <v>1.0</v>
      </c>
      <c r="AS44" s="13">
        <v>3.0</v>
      </c>
      <c r="AT44" s="13">
        <v>4.0</v>
      </c>
      <c r="AU44" s="13">
        <v>3.0</v>
      </c>
      <c r="AV44" s="13">
        <v>4.0</v>
      </c>
      <c r="AW44" s="15">
        <f t="shared" si="1"/>
        <v>162</v>
      </c>
      <c r="AX44" s="17">
        <f t="shared" si="2"/>
        <v>0.01677981299</v>
      </c>
    </row>
    <row r="45">
      <c r="A45" s="18" t="s">
        <v>110</v>
      </c>
      <c r="B45" s="13">
        <v>3.0</v>
      </c>
      <c r="C45" s="13">
        <v>3.0</v>
      </c>
      <c r="D45" s="13">
        <v>3.0</v>
      </c>
      <c r="E45" s="13">
        <v>3.0</v>
      </c>
      <c r="F45" s="13">
        <v>3.0</v>
      </c>
      <c r="G45" s="13">
        <v>4.0</v>
      </c>
      <c r="H45" s="13">
        <v>3.0</v>
      </c>
      <c r="I45" s="13">
        <v>3.0</v>
      </c>
      <c r="J45" s="13">
        <v>4.0</v>
      </c>
      <c r="K45" s="13">
        <v>3.0</v>
      </c>
      <c r="L45" s="13">
        <v>3.0</v>
      </c>
      <c r="M45" s="13">
        <v>3.0</v>
      </c>
      <c r="N45" s="13">
        <v>3.0</v>
      </c>
      <c r="O45" s="13">
        <v>2.0</v>
      </c>
      <c r="P45" s="13">
        <v>4.0</v>
      </c>
      <c r="Q45" s="13">
        <v>3.0</v>
      </c>
      <c r="R45" s="13">
        <v>5.0</v>
      </c>
      <c r="S45" s="13">
        <v>4.0</v>
      </c>
      <c r="T45" s="13">
        <v>3.0</v>
      </c>
      <c r="U45" s="13">
        <v>4.0</v>
      </c>
      <c r="V45" s="13">
        <v>4.0</v>
      </c>
      <c r="W45" s="13">
        <v>3.0</v>
      </c>
      <c r="X45" s="13">
        <v>2.0</v>
      </c>
      <c r="Y45" s="13">
        <v>3.0</v>
      </c>
      <c r="Z45" s="13">
        <v>2.0</v>
      </c>
      <c r="AA45" s="13">
        <v>3.0</v>
      </c>
      <c r="AB45" s="13">
        <v>5.0</v>
      </c>
      <c r="AC45" s="13">
        <v>3.0</v>
      </c>
      <c r="AD45" s="13">
        <v>4.0</v>
      </c>
      <c r="AE45" s="13">
        <v>3.0</v>
      </c>
      <c r="AF45" s="13">
        <v>3.0</v>
      </c>
      <c r="AG45" s="13">
        <v>4.0</v>
      </c>
      <c r="AH45" s="13">
        <v>3.0</v>
      </c>
      <c r="AI45" s="13">
        <v>3.0</v>
      </c>
      <c r="AJ45" s="13">
        <v>3.0</v>
      </c>
      <c r="AK45" s="13">
        <v>5.0</v>
      </c>
      <c r="AL45" s="13">
        <v>3.0</v>
      </c>
      <c r="AM45" s="13">
        <v>3.0</v>
      </c>
      <c r="AN45" s="13">
        <v>3.0</v>
      </c>
      <c r="AO45" s="13">
        <v>3.0</v>
      </c>
      <c r="AP45" s="13">
        <v>4.0</v>
      </c>
      <c r="AQ45" s="13">
        <v>4.0</v>
      </c>
      <c r="AR45" s="13">
        <v>5.0</v>
      </c>
      <c r="AS45" s="13">
        <v>4.0</v>
      </c>
      <c r="AT45" s="13">
        <v>3.0</v>
      </c>
      <c r="AU45" s="13">
        <v>4.0</v>
      </c>
      <c r="AV45" s="13">
        <v>2.0</v>
      </c>
      <c r="AW45" s="15">
        <f t="shared" si="1"/>
        <v>157</v>
      </c>
      <c r="AX45" s="17">
        <f t="shared" si="2"/>
        <v>-0.01460228001</v>
      </c>
    </row>
    <row r="46">
      <c r="A46" s="13" t="s">
        <v>35</v>
      </c>
      <c r="B46" s="13">
        <v>3.0</v>
      </c>
      <c r="C46" s="13">
        <v>3.0</v>
      </c>
      <c r="D46" s="13">
        <v>4.0</v>
      </c>
      <c r="E46" s="13">
        <v>2.0</v>
      </c>
      <c r="F46" s="13">
        <v>3.0</v>
      </c>
      <c r="G46" s="13">
        <v>5.0</v>
      </c>
      <c r="H46" s="13">
        <v>2.0</v>
      </c>
      <c r="I46" s="13">
        <v>4.0</v>
      </c>
      <c r="J46" s="13">
        <v>5.0</v>
      </c>
      <c r="K46" s="13">
        <v>2.0</v>
      </c>
      <c r="L46" s="13">
        <v>2.0</v>
      </c>
      <c r="M46" s="13">
        <v>3.0</v>
      </c>
      <c r="N46" s="13">
        <v>3.0</v>
      </c>
      <c r="O46" s="13">
        <v>4.0</v>
      </c>
      <c r="P46" s="13">
        <v>2.0</v>
      </c>
      <c r="Q46" s="13">
        <v>3.0</v>
      </c>
      <c r="R46" s="13">
        <v>5.0</v>
      </c>
      <c r="S46" s="13">
        <v>4.0</v>
      </c>
      <c r="T46" s="13">
        <v>3.0</v>
      </c>
      <c r="U46" s="13">
        <v>5.0</v>
      </c>
      <c r="V46" s="13">
        <v>2.0</v>
      </c>
      <c r="W46" s="13">
        <v>4.0</v>
      </c>
      <c r="X46" s="13">
        <v>2.0</v>
      </c>
      <c r="Y46" s="13">
        <v>2.0</v>
      </c>
      <c r="Z46" s="13">
        <v>2.0</v>
      </c>
      <c r="AA46" s="13">
        <v>2.0</v>
      </c>
      <c r="AB46" s="13">
        <v>5.0</v>
      </c>
      <c r="AC46" s="13">
        <v>2.0</v>
      </c>
      <c r="AD46" s="13">
        <v>4.0</v>
      </c>
      <c r="AE46" s="13">
        <v>3.0</v>
      </c>
      <c r="AF46" s="13">
        <v>4.0</v>
      </c>
      <c r="AG46" s="13">
        <v>3.0</v>
      </c>
      <c r="AH46" s="13">
        <v>3.0</v>
      </c>
      <c r="AI46" s="13">
        <v>2.0</v>
      </c>
      <c r="AJ46" s="13">
        <v>3.0</v>
      </c>
      <c r="AK46" s="13">
        <v>4.0</v>
      </c>
      <c r="AL46" s="13">
        <v>2.0</v>
      </c>
      <c r="AM46" s="13">
        <v>2.0</v>
      </c>
      <c r="AN46" s="13">
        <v>3.0</v>
      </c>
      <c r="AO46" s="13">
        <v>3.0</v>
      </c>
      <c r="AP46" s="13">
        <v>3.0</v>
      </c>
      <c r="AQ46" s="13">
        <v>4.0</v>
      </c>
      <c r="AR46" s="13">
        <v>4.0</v>
      </c>
      <c r="AS46" s="16">
        <v>1.0</v>
      </c>
      <c r="AT46" s="13">
        <v>2.0</v>
      </c>
      <c r="AU46" s="13">
        <v>3.0</v>
      </c>
      <c r="AV46" s="13">
        <v>3.0</v>
      </c>
      <c r="AW46" s="15">
        <f t="shared" si="1"/>
        <v>144</v>
      </c>
      <c r="AX46" s="17">
        <f t="shared" si="2"/>
        <v>-0.09619572179</v>
      </c>
    </row>
    <row r="47">
      <c r="A47" s="13" t="s">
        <v>53</v>
      </c>
      <c r="B47" s="13">
        <v>3.0</v>
      </c>
      <c r="C47" s="13">
        <v>2.0</v>
      </c>
      <c r="D47" s="13">
        <v>4.0</v>
      </c>
      <c r="E47" s="13">
        <v>2.0</v>
      </c>
      <c r="F47" s="13">
        <v>3.0</v>
      </c>
      <c r="G47" s="13">
        <v>3.0</v>
      </c>
      <c r="H47" s="13">
        <v>2.0</v>
      </c>
      <c r="I47" s="13">
        <v>4.0</v>
      </c>
      <c r="J47" s="13">
        <v>5.0</v>
      </c>
      <c r="K47" s="13">
        <v>2.0</v>
      </c>
      <c r="L47" s="13">
        <v>2.0</v>
      </c>
      <c r="M47" s="13">
        <v>3.0</v>
      </c>
      <c r="N47" s="13">
        <v>3.0</v>
      </c>
      <c r="O47" s="13">
        <v>5.0</v>
      </c>
      <c r="P47" s="13">
        <v>3.0</v>
      </c>
      <c r="Q47" s="13">
        <v>3.0</v>
      </c>
      <c r="R47" s="13">
        <v>5.0</v>
      </c>
      <c r="S47" s="13">
        <v>4.0</v>
      </c>
      <c r="T47" s="13">
        <v>3.0</v>
      </c>
      <c r="U47" s="13">
        <v>5.0</v>
      </c>
      <c r="V47" s="13">
        <v>4.0</v>
      </c>
      <c r="W47" s="13">
        <v>3.0</v>
      </c>
      <c r="X47" s="13">
        <v>2.0</v>
      </c>
      <c r="Y47" s="13">
        <v>2.0</v>
      </c>
      <c r="Z47" s="13">
        <v>2.0</v>
      </c>
      <c r="AA47" s="13">
        <v>3.0</v>
      </c>
      <c r="AB47" s="13">
        <v>5.0</v>
      </c>
      <c r="AC47" s="13">
        <v>3.0</v>
      </c>
      <c r="AD47" s="13">
        <v>5.0</v>
      </c>
      <c r="AE47" s="13">
        <v>4.0</v>
      </c>
      <c r="AF47" s="13">
        <v>4.0</v>
      </c>
      <c r="AG47" s="13">
        <v>4.0</v>
      </c>
      <c r="AH47" s="13">
        <v>5.0</v>
      </c>
      <c r="AI47" s="13">
        <v>2.0</v>
      </c>
      <c r="AJ47" s="13">
        <v>3.0</v>
      </c>
      <c r="AK47" s="13">
        <v>5.0</v>
      </c>
      <c r="AL47" s="13">
        <v>3.0</v>
      </c>
      <c r="AM47" s="13">
        <v>4.0</v>
      </c>
      <c r="AN47" s="13">
        <v>4.0</v>
      </c>
      <c r="AO47" s="13">
        <v>2.0</v>
      </c>
      <c r="AP47" s="13">
        <v>4.0</v>
      </c>
      <c r="AQ47" s="13">
        <v>4.0</v>
      </c>
      <c r="AR47" s="13">
        <v>3.0</v>
      </c>
      <c r="AS47" s="13">
        <v>5.0</v>
      </c>
      <c r="AT47" s="16">
        <v>1.0</v>
      </c>
      <c r="AU47" s="13">
        <v>4.0</v>
      </c>
      <c r="AV47" s="13">
        <v>4.0</v>
      </c>
      <c r="AW47" s="15">
        <f t="shared" si="1"/>
        <v>160</v>
      </c>
      <c r="AX47" s="17">
        <f t="shared" si="2"/>
        <v>0.004226975791</v>
      </c>
    </row>
    <row r="48">
      <c r="A48" s="13" t="s">
        <v>33</v>
      </c>
      <c r="B48" s="13">
        <v>3.0</v>
      </c>
      <c r="C48" s="13">
        <v>3.0</v>
      </c>
      <c r="D48" s="13">
        <v>4.0</v>
      </c>
      <c r="E48" s="13">
        <v>3.0</v>
      </c>
      <c r="F48" s="13">
        <v>4.0</v>
      </c>
      <c r="G48" s="13">
        <v>3.0</v>
      </c>
      <c r="H48" s="13">
        <v>3.0</v>
      </c>
      <c r="I48" s="13">
        <v>4.0</v>
      </c>
      <c r="J48" s="13">
        <v>5.0</v>
      </c>
      <c r="K48" s="13">
        <v>3.0</v>
      </c>
      <c r="L48" s="13">
        <v>2.0</v>
      </c>
      <c r="M48" s="13">
        <v>3.0</v>
      </c>
      <c r="N48" s="13">
        <v>4.0</v>
      </c>
      <c r="O48" s="13">
        <v>3.0</v>
      </c>
      <c r="P48" s="13">
        <v>3.0</v>
      </c>
      <c r="Q48" s="13">
        <v>3.0</v>
      </c>
      <c r="R48" s="13">
        <v>4.0</v>
      </c>
      <c r="S48" s="13">
        <v>5.0</v>
      </c>
      <c r="T48" s="13">
        <v>4.0</v>
      </c>
      <c r="U48" s="13">
        <v>4.0</v>
      </c>
      <c r="V48" s="13">
        <v>5.0</v>
      </c>
      <c r="W48" s="13">
        <v>3.0</v>
      </c>
      <c r="X48" s="13">
        <v>2.0</v>
      </c>
      <c r="Y48" s="13">
        <v>3.0</v>
      </c>
      <c r="Z48" s="13">
        <v>4.0</v>
      </c>
      <c r="AA48" s="13">
        <v>4.0</v>
      </c>
      <c r="AB48" s="13">
        <v>5.0</v>
      </c>
      <c r="AC48" s="13">
        <v>3.0</v>
      </c>
      <c r="AD48" s="13">
        <v>5.0</v>
      </c>
      <c r="AE48" s="13">
        <v>3.0</v>
      </c>
      <c r="AF48" s="13">
        <v>4.0</v>
      </c>
      <c r="AG48" s="13">
        <v>4.0</v>
      </c>
      <c r="AH48" s="13">
        <v>5.0</v>
      </c>
      <c r="AI48" s="13">
        <v>2.0</v>
      </c>
      <c r="AJ48" s="13">
        <v>3.0</v>
      </c>
      <c r="AK48" s="13">
        <v>4.0</v>
      </c>
      <c r="AL48" s="13">
        <v>3.0</v>
      </c>
      <c r="AM48" s="13">
        <v>3.0</v>
      </c>
      <c r="AN48" s="13">
        <v>5.0</v>
      </c>
      <c r="AO48" s="13">
        <v>3.0</v>
      </c>
      <c r="AP48" s="13">
        <v>4.0</v>
      </c>
      <c r="AQ48" s="13">
        <v>4.0</v>
      </c>
      <c r="AR48" s="13">
        <v>4.0</v>
      </c>
      <c r="AS48" s="13">
        <v>3.0</v>
      </c>
      <c r="AT48" s="13">
        <v>3.0</v>
      </c>
      <c r="AU48" s="16">
        <v>1.0</v>
      </c>
      <c r="AV48" s="13">
        <v>4.0</v>
      </c>
      <c r="AW48" s="15">
        <f t="shared" si="1"/>
        <v>166</v>
      </c>
      <c r="AX48" s="17">
        <f t="shared" si="2"/>
        <v>0.04188548738</v>
      </c>
    </row>
    <row r="49">
      <c r="A49" s="18" t="s">
        <v>111</v>
      </c>
      <c r="B49" s="13">
        <v>4.0</v>
      </c>
      <c r="C49" s="13">
        <v>1.0</v>
      </c>
      <c r="D49" s="13">
        <v>2.0</v>
      </c>
      <c r="E49" s="13">
        <v>2.0</v>
      </c>
      <c r="F49" s="13">
        <v>4.0</v>
      </c>
      <c r="G49" s="13">
        <v>2.0</v>
      </c>
      <c r="H49" s="13">
        <v>2.0</v>
      </c>
      <c r="I49" s="13">
        <v>2.0</v>
      </c>
      <c r="J49" s="13">
        <v>2.0</v>
      </c>
      <c r="K49" s="13">
        <v>2.0</v>
      </c>
      <c r="L49" s="13">
        <v>1.0</v>
      </c>
      <c r="M49" s="13">
        <v>2.0</v>
      </c>
      <c r="N49" s="13">
        <v>2.0</v>
      </c>
      <c r="O49" s="13">
        <v>2.0</v>
      </c>
      <c r="P49" s="13">
        <v>4.0</v>
      </c>
      <c r="Q49" s="13">
        <v>2.0</v>
      </c>
      <c r="R49" s="13">
        <v>4.0</v>
      </c>
      <c r="S49" s="13">
        <v>4.0</v>
      </c>
      <c r="T49" s="13">
        <v>2.0</v>
      </c>
      <c r="U49" s="13">
        <v>3.0</v>
      </c>
      <c r="V49" s="13">
        <v>3.0</v>
      </c>
      <c r="W49" s="13">
        <v>2.0</v>
      </c>
      <c r="X49" s="13">
        <v>2.0</v>
      </c>
      <c r="Y49" s="13">
        <v>2.0</v>
      </c>
      <c r="Z49" s="13">
        <v>2.0</v>
      </c>
      <c r="AA49" s="13">
        <v>1.0</v>
      </c>
      <c r="AB49" s="13">
        <v>4.0</v>
      </c>
      <c r="AC49" s="13">
        <v>2.0</v>
      </c>
      <c r="AD49" s="13">
        <v>5.0</v>
      </c>
      <c r="AE49" s="13">
        <v>4.0</v>
      </c>
      <c r="AF49" s="13">
        <v>3.0</v>
      </c>
      <c r="AG49" s="13">
        <v>3.0</v>
      </c>
      <c r="AH49" s="13">
        <v>5.0</v>
      </c>
      <c r="AI49" s="13">
        <v>2.0</v>
      </c>
      <c r="AJ49" s="13">
        <v>5.0</v>
      </c>
      <c r="AK49" s="13">
        <v>5.0</v>
      </c>
      <c r="AL49" s="13">
        <v>1.0</v>
      </c>
      <c r="AM49" s="13">
        <v>2.0</v>
      </c>
      <c r="AN49" s="13">
        <v>4.0</v>
      </c>
      <c r="AO49" s="13">
        <v>2.0</v>
      </c>
      <c r="AP49" s="13">
        <v>2.0</v>
      </c>
      <c r="AQ49" s="13">
        <v>3.0</v>
      </c>
      <c r="AR49" s="13">
        <v>2.0</v>
      </c>
      <c r="AS49" s="13">
        <v>3.0</v>
      </c>
      <c r="AT49" s="13">
        <v>2.0</v>
      </c>
      <c r="AU49" s="13">
        <v>3.0</v>
      </c>
      <c r="AV49" s="13">
        <v>2.0</v>
      </c>
      <c r="AW49" s="15">
        <f t="shared" si="1"/>
        <v>125</v>
      </c>
      <c r="AX49" s="17">
        <f t="shared" si="2"/>
        <v>-0.2154476752</v>
      </c>
    </row>
    <row r="50">
      <c r="A50" s="13" t="s">
        <v>43</v>
      </c>
      <c r="B50" s="13">
        <v>4.0</v>
      </c>
      <c r="C50" s="13">
        <v>3.0</v>
      </c>
      <c r="D50" s="13">
        <v>4.0</v>
      </c>
      <c r="E50" s="13">
        <v>4.0</v>
      </c>
      <c r="F50" s="13">
        <v>4.0</v>
      </c>
      <c r="G50" s="13">
        <v>5.0</v>
      </c>
      <c r="H50" s="13">
        <v>4.0</v>
      </c>
      <c r="I50" s="13">
        <v>4.0</v>
      </c>
      <c r="J50" s="13">
        <v>5.0</v>
      </c>
      <c r="K50" s="13">
        <v>3.0</v>
      </c>
      <c r="L50" s="13">
        <v>4.0</v>
      </c>
      <c r="M50" s="13">
        <v>3.0</v>
      </c>
      <c r="N50" s="13">
        <v>3.0</v>
      </c>
      <c r="O50" s="13">
        <v>5.0</v>
      </c>
      <c r="P50" s="13">
        <v>4.0</v>
      </c>
      <c r="Q50" s="13">
        <v>4.0</v>
      </c>
      <c r="R50" s="13">
        <v>4.0</v>
      </c>
      <c r="S50" s="13">
        <v>4.0</v>
      </c>
      <c r="T50" s="13">
        <v>4.0</v>
      </c>
      <c r="U50" s="13">
        <v>4.0</v>
      </c>
      <c r="V50" s="13">
        <v>4.0</v>
      </c>
      <c r="W50" s="13">
        <v>4.0</v>
      </c>
      <c r="X50" s="13">
        <v>3.0</v>
      </c>
      <c r="Y50" s="13">
        <v>4.0</v>
      </c>
      <c r="Z50" s="13">
        <v>3.0</v>
      </c>
      <c r="AA50" s="13">
        <v>4.0</v>
      </c>
      <c r="AB50" s="13">
        <v>4.0</v>
      </c>
      <c r="AC50" s="13">
        <v>3.0</v>
      </c>
      <c r="AD50" s="13">
        <v>5.0</v>
      </c>
      <c r="AE50" s="13">
        <v>3.0</v>
      </c>
      <c r="AF50" s="13">
        <v>4.0</v>
      </c>
      <c r="AG50" s="13">
        <v>4.0</v>
      </c>
      <c r="AH50" s="13">
        <v>5.0</v>
      </c>
      <c r="AI50" s="13">
        <v>4.0</v>
      </c>
      <c r="AJ50" s="13">
        <v>4.0</v>
      </c>
      <c r="AK50" s="13">
        <v>5.0</v>
      </c>
      <c r="AL50" s="13">
        <v>3.0</v>
      </c>
      <c r="AM50" s="13">
        <v>3.0</v>
      </c>
      <c r="AN50" s="13">
        <v>5.0</v>
      </c>
      <c r="AO50" s="13">
        <v>3.0</v>
      </c>
      <c r="AP50" s="13">
        <v>4.0</v>
      </c>
      <c r="AQ50" s="13">
        <v>4.0</v>
      </c>
      <c r="AR50" s="13">
        <v>5.0</v>
      </c>
      <c r="AS50" s="13">
        <v>4.0</v>
      </c>
      <c r="AT50" s="13">
        <v>4.0</v>
      </c>
      <c r="AU50" s="13">
        <v>4.0</v>
      </c>
      <c r="AV50" s="16">
        <v>1.0</v>
      </c>
      <c r="AW50" s="15">
        <f t="shared" si="1"/>
        <v>182</v>
      </c>
      <c r="AX50" s="17">
        <f t="shared" si="2"/>
        <v>0.142308185</v>
      </c>
    </row>
    <row r="51">
      <c r="A51" s="19" t="s">
        <v>1</v>
      </c>
      <c r="B51" s="20">
        <f t="shared" ref="B51:AV51" si="3">SUM(B2:B50)</f>
        <v>171</v>
      </c>
      <c r="C51" s="20">
        <f t="shared" si="3"/>
        <v>132</v>
      </c>
      <c r="D51" s="20">
        <f t="shared" si="3"/>
        <v>161</v>
      </c>
      <c r="E51" s="20">
        <f t="shared" si="3"/>
        <v>136</v>
      </c>
      <c r="F51" s="20">
        <f t="shared" si="3"/>
        <v>166</v>
      </c>
      <c r="G51" s="20">
        <f t="shared" si="3"/>
        <v>166</v>
      </c>
      <c r="H51" s="20">
        <f t="shared" si="3"/>
        <v>137</v>
      </c>
      <c r="I51" s="20">
        <f t="shared" si="3"/>
        <v>172</v>
      </c>
      <c r="J51" s="20">
        <f t="shared" si="3"/>
        <v>207</v>
      </c>
      <c r="K51" s="20">
        <f t="shared" si="3"/>
        <v>128</v>
      </c>
      <c r="L51" s="20">
        <f t="shared" si="3"/>
        <v>142</v>
      </c>
      <c r="M51" s="20">
        <f t="shared" si="3"/>
        <v>151</v>
      </c>
      <c r="N51" s="20">
        <f t="shared" si="3"/>
        <v>156</v>
      </c>
      <c r="O51" s="20">
        <f t="shared" si="3"/>
        <v>187</v>
      </c>
      <c r="P51" s="20">
        <f t="shared" si="3"/>
        <v>151</v>
      </c>
      <c r="Q51" s="20">
        <f t="shared" si="3"/>
        <v>149</v>
      </c>
      <c r="R51" s="20">
        <f t="shared" si="3"/>
        <v>190</v>
      </c>
      <c r="S51" s="20">
        <f t="shared" si="3"/>
        <v>188</v>
      </c>
      <c r="T51" s="20">
        <f t="shared" si="3"/>
        <v>162</v>
      </c>
      <c r="U51" s="20">
        <f t="shared" si="3"/>
        <v>194</v>
      </c>
      <c r="V51" s="20">
        <f t="shared" si="3"/>
        <v>183</v>
      </c>
      <c r="W51" s="20">
        <f t="shared" si="3"/>
        <v>152</v>
      </c>
      <c r="X51" s="20">
        <f t="shared" si="3"/>
        <v>125</v>
      </c>
      <c r="Y51" s="20">
        <f t="shared" si="3"/>
        <v>154</v>
      </c>
      <c r="Z51" s="20">
        <f t="shared" si="3"/>
        <v>140</v>
      </c>
      <c r="AA51" s="20">
        <f t="shared" si="3"/>
        <v>153</v>
      </c>
      <c r="AB51" s="20">
        <f t="shared" si="3"/>
        <v>205</v>
      </c>
      <c r="AC51" s="20">
        <f t="shared" si="3"/>
        <v>133</v>
      </c>
      <c r="AD51" s="20">
        <f t="shared" si="3"/>
        <v>216</v>
      </c>
      <c r="AE51" s="20">
        <f t="shared" si="3"/>
        <v>161</v>
      </c>
      <c r="AF51" s="20">
        <f t="shared" si="3"/>
        <v>182</v>
      </c>
      <c r="AG51" s="20">
        <f t="shared" si="3"/>
        <v>166</v>
      </c>
      <c r="AH51" s="20">
        <f t="shared" si="3"/>
        <v>200</v>
      </c>
      <c r="AI51" s="20">
        <f t="shared" si="3"/>
        <v>133</v>
      </c>
      <c r="AJ51" s="20">
        <f t="shared" si="3"/>
        <v>163</v>
      </c>
      <c r="AK51" s="20">
        <f t="shared" si="3"/>
        <v>222</v>
      </c>
      <c r="AL51" s="20">
        <f t="shared" si="3"/>
        <v>141</v>
      </c>
      <c r="AM51" s="20">
        <f t="shared" si="3"/>
        <v>149</v>
      </c>
      <c r="AN51" s="20">
        <f t="shared" si="3"/>
        <v>203</v>
      </c>
      <c r="AO51" s="20">
        <f t="shared" si="3"/>
        <v>142</v>
      </c>
      <c r="AP51" s="20">
        <f t="shared" si="3"/>
        <v>174</v>
      </c>
      <c r="AQ51" s="20">
        <f t="shared" si="3"/>
        <v>187</v>
      </c>
      <c r="AR51" s="20">
        <f t="shared" si="3"/>
        <v>188</v>
      </c>
      <c r="AS51" s="20">
        <f t="shared" si="3"/>
        <v>176</v>
      </c>
      <c r="AT51" s="20">
        <f t="shared" si="3"/>
        <v>163</v>
      </c>
      <c r="AU51" s="20">
        <f t="shared" si="3"/>
        <v>182</v>
      </c>
      <c r="AV51" s="20">
        <f t="shared" si="3"/>
        <v>168</v>
      </c>
      <c r="AW51" s="21" t="s">
        <v>112</v>
      </c>
      <c r="AX51" s="1"/>
    </row>
    <row r="52">
      <c r="A52" s="22" t="s">
        <v>113</v>
      </c>
      <c r="B52" s="23">
        <f t="shared" ref="B52:AV52" si="4">COUNTIF(B2:B50,5)</f>
        <v>5</v>
      </c>
      <c r="C52" s="23">
        <f t="shared" si="4"/>
        <v>0</v>
      </c>
      <c r="D52" s="23">
        <f t="shared" si="4"/>
        <v>2</v>
      </c>
      <c r="E52" s="23">
        <f t="shared" si="4"/>
        <v>1</v>
      </c>
      <c r="F52" s="23">
        <f t="shared" si="4"/>
        <v>2</v>
      </c>
      <c r="G52" s="23">
        <f t="shared" si="4"/>
        <v>5</v>
      </c>
      <c r="H52" s="23">
        <f t="shared" si="4"/>
        <v>2</v>
      </c>
      <c r="I52" s="23">
        <f t="shared" si="4"/>
        <v>5</v>
      </c>
      <c r="J52" s="23">
        <f t="shared" si="4"/>
        <v>27</v>
      </c>
      <c r="K52" s="23">
        <f t="shared" si="4"/>
        <v>1</v>
      </c>
      <c r="L52" s="23">
        <f t="shared" si="4"/>
        <v>2</v>
      </c>
      <c r="M52" s="23">
        <f t="shared" si="4"/>
        <v>2</v>
      </c>
      <c r="N52" s="23">
        <f t="shared" si="4"/>
        <v>1</v>
      </c>
      <c r="O52" s="23">
        <f t="shared" si="4"/>
        <v>13</v>
      </c>
      <c r="P52" s="23">
        <f t="shared" si="4"/>
        <v>2</v>
      </c>
      <c r="Q52" s="23">
        <f t="shared" si="4"/>
        <v>0</v>
      </c>
      <c r="R52" s="23">
        <f t="shared" si="4"/>
        <v>13</v>
      </c>
      <c r="S52" s="23">
        <f t="shared" si="4"/>
        <v>9</v>
      </c>
      <c r="T52" s="23">
        <f t="shared" si="4"/>
        <v>5</v>
      </c>
      <c r="U52" s="23">
        <f t="shared" si="4"/>
        <v>14</v>
      </c>
      <c r="V52" s="23">
        <f t="shared" si="4"/>
        <v>11</v>
      </c>
      <c r="W52" s="23">
        <f t="shared" si="4"/>
        <v>3</v>
      </c>
      <c r="X52" s="23">
        <f t="shared" si="4"/>
        <v>0</v>
      </c>
      <c r="Y52" s="23">
        <f t="shared" si="4"/>
        <v>3</v>
      </c>
      <c r="Z52" s="23">
        <f t="shared" si="4"/>
        <v>2</v>
      </c>
      <c r="AA52" s="23">
        <f t="shared" si="4"/>
        <v>7</v>
      </c>
      <c r="AB52" s="23">
        <f t="shared" si="4"/>
        <v>18</v>
      </c>
      <c r="AC52" s="23">
        <f t="shared" si="4"/>
        <v>0</v>
      </c>
      <c r="AD52" s="23">
        <f t="shared" si="4"/>
        <v>30</v>
      </c>
      <c r="AE52" s="23">
        <f t="shared" si="4"/>
        <v>2</v>
      </c>
      <c r="AF52" s="23">
        <f t="shared" si="4"/>
        <v>6</v>
      </c>
      <c r="AG52" s="23">
        <f t="shared" si="4"/>
        <v>5</v>
      </c>
      <c r="AH52" s="23">
        <f t="shared" si="4"/>
        <v>20</v>
      </c>
      <c r="AI52" s="23">
        <f t="shared" si="4"/>
        <v>0</v>
      </c>
      <c r="AJ52" s="23">
        <f t="shared" si="4"/>
        <v>3</v>
      </c>
      <c r="AK52" s="23">
        <f t="shared" si="4"/>
        <v>33</v>
      </c>
      <c r="AL52" s="23">
        <f t="shared" si="4"/>
        <v>1</v>
      </c>
      <c r="AM52" s="23">
        <f t="shared" si="4"/>
        <v>1</v>
      </c>
      <c r="AN52" s="23">
        <f t="shared" si="4"/>
        <v>19</v>
      </c>
      <c r="AO52" s="23">
        <f t="shared" si="4"/>
        <v>0</v>
      </c>
      <c r="AP52" s="23">
        <f t="shared" si="4"/>
        <v>7</v>
      </c>
      <c r="AQ52" s="23">
        <f t="shared" si="4"/>
        <v>10</v>
      </c>
      <c r="AR52" s="23">
        <f t="shared" si="4"/>
        <v>12</v>
      </c>
      <c r="AS52" s="23">
        <f t="shared" si="4"/>
        <v>6</v>
      </c>
      <c r="AT52" s="23">
        <f t="shared" si="4"/>
        <v>1</v>
      </c>
      <c r="AU52" s="23">
        <f t="shared" si="4"/>
        <v>10</v>
      </c>
      <c r="AV52" s="23">
        <f t="shared" si="4"/>
        <v>6</v>
      </c>
      <c r="AW52" s="24">
        <f t="shared" ref="AW52:AW56" si="6">SUM(B52:AV52)</f>
        <v>327</v>
      </c>
      <c r="AX52" s="25">
        <f t="shared" ref="AX52:AX57" si="7">AW52/$AW$57</f>
        <v>0.1419887104</v>
      </c>
    </row>
    <row r="53">
      <c r="A53" s="22" t="s">
        <v>114</v>
      </c>
      <c r="B53" s="23">
        <f t="shared" ref="B53:AV53" si="5">COUNTIF(B2:B50,4)</f>
        <v>20</v>
      </c>
      <c r="C53" s="23">
        <f t="shared" si="5"/>
        <v>5</v>
      </c>
      <c r="D53" s="23">
        <f t="shared" si="5"/>
        <v>18</v>
      </c>
      <c r="E53" s="23">
        <f t="shared" si="5"/>
        <v>7</v>
      </c>
      <c r="F53" s="23">
        <f t="shared" si="5"/>
        <v>20</v>
      </c>
      <c r="G53" s="23">
        <f t="shared" si="5"/>
        <v>18</v>
      </c>
      <c r="H53" s="23">
        <f t="shared" si="5"/>
        <v>4</v>
      </c>
      <c r="I53" s="23">
        <f t="shared" si="5"/>
        <v>21</v>
      </c>
      <c r="J53" s="23">
        <f t="shared" si="5"/>
        <v>12</v>
      </c>
      <c r="K53" s="23">
        <f t="shared" si="5"/>
        <v>2</v>
      </c>
      <c r="L53" s="23">
        <f t="shared" si="5"/>
        <v>7</v>
      </c>
      <c r="M53" s="23">
        <f t="shared" si="5"/>
        <v>9</v>
      </c>
      <c r="N53" s="23">
        <f t="shared" si="5"/>
        <v>14</v>
      </c>
      <c r="O53" s="23">
        <f t="shared" si="5"/>
        <v>22</v>
      </c>
      <c r="P53" s="23">
        <f t="shared" si="5"/>
        <v>18</v>
      </c>
      <c r="Q53" s="23">
        <f t="shared" si="5"/>
        <v>14</v>
      </c>
      <c r="R53" s="23">
        <f t="shared" si="5"/>
        <v>21</v>
      </c>
      <c r="S53" s="23">
        <f t="shared" si="5"/>
        <v>29</v>
      </c>
      <c r="T53" s="23">
        <f t="shared" si="5"/>
        <v>16</v>
      </c>
      <c r="U53" s="23">
        <f t="shared" si="5"/>
        <v>22</v>
      </c>
      <c r="V53" s="23">
        <f t="shared" si="5"/>
        <v>21</v>
      </c>
      <c r="W53" s="23">
        <f t="shared" si="5"/>
        <v>11</v>
      </c>
      <c r="X53" s="23">
        <f t="shared" si="5"/>
        <v>4</v>
      </c>
      <c r="Y53" s="23">
        <f t="shared" si="5"/>
        <v>13</v>
      </c>
      <c r="Z53" s="23">
        <f t="shared" si="5"/>
        <v>10</v>
      </c>
      <c r="AA53" s="23">
        <f t="shared" si="5"/>
        <v>12</v>
      </c>
      <c r="AB53" s="23">
        <f t="shared" si="5"/>
        <v>24</v>
      </c>
      <c r="AC53" s="23">
        <f t="shared" si="5"/>
        <v>6</v>
      </c>
      <c r="AD53" s="23">
        <f t="shared" si="5"/>
        <v>11</v>
      </c>
      <c r="AE53" s="23">
        <f t="shared" si="5"/>
        <v>16</v>
      </c>
      <c r="AF53" s="23">
        <f t="shared" si="5"/>
        <v>25</v>
      </c>
      <c r="AG53" s="23">
        <f t="shared" si="5"/>
        <v>18</v>
      </c>
      <c r="AH53" s="23">
        <f t="shared" si="5"/>
        <v>18</v>
      </c>
      <c r="AI53" s="23">
        <f t="shared" si="5"/>
        <v>5</v>
      </c>
      <c r="AJ53" s="23">
        <f t="shared" si="5"/>
        <v>17</v>
      </c>
      <c r="AK53" s="23">
        <f t="shared" si="5"/>
        <v>12</v>
      </c>
      <c r="AL53" s="23">
        <f t="shared" si="5"/>
        <v>7</v>
      </c>
      <c r="AM53" s="23">
        <f t="shared" si="5"/>
        <v>12</v>
      </c>
      <c r="AN53" s="23">
        <f t="shared" si="5"/>
        <v>21</v>
      </c>
      <c r="AO53" s="23">
        <f t="shared" si="5"/>
        <v>8</v>
      </c>
      <c r="AP53" s="23">
        <f t="shared" si="5"/>
        <v>20</v>
      </c>
      <c r="AQ53" s="23">
        <f t="shared" si="5"/>
        <v>25</v>
      </c>
      <c r="AR53" s="23">
        <f t="shared" si="5"/>
        <v>21</v>
      </c>
      <c r="AS53" s="23">
        <f t="shared" si="5"/>
        <v>24</v>
      </c>
      <c r="AT53" s="23">
        <f t="shared" si="5"/>
        <v>20</v>
      </c>
      <c r="AU53" s="23">
        <f t="shared" si="5"/>
        <v>17</v>
      </c>
      <c r="AV53" s="23">
        <f t="shared" si="5"/>
        <v>18</v>
      </c>
      <c r="AW53" s="24">
        <f t="shared" si="6"/>
        <v>715</v>
      </c>
      <c r="AX53" s="25">
        <f t="shared" si="7"/>
        <v>0.3104646114</v>
      </c>
    </row>
    <row r="54">
      <c r="A54" s="22" t="s">
        <v>115</v>
      </c>
      <c r="B54" s="23">
        <f t="shared" ref="B54:AV54" si="8">COUNTIF(B2:B50,3)</f>
        <v>19</v>
      </c>
      <c r="C54" s="23">
        <f t="shared" si="8"/>
        <v>28</v>
      </c>
      <c r="D54" s="23">
        <f t="shared" si="8"/>
        <v>22</v>
      </c>
      <c r="E54" s="23">
        <f t="shared" si="8"/>
        <v>24</v>
      </c>
      <c r="F54" s="23">
        <f t="shared" si="8"/>
        <v>23</v>
      </c>
      <c r="G54" s="23">
        <f t="shared" si="8"/>
        <v>20</v>
      </c>
      <c r="H54" s="23">
        <f t="shared" si="8"/>
        <v>28</v>
      </c>
      <c r="I54" s="23">
        <f t="shared" si="8"/>
        <v>18</v>
      </c>
      <c r="J54" s="23">
        <f t="shared" si="8"/>
        <v>5</v>
      </c>
      <c r="K54" s="23">
        <f t="shared" si="8"/>
        <v>27</v>
      </c>
      <c r="L54" s="23">
        <f t="shared" si="8"/>
        <v>26</v>
      </c>
      <c r="M54" s="23">
        <f t="shared" si="8"/>
        <v>31</v>
      </c>
      <c r="N54" s="23">
        <f t="shared" si="8"/>
        <v>28</v>
      </c>
      <c r="O54" s="23">
        <f t="shared" si="8"/>
        <v>8</v>
      </c>
      <c r="P54" s="23">
        <f t="shared" si="8"/>
        <v>17</v>
      </c>
      <c r="Q54" s="23">
        <f t="shared" si="8"/>
        <v>26</v>
      </c>
      <c r="R54" s="23">
        <f t="shared" si="8"/>
        <v>12</v>
      </c>
      <c r="S54" s="23">
        <f t="shared" si="8"/>
        <v>7</v>
      </c>
      <c r="T54" s="23">
        <f t="shared" si="8"/>
        <v>21</v>
      </c>
      <c r="U54" s="23">
        <f t="shared" si="8"/>
        <v>11</v>
      </c>
      <c r="V54" s="23">
        <f t="shared" si="8"/>
        <v>11</v>
      </c>
      <c r="W54" s="23">
        <f t="shared" si="8"/>
        <v>26</v>
      </c>
      <c r="X54" s="23">
        <f t="shared" si="8"/>
        <v>23</v>
      </c>
      <c r="Y54" s="23">
        <f t="shared" si="8"/>
        <v>24</v>
      </c>
      <c r="Z54" s="23">
        <f t="shared" si="8"/>
        <v>19</v>
      </c>
      <c r="AA54" s="23">
        <f t="shared" si="8"/>
        <v>15</v>
      </c>
      <c r="AB54" s="23">
        <f t="shared" si="8"/>
        <v>6</v>
      </c>
      <c r="AC54" s="23">
        <f t="shared" si="8"/>
        <v>28</v>
      </c>
      <c r="AD54" s="23">
        <f t="shared" si="8"/>
        <v>7</v>
      </c>
      <c r="AE54" s="23">
        <f t="shared" si="8"/>
        <v>26</v>
      </c>
      <c r="AF54" s="23">
        <f t="shared" si="8"/>
        <v>17</v>
      </c>
      <c r="AG54" s="23">
        <f t="shared" si="8"/>
        <v>19</v>
      </c>
      <c r="AH54" s="23">
        <f t="shared" si="8"/>
        <v>8</v>
      </c>
      <c r="AI54" s="23">
        <f t="shared" si="8"/>
        <v>29</v>
      </c>
      <c r="AJ54" s="23">
        <f t="shared" si="8"/>
        <v>24</v>
      </c>
      <c r="AK54" s="23">
        <f t="shared" si="8"/>
        <v>2</v>
      </c>
      <c r="AL54" s="23">
        <f t="shared" si="8"/>
        <v>30</v>
      </c>
      <c r="AM54" s="23">
        <f t="shared" si="8"/>
        <v>26</v>
      </c>
      <c r="AN54" s="23">
        <f t="shared" si="8"/>
        <v>7</v>
      </c>
      <c r="AO54" s="23">
        <f t="shared" si="8"/>
        <v>31</v>
      </c>
      <c r="AP54" s="23">
        <f t="shared" si="8"/>
        <v>17</v>
      </c>
      <c r="AQ54" s="23">
        <f t="shared" si="8"/>
        <v>11</v>
      </c>
      <c r="AR54" s="23">
        <f t="shared" si="8"/>
        <v>13</v>
      </c>
      <c r="AS54" s="23">
        <f t="shared" si="8"/>
        <v>13</v>
      </c>
      <c r="AT54" s="23">
        <f t="shared" si="8"/>
        <v>23</v>
      </c>
      <c r="AU54" s="23">
        <f t="shared" si="8"/>
        <v>21</v>
      </c>
      <c r="AV54" s="23">
        <f t="shared" si="8"/>
        <v>17</v>
      </c>
      <c r="AW54" s="24">
        <f t="shared" si="6"/>
        <v>894</v>
      </c>
      <c r="AX54" s="25">
        <f t="shared" si="7"/>
        <v>0.3881893183</v>
      </c>
    </row>
    <row r="55">
      <c r="A55" s="22" t="s">
        <v>116</v>
      </c>
      <c r="B55" s="23">
        <f t="shared" ref="B55:AV55" si="9">COUNTIF(B2:B50,2)</f>
        <v>4</v>
      </c>
      <c r="C55" s="23">
        <f t="shared" si="9"/>
        <v>12</v>
      </c>
      <c r="D55" s="23">
        <f t="shared" si="9"/>
        <v>6</v>
      </c>
      <c r="E55" s="23">
        <f t="shared" si="9"/>
        <v>14</v>
      </c>
      <c r="F55" s="23">
        <f t="shared" si="9"/>
        <v>3</v>
      </c>
      <c r="G55" s="23">
        <f t="shared" si="9"/>
        <v>3</v>
      </c>
      <c r="H55" s="23">
        <f t="shared" si="9"/>
        <v>12</v>
      </c>
      <c r="I55" s="23">
        <f t="shared" si="9"/>
        <v>4</v>
      </c>
      <c r="J55" s="23">
        <f t="shared" si="9"/>
        <v>4</v>
      </c>
      <c r="K55" s="23">
        <f t="shared" si="9"/>
        <v>15</v>
      </c>
      <c r="L55" s="23">
        <f t="shared" si="9"/>
        <v>12</v>
      </c>
      <c r="M55" s="23">
        <f t="shared" si="9"/>
        <v>5</v>
      </c>
      <c r="N55" s="23">
        <f t="shared" si="9"/>
        <v>5</v>
      </c>
      <c r="O55" s="23">
        <f t="shared" si="9"/>
        <v>4</v>
      </c>
      <c r="P55" s="23">
        <f t="shared" si="9"/>
        <v>6</v>
      </c>
      <c r="Q55" s="23">
        <f t="shared" si="9"/>
        <v>6</v>
      </c>
      <c r="R55" s="23">
        <f t="shared" si="9"/>
        <v>2</v>
      </c>
      <c r="S55" s="23">
        <f t="shared" si="9"/>
        <v>2</v>
      </c>
      <c r="T55" s="23">
        <f t="shared" si="9"/>
        <v>3</v>
      </c>
      <c r="U55" s="23">
        <f t="shared" si="9"/>
        <v>1</v>
      </c>
      <c r="V55" s="23">
        <f t="shared" si="9"/>
        <v>5</v>
      </c>
      <c r="W55" s="23">
        <f t="shared" si="9"/>
        <v>6</v>
      </c>
      <c r="X55" s="23">
        <f t="shared" si="9"/>
        <v>18</v>
      </c>
      <c r="Y55" s="23">
        <f t="shared" si="9"/>
        <v>6</v>
      </c>
      <c r="Z55" s="23">
        <f t="shared" si="9"/>
        <v>15</v>
      </c>
      <c r="AA55" s="23">
        <f t="shared" si="9"/>
        <v>10</v>
      </c>
      <c r="AB55" s="23">
        <f t="shared" si="9"/>
        <v>0</v>
      </c>
      <c r="AC55" s="23">
        <f t="shared" si="9"/>
        <v>10</v>
      </c>
      <c r="AD55" s="23">
        <f t="shared" si="9"/>
        <v>0</v>
      </c>
      <c r="AE55" s="23">
        <f t="shared" si="9"/>
        <v>4</v>
      </c>
      <c r="AF55" s="23">
        <f t="shared" si="9"/>
        <v>0</v>
      </c>
      <c r="AG55" s="23">
        <f t="shared" si="9"/>
        <v>5</v>
      </c>
      <c r="AH55" s="23">
        <f t="shared" si="9"/>
        <v>1</v>
      </c>
      <c r="AI55" s="23">
        <f t="shared" si="9"/>
        <v>11</v>
      </c>
      <c r="AJ55" s="23">
        <f t="shared" si="9"/>
        <v>3</v>
      </c>
      <c r="AK55" s="23">
        <f t="shared" si="9"/>
        <v>1</v>
      </c>
      <c r="AL55" s="23">
        <f t="shared" si="9"/>
        <v>7</v>
      </c>
      <c r="AM55" s="23">
        <f t="shared" si="9"/>
        <v>8</v>
      </c>
      <c r="AN55" s="23">
        <f t="shared" si="9"/>
        <v>1</v>
      </c>
      <c r="AO55" s="23">
        <f t="shared" si="9"/>
        <v>7</v>
      </c>
      <c r="AP55" s="23">
        <f t="shared" si="9"/>
        <v>3</v>
      </c>
      <c r="AQ55" s="23">
        <f t="shared" si="9"/>
        <v>1</v>
      </c>
      <c r="AR55" s="23">
        <f t="shared" si="9"/>
        <v>2</v>
      </c>
      <c r="AS55" s="23">
        <f t="shared" si="9"/>
        <v>5</v>
      </c>
      <c r="AT55" s="23">
        <f t="shared" si="9"/>
        <v>4</v>
      </c>
      <c r="AU55" s="23">
        <f t="shared" si="9"/>
        <v>0</v>
      </c>
      <c r="AV55" s="23">
        <f t="shared" si="9"/>
        <v>7</v>
      </c>
      <c r="AW55" s="24">
        <f t="shared" si="6"/>
        <v>263</v>
      </c>
      <c r="AX55" s="25">
        <f t="shared" si="7"/>
        <v>0.114198871</v>
      </c>
    </row>
    <row r="56">
      <c r="A56" s="22" t="s">
        <v>117</v>
      </c>
      <c r="B56" s="23">
        <f t="shared" ref="B56:AV56" si="10">COUNTIF(B2:B50,1)</f>
        <v>1</v>
      </c>
      <c r="C56" s="23">
        <f t="shared" si="10"/>
        <v>4</v>
      </c>
      <c r="D56" s="23">
        <f t="shared" si="10"/>
        <v>1</v>
      </c>
      <c r="E56" s="23">
        <f t="shared" si="10"/>
        <v>3</v>
      </c>
      <c r="F56" s="23">
        <f t="shared" si="10"/>
        <v>1</v>
      </c>
      <c r="G56" s="23">
        <f t="shared" si="10"/>
        <v>3</v>
      </c>
      <c r="H56" s="23">
        <f t="shared" si="10"/>
        <v>3</v>
      </c>
      <c r="I56" s="23">
        <f t="shared" si="10"/>
        <v>1</v>
      </c>
      <c r="J56" s="23">
        <f t="shared" si="10"/>
        <v>1</v>
      </c>
      <c r="K56" s="23">
        <f t="shared" si="10"/>
        <v>4</v>
      </c>
      <c r="L56" s="23">
        <f t="shared" si="10"/>
        <v>2</v>
      </c>
      <c r="M56" s="23">
        <f t="shared" si="10"/>
        <v>2</v>
      </c>
      <c r="N56" s="23">
        <f t="shared" si="10"/>
        <v>1</v>
      </c>
      <c r="O56" s="23">
        <f t="shared" si="10"/>
        <v>2</v>
      </c>
      <c r="P56" s="23">
        <f t="shared" si="10"/>
        <v>6</v>
      </c>
      <c r="Q56" s="23">
        <f t="shared" si="10"/>
        <v>3</v>
      </c>
      <c r="R56" s="23">
        <f t="shared" si="10"/>
        <v>1</v>
      </c>
      <c r="S56" s="23">
        <f t="shared" si="10"/>
        <v>2</v>
      </c>
      <c r="T56" s="23">
        <f t="shared" si="10"/>
        <v>4</v>
      </c>
      <c r="U56" s="23">
        <f t="shared" si="10"/>
        <v>1</v>
      </c>
      <c r="V56" s="23">
        <f t="shared" si="10"/>
        <v>1</v>
      </c>
      <c r="W56" s="23">
        <f t="shared" si="10"/>
        <v>3</v>
      </c>
      <c r="X56" s="23">
        <f t="shared" si="10"/>
        <v>4</v>
      </c>
      <c r="Y56" s="23">
        <f t="shared" si="10"/>
        <v>3</v>
      </c>
      <c r="Z56" s="23">
        <f t="shared" si="10"/>
        <v>3</v>
      </c>
      <c r="AA56" s="23">
        <f t="shared" si="10"/>
        <v>5</v>
      </c>
      <c r="AB56" s="23">
        <f t="shared" si="10"/>
        <v>1</v>
      </c>
      <c r="AC56" s="23">
        <f t="shared" si="10"/>
        <v>5</v>
      </c>
      <c r="AD56" s="23">
        <f t="shared" si="10"/>
        <v>1</v>
      </c>
      <c r="AE56" s="23">
        <f t="shared" si="10"/>
        <v>1</v>
      </c>
      <c r="AF56" s="23">
        <f t="shared" si="10"/>
        <v>1</v>
      </c>
      <c r="AG56" s="23">
        <f t="shared" si="10"/>
        <v>2</v>
      </c>
      <c r="AH56" s="23">
        <f t="shared" si="10"/>
        <v>2</v>
      </c>
      <c r="AI56" s="23">
        <f t="shared" si="10"/>
        <v>4</v>
      </c>
      <c r="AJ56" s="23">
        <f t="shared" si="10"/>
        <v>2</v>
      </c>
      <c r="AK56" s="23">
        <f t="shared" si="10"/>
        <v>1</v>
      </c>
      <c r="AL56" s="23">
        <f t="shared" si="10"/>
        <v>4</v>
      </c>
      <c r="AM56" s="23">
        <f t="shared" si="10"/>
        <v>2</v>
      </c>
      <c r="AN56" s="23">
        <f t="shared" si="10"/>
        <v>1</v>
      </c>
      <c r="AO56" s="23">
        <f t="shared" si="10"/>
        <v>3</v>
      </c>
      <c r="AP56" s="23">
        <f t="shared" si="10"/>
        <v>2</v>
      </c>
      <c r="AQ56" s="23">
        <f t="shared" si="10"/>
        <v>2</v>
      </c>
      <c r="AR56" s="23">
        <f t="shared" si="10"/>
        <v>1</v>
      </c>
      <c r="AS56" s="23">
        <f t="shared" si="10"/>
        <v>1</v>
      </c>
      <c r="AT56" s="23">
        <f t="shared" si="10"/>
        <v>1</v>
      </c>
      <c r="AU56" s="23">
        <f t="shared" si="10"/>
        <v>1</v>
      </c>
      <c r="AV56" s="23">
        <f t="shared" si="10"/>
        <v>1</v>
      </c>
      <c r="AW56" s="24">
        <f t="shared" si="6"/>
        <v>104</v>
      </c>
      <c r="AX56" s="25">
        <f t="shared" si="7"/>
        <v>0.04515848893</v>
      </c>
    </row>
    <row r="57">
      <c r="A57" s="1"/>
      <c r="B57" s="1"/>
      <c r="C57" s="1"/>
      <c r="AW57" s="24">
        <f>SUM(AW52:AW56)</f>
        <v>2303</v>
      </c>
      <c r="AX57" s="25">
        <f t="shared" si="7"/>
        <v>1</v>
      </c>
    </row>
    <row r="58">
      <c r="A58" s="1"/>
      <c r="B58" s="1"/>
      <c r="C58" s="1"/>
    </row>
    <row r="59">
      <c r="A59" s="26" t="s">
        <v>118</v>
      </c>
      <c r="B59" s="27"/>
      <c r="C59" s="27"/>
    </row>
    <row r="60">
      <c r="A60" s="28" t="s">
        <v>119</v>
      </c>
      <c r="B60" s="1"/>
      <c r="C60" s="29">
        <f>AVERAGE(AW2:AW50)</f>
        <v>159.3265306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3.13"/>
  </cols>
  <sheetData>
    <row r="1">
      <c r="A1" s="30" t="s">
        <v>120</v>
      </c>
      <c r="B1" s="31" t="s">
        <v>121</v>
      </c>
      <c r="C1" s="32" t="s">
        <v>122</v>
      </c>
      <c r="D1" s="32" t="s">
        <v>123</v>
      </c>
    </row>
    <row r="2">
      <c r="A2" s="33">
        <v>1.0</v>
      </c>
      <c r="B2" s="5" t="s">
        <v>3</v>
      </c>
      <c r="C2" s="34" t="s">
        <v>124</v>
      </c>
      <c r="D2" s="34" t="s">
        <v>125</v>
      </c>
    </row>
    <row r="3">
      <c r="A3" s="33">
        <v>2.0</v>
      </c>
      <c r="B3" s="5" t="s">
        <v>6</v>
      </c>
      <c r="C3" s="34" t="s">
        <v>126</v>
      </c>
      <c r="D3" s="34" t="s">
        <v>127</v>
      </c>
    </row>
    <row r="4">
      <c r="A4" s="33">
        <v>3.0</v>
      </c>
      <c r="B4" s="5" t="s">
        <v>8</v>
      </c>
      <c r="C4" s="34" t="s">
        <v>128</v>
      </c>
      <c r="D4" s="34" t="s">
        <v>125</v>
      </c>
    </row>
    <row r="5">
      <c r="A5" s="33">
        <v>4.0</v>
      </c>
      <c r="B5" s="5" t="s">
        <v>10</v>
      </c>
      <c r="C5" s="34" t="s">
        <v>129</v>
      </c>
      <c r="D5" s="34" t="s">
        <v>125</v>
      </c>
    </row>
    <row r="6">
      <c r="A6" s="33">
        <v>5.0</v>
      </c>
      <c r="B6" s="5" t="s">
        <v>12</v>
      </c>
      <c r="C6" s="34" t="s">
        <v>126</v>
      </c>
      <c r="D6" s="34" t="s">
        <v>127</v>
      </c>
    </row>
    <row r="7">
      <c r="C7" s="35"/>
      <c r="D7" s="35"/>
    </row>
    <row r="8">
      <c r="C8" s="35"/>
      <c r="D8" s="35"/>
    </row>
    <row r="9">
      <c r="C9" s="35"/>
      <c r="D9" s="35"/>
    </row>
    <row r="10">
      <c r="C10" s="35"/>
      <c r="D10" s="35"/>
    </row>
    <row r="11">
      <c r="C11" s="35"/>
      <c r="D11" s="35"/>
    </row>
    <row r="12">
      <c r="C12" s="35"/>
      <c r="D12" s="35"/>
    </row>
    <row r="13">
      <c r="C13" s="35"/>
      <c r="D13" s="35"/>
    </row>
    <row r="14">
      <c r="C14" s="35"/>
      <c r="D14" s="35"/>
    </row>
    <row r="15">
      <c r="C15" s="35"/>
      <c r="D15" s="35"/>
    </row>
    <row r="16">
      <c r="C16" s="35"/>
      <c r="D16" s="35"/>
    </row>
    <row r="17">
      <c r="C17" s="35"/>
      <c r="D17" s="35"/>
    </row>
    <row r="18">
      <c r="C18" s="35"/>
      <c r="D18" s="35"/>
    </row>
    <row r="19">
      <c r="C19" s="35"/>
      <c r="D19" s="35"/>
    </row>
    <row r="20">
      <c r="C20" s="35"/>
      <c r="D20" s="35"/>
    </row>
    <row r="21">
      <c r="C21" s="35"/>
      <c r="D21" s="35"/>
    </row>
    <row r="22">
      <c r="C22" s="35"/>
      <c r="D22" s="35"/>
    </row>
    <row r="23">
      <c r="C23" s="35"/>
      <c r="D23" s="35"/>
    </row>
    <row r="24">
      <c r="C24" s="35"/>
      <c r="D24" s="35"/>
    </row>
    <row r="25">
      <c r="C25" s="35"/>
      <c r="D25" s="35"/>
    </row>
    <row r="26">
      <c r="C26" s="35"/>
      <c r="D26" s="35"/>
    </row>
    <row r="27">
      <c r="C27" s="35"/>
      <c r="D27" s="35"/>
    </row>
    <row r="28">
      <c r="C28" s="35"/>
      <c r="D28" s="35"/>
    </row>
    <row r="29">
      <c r="C29" s="35"/>
      <c r="D29" s="35"/>
    </row>
    <row r="30">
      <c r="C30" s="35"/>
      <c r="D30" s="35"/>
    </row>
    <row r="31">
      <c r="C31" s="35"/>
      <c r="D31" s="35"/>
    </row>
    <row r="32">
      <c r="C32" s="35"/>
      <c r="D32" s="35"/>
    </row>
    <row r="33">
      <c r="C33" s="35"/>
      <c r="D33" s="35"/>
    </row>
    <row r="34">
      <c r="C34" s="35"/>
      <c r="D34" s="35"/>
    </row>
    <row r="35">
      <c r="C35" s="35"/>
      <c r="D35" s="35"/>
    </row>
    <row r="36">
      <c r="C36" s="35"/>
      <c r="D36" s="35"/>
    </row>
    <row r="37">
      <c r="C37" s="35"/>
      <c r="D37" s="35"/>
    </row>
    <row r="38">
      <c r="C38" s="35"/>
      <c r="D38" s="35"/>
    </row>
    <row r="39">
      <c r="C39" s="35"/>
      <c r="D39" s="35"/>
    </row>
    <row r="40">
      <c r="C40" s="35"/>
      <c r="D40" s="35"/>
    </row>
    <row r="41">
      <c r="C41" s="35"/>
      <c r="D41" s="35"/>
    </row>
    <row r="42">
      <c r="C42" s="35"/>
      <c r="D42" s="35"/>
    </row>
    <row r="43">
      <c r="C43" s="35"/>
      <c r="D43" s="35"/>
    </row>
    <row r="44">
      <c r="C44" s="35"/>
      <c r="D44" s="35"/>
    </row>
    <row r="45">
      <c r="C45" s="35"/>
      <c r="D45" s="35"/>
    </row>
    <row r="46">
      <c r="C46" s="35"/>
      <c r="D46" s="35"/>
    </row>
    <row r="47">
      <c r="C47" s="35"/>
      <c r="D47" s="35"/>
    </row>
    <row r="48">
      <c r="C48" s="35"/>
      <c r="D48" s="35"/>
    </row>
    <row r="49">
      <c r="C49" s="35"/>
      <c r="D49" s="35"/>
    </row>
    <row r="50">
      <c r="C50" s="35"/>
      <c r="D50" s="35"/>
    </row>
    <row r="51">
      <c r="C51" s="35"/>
      <c r="D51" s="35"/>
    </row>
    <row r="52">
      <c r="C52" s="35"/>
      <c r="D52" s="35"/>
    </row>
    <row r="53">
      <c r="C53" s="35"/>
      <c r="D53" s="35"/>
    </row>
    <row r="54">
      <c r="C54" s="35"/>
      <c r="D54" s="35"/>
    </row>
    <row r="55">
      <c r="C55" s="35"/>
      <c r="D55" s="35"/>
    </row>
    <row r="56">
      <c r="C56" s="35"/>
      <c r="D56" s="35"/>
    </row>
    <row r="57">
      <c r="C57" s="35"/>
      <c r="D57" s="35"/>
    </row>
    <row r="58">
      <c r="C58" s="35"/>
      <c r="D58" s="35"/>
    </row>
    <row r="59">
      <c r="C59" s="35"/>
      <c r="D59" s="35"/>
    </row>
    <row r="60">
      <c r="C60" s="35"/>
      <c r="D60" s="35"/>
    </row>
    <row r="61">
      <c r="C61" s="35"/>
      <c r="D61" s="35"/>
    </row>
    <row r="62">
      <c r="C62" s="35"/>
      <c r="D62" s="35"/>
    </row>
    <row r="63">
      <c r="C63" s="35"/>
      <c r="D63" s="35"/>
    </row>
    <row r="64">
      <c r="C64" s="35"/>
      <c r="D64" s="35"/>
    </row>
    <row r="65">
      <c r="C65" s="35"/>
      <c r="D65" s="35"/>
    </row>
    <row r="66">
      <c r="C66" s="35"/>
      <c r="D66" s="35"/>
    </row>
    <row r="67">
      <c r="C67" s="35"/>
      <c r="D67" s="35"/>
    </row>
    <row r="68">
      <c r="C68" s="35"/>
      <c r="D68" s="35"/>
    </row>
    <row r="69">
      <c r="C69" s="35"/>
      <c r="D69" s="35"/>
    </row>
    <row r="70">
      <c r="C70" s="35"/>
      <c r="D70" s="35"/>
    </row>
    <row r="71">
      <c r="C71" s="35"/>
      <c r="D71" s="35"/>
    </row>
    <row r="72">
      <c r="C72" s="35"/>
      <c r="D72" s="35"/>
    </row>
    <row r="73">
      <c r="C73" s="35"/>
      <c r="D73" s="35"/>
    </row>
    <row r="74">
      <c r="C74" s="35"/>
      <c r="D74" s="35"/>
    </row>
    <row r="75">
      <c r="C75" s="35"/>
      <c r="D75" s="35"/>
    </row>
    <row r="76">
      <c r="C76" s="35"/>
      <c r="D76" s="35"/>
    </row>
    <row r="77">
      <c r="C77" s="35"/>
      <c r="D77" s="35"/>
    </row>
    <row r="78">
      <c r="C78" s="35"/>
      <c r="D78" s="35"/>
    </row>
    <row r="79">
      <c r="C79" s="35"/>
      <c r="D79" s="35"/>
    </row>
    <row r="80">
      <c r="C80" s="35"/>
      <c r="D80" s="35"/>
    </row>
    <row r="81">
      <c r="C81" s="35"/>
      <c r="D81" s="35"/>
    </row>
    <row r="82">
      <c r="C82" s="35"/>
      <c r="D82" s="35"/>
    </row>
    <row r="83">
      <c r="C83" s="35"/>
      <c r="D83" s="35"/>
    </row>
    <row r="84">
      <c r="C84" s="35"/>
      <c r="D84" s="35"/>
    </row>
    <row r="85">
      <c r="C85" s="35"/>
      <c r="D85" s="35"/>
    </row>
    <row r="86">
      <c r="C86" s="35"/>
      <c r="D86" s="35"/>
    </row>
    <row r="87">
      <c r="C87" s="35"/>
      <c r="D87" s="35"/>
    </row>
    <row r="88">
      <c r="C88" s="35"/>
      <c r="D88" s="35"/>
    </row>
    <row r="89">
      <c r="C89" s="35"/>
      <c r="D89" s="35"/>
    </row>
    <row r="90">
      <c r="C90" s="35"/>
      <c r="D90" s="35"/>
    </row>
    <row r="91">
      <c r="C91" s="35"/>
      <c r="D91" s="35"/>
    </row>
    <row r="92">
      <c r="C92" s="35"/>
      <c r="D92" s="35"/>
    </row>
    <row r="93">
      <c r="C93" s="35"/>
      <c r="D93" s="35"/>
    </row>
    <row r="94">
      <c r="C94" s="35"/>
      <c r="D94" s="35"/>
    </row>
    <row r="95">
      <c r="C95" s="35"/>
      <c r="D95" s="35"/>
    </row>
    <row r="96">
      <c r="C96" s="35"/>
      <c r="D96" s="35"/>
    </row>
    <row r="97">
      <c r="C97" s="35"/>
      <c r="D97" s="35"/>
    </row>
    <row r="98">
      <c r="C98" s="35"/>
      <c r="D98" s="35"/>
    </row>
    <row r="99">
      <c r="C99" s="35"/>
      <c r="D99" s="35"/>
    </row>
    <row r="100">
      <c r="C100" s="35"/>
      <c r="D100" s="35"/>
    </row>
    <row r="101">
      <c r="C101" s="35"/>
      <c r="D101" s="35"/>
    </row>
    <row r="102">
      <c r="C102" s="35"/>
      <c r="D102" s="35"/>
    </row>
    <row r="103">
      <c r="C103" s="35"/>
      <c r="D103" s="35"/>
    </row>
    <row r="104">
      <c r="C104" s="35"/>
      <c r="D104" s="35"/>
    </row>
    <row r="105">
      <c r="C105" s="35"/>
      <c r="D105" s="35"/>
    </row>
    <row r="106">
      <c r="C106" s="35"/>
      <c r="D106" s="35"/>
    </row>
    <row r="107">
      <c r="C107" s="35"/>
      <c r="D107" s="35"/>
    </row>
    <row r="108">
      <c r="C108" s="35"/>
      <c r="D108" s="35"/>
    </row>
    <row r="109">
      <c r="C109" s="35"/>
      <c r="D109" s="35"/>
    </row>
    <row r="110">
      <c r="C110" s="35"/>
      <c r="D110" s="35"/>
    </row>
    <row r="111">
      <c r="C111" s="35"/>
      <c r="D111" s="35"/>
    </row>
    <row r="112">
      <c r="C112" s="35"/>
      <c r="D112" s="35"/>
    </row>
    <row r="113">
      <c r="C113" s="35"/>
      <c r="D113" s="35"/>
    </row>
    <row r="114">
      <c r="C114" s="35"/>
      <c r="D114" s="35"/>
    </row>
    <row r="115">
      <c r="C115" s="35"/>
      <c r="D115" s="35"/>
    </row>
    <row r="116">
      <c r="C116" s="35"/>
      <c r="D116" s="35"/>
    </row>
    <row r="117">
      <c r="C117" s="35"/>
      <c r="D117" s="35"/>
    </row>
    <row r="118">
      <c r="C118" s="35"/>
      <c r="D118" s="35"/>
    </row>
    <row r="119">
      <c r="C119" s="35"/>
      <c r="D119" s="35"/>
    </row>
    <row r="120">
      <c r="C120" s="35"/>
      <c r="D120" s="35"/>
    </row>
    <row r="121">
      <c r="C121" s="35"/>
      <c r="D121" s="35"/>
    </row>
    <row r="122">
      <c r="C122" s="35"/>
      <c r="D122" s="35"/>
    </row>
    <row r="123">
      <c r="C123" s="35"/>
      <c r="D123" s="35"/>
    </row>
    <row r="124">
      <c r="C124" s="35"/>
      <c r="D124" s="35"/>
    </row>
    <row r="125">
      <c r="C125" s="35"/>
      <c r="D125" s="35"/>
    </row>
    <row r="126">
      <c r="C126" s="35"/>
      <c r="D126" s="35"/>
    </row>
    <row r="127">
      <c r="C127" s="35"/>
      <c r="D127" s="35"/>
    </row>
    <row r="128">
      <c r="C128" s="35"/>
      <c r="D128" s="35"/>
    </row>
    <row r="129">
      <c r="C129" s="35"/>
      <c r="D129" s="35"/>
    </row>
    <row r="130">
      <c r="C130" s="35"/>
      <c r="D130" s="35"/>
    </row>
    <row r="131">
      <c r="C131" s="35"/>
      <c r="D131" s="35"/>
    </row>
    <row r="132">
      <c r="C132" s="35"/>
      <c r="D132" s="35"/>
    </row>
    <row r="133">
      <c r="C133" s="35"/>
      <c r="D133" s="35"/>
    </row>
    <row r="134">
      <c r="C134" s="35"/>
      <c r="D134" s="35"/>
    </row>
    <row r="135">
      <c r="C135" s="35"/>
      <c r="D135" s="35"/>
    </row>
    <row r="136">
      <c r="C136" s="35"/>
      <c r="D136" s="35"/>
    </row>
    <row r="137">
      <c r="C137" s="35"/>
      <c r="D137" s="35"/>
    </row>
    <row r="138">
      <c r="C138" s="35"/>
      <c r="D138" s="35"/>
    </row>
    <row r="139">
      <c r="C139" s="35"/>
      <c r="D139" s="35"/>
    </row>
    <row r="140">
      <c r="C140" s="35"/>
      <c r="D140" s="35"/>
    </row>
    <row r="141">
      <c r="C141" s="35"/>
      <c r="D141" s="35"/>
    </row>
    <row r="142">
      <c r="C142" s="35"/>
      <c r="D142" s="35"/>
    </row>
    <row r="143">
      <c r="C143" s="35"/>
      <c r="D143" s="35"/>
    </row>
    <row r="144">
      <c r="C144" s="35"/>
      <c r="D144" s="35"/>
    </row>
    <row r="145">
      <c r="C145" s="35"/>
      <c r="D145" s="35"/>
    </row>
    <row r="146">
      <c r="C146" s="35"/>
      <c r="D146" s="35"/>
    </row>
    <row r="147">
      <c r="C147" s="35"/>
      <c r="D147" s="35"/>
    </row>
    <row r="148">
      <c r="C148" s="35"/>
      <c r="D148" s="35"/>
    </row>
    <row r="149">
      <c r="C149" s="35"/>
      <c r="D149" s="35"/>
    </row>
    <row r="150">
      <c r="C150" s="35"/>
      <c r="D150" s="35"/>
    </row>
    <row r="151">
      <c r="C151" s="35"/>
      <c r="D151" s="35"/>
    </row>
    <row r="152">
      <c r="C152" s="35"/>
      <c r="D152" s="35"/>
    </row>
    <row r="153">
      <c r="C153" s="35"/>
      <c r="D153" s="35"/>
    </row>
    <row r="154">
      <c r="C154" s="35"/>
      <c r="D154" s="35"/>
    </row>
    <row r="155">
      <c r="C155" s="35"/>
      <c r="D155" s="35"/>
    </row>
    <row r="156">
      <c r="C156" s="35"/>
      <c r="D156" s="35"/>
    </row>
    <row r="157">
      <c r="C157" s="35"/>
      <c r="D157" s="35"/>
    </row>
    <row r="158">
      <c r="C158" s="35"/>
      <c r="D158" s="35"/>
    </row>
    <row r="159">
      <c r="C159" s="35"/>
      <c r="D159" s="35"/>
    </row>
    <row r="160">
      <c r="C160" s="35"/>
      <c r="D160" s="35"/>
    </row>
    <row r="161">
      <c r="C161" s="35"/>
      <c r="D161" s="35"/>
    </row>
    <row r="162">
      <c r="C162" s="35"/>
      <c r="D162" s="35"/>
    </row>
    <row r="163">
      <c r="C163" s="35"/>
      <c r="D163" s="35"/>
    </row>
    <row r="164">
      <c r="C164" s="35"/>
      <c r="D164" s="35"/>
    </row>
    <row r="165">
      <c r="C165" s="35"/>
      <c r="D165" s="35"/>
    </row>
    <row r="166">
      <c r="C166" s="35"/>
      <c r="D166" s="35"/>
    </row>
    <row r="167">
      <c r="C167" s="35"/>
      <c r="D167" s="35"/>
    </row>
    <row r="168">
      <c r="C168" s="35"/>
      <c r="D168" s="35"/>
    </row>
    <row r="169">
      <c r="C169" s="35"/>
      <c r="D169" s="35"/>
    </row>
    <row r="170">
      <c r="C170" s="35"/>
      <c r="D170" s="35"/>
    </row>
    <row r="171">
      <c r="C171" s="35"/>
      <c r="D171" s="35"/>
    </row>
    <row r="172">
      <c r="C172" s="35"/>
      <c r="D172" s="35"/>
    </row>
    <row r="173">
      <c r="C173" s="35"/>
      <c r="D173" s="35"/>
    </row>
    <row r="174">
      <c r="C174" s="35"/>
      <c r="D174" s="35"/>
    </row>
    <row r="175">
      <c r="C175" s="35"/>
      <c r="D175" s="35"/>
    </row>
    <row r="176">
      <c r="C176" s="35"/>
      <c r="D176" s="35"/>
    </row>
    <row r="177">
      <c r="C177" s="35"/>
      <c r="D177" s="35"/>
    </row>
    <row r="178">
      <c r="C178" s="35"/>
      <c r="D178" s="35"/>
    </row>
    <row r="179">
      <c r="C179" s="35"/>
      <c r="D179" s="35"/>
    </row>
    <row r="180">
      <c r="C180" s="35"/>
      <c r="D180" s="35"/>
    </row>
    <row r="181">
      <c r="C181" s="35"/>
      <c r="D181" s="35"/>
    </row>
    <row r="182">
      <c r="C182" s="35"/>
      <c r="D182" s="35"/>
    </row>
    <row r="183">
      <c r="C183" s="35"/>
      <c r="D183" s="35"/>
    </row>
    <row r="184">
      <c r="C184" s="35"/>
      <c r="D184" s="35"/>
    </row>
    <row r="185">
      <c r="C185" s="35"/>
      <c r="D185" s="35"/>
    </row>
    <row r="186">
      <c r="C186" s="35"/>
      <c r="D186" s="35"/>
    </row>
    <row r="187">
      <c r="C187" s="35"/>
      <c r="D187" s="35"/>
    </row>
    <row r="188">
      <c r="C188" s="35"/>
      <c r="D188" s="35"/>
    </row>
    <row r="189">
      <c r="C189" s="35"/>
      <c r="D189" s="35"/>
    </row>
    <row r="190">
      <c r="C190" s="35"/>
      <c r="D190" s="35"/>
    </row>
    <row r="191">
      <c r="C191" s="35"/>
      <c r="D191" s="35"/>
    </row>
    <row r="192">
      <c r="C192" s="35"/>
      <c r="D192" s="35"/>
    </row>
    <row r="193">
      <c r="C193" s="35"/>
      <c r="D193" s="35"/>
    </row>
    <row r="194">
      <c r="C194" s="35"/>
      <c r="D194" s="35"/>
    </row>
    <row r="195">
      <c r="C195" s="35"/>
      <c r="D195" s="35"/>
    </row>
    <row r="196">
      <c r="C196" s="35"/>
      <c r="D196" s="35"/>
    </row>
    <row r="197">
      <c r="C197" s="35"/>
      <c r="D197" s="35"/>
    </row>
    <row r="198">
      <c r="C198" s="35"/>
      <c r="D198" s="35"/>
    </row>
    <row r="199">
      <c r="C199" s="35"/>
      <c r="D199" s="35"/>
    </row>
    <row r="200">
      <c r="C200" s="35"/>
      <c r="D200" s="35"/>
    </row>
    <row r="201">
      <c r="C201" s="35"/>
      <c r="D201" s="35"/>
    </row>
    <row r="202">
      <c r="C202" s="35"/>
      <c r="D202" s="35"/>
    </row>
    <row r="203">
      <c r="C203" s="35"/>
      <c r="D203" s="35"/>
    </row>
    <row r="204">
      <c r="C204" s="35"/>
      <c r="D204" s="35"/>
    </row>
    <row r="205">
      <c r="C205" s="35"/>
      <c r="D205" s="35"/>
    </row>
    <row r="206">
      <c r="C206" s="35"/>
      <c r="D206" s="35"/>
    </row>
    <row r="207">
      <c r="C207" s="35"/>
      <c r="D207" s="35"/>
    </row>
    <row r="208">
      <c r="C208" s="35"/>
      <c r="D208" s="35"/>
    </row>
    <row r="209">
      <c r="C209" s="35"/>
      <c r="D209" s="35"/>
    </row>
    <row r="210">
      <c r="C210" s="35"/>
      <c r="D210" s="35"/>
    </row>
    <row r="211">
      <c r="C211" s="35"/>
      <c r="D211" s="35"/>
    </row>
    <row r="212">
      <c r="C212" s="35"/>
      <c r="D212" s="35"/>
    </row>
    <row r="213">
      <c r="C213" s="35"/>
      <c r="D213" s="35"/>
    </row>
    <row r="214">
      <c r="C214" s="35"/>
      <c r="D214" s="35"/>
    </row>
    <row r="215">
      <c r="C215" s="35"/>
      <c r="D215" s="35"/>
    </row>
    <row r="216">
      <c r="C216" s="35"/>
      <c r="D216" s="35"/>
    </row>
    <row r="217">
      <c r="C217" s="35"/>
      <c r="D217" s="35"/>
    </row>
    <row r="218">
      <c r="C218" s="35"/>
      <c r="D218" s="35"/>
    </row>
    <row r="219">
      <c r="C219" s="35"/>
      <c r="D219" s="35"/>
    </row>
    <row r="220">
      <c r="C220" s="35"/>
      <c r="D220" s="35"/>
    </row>
    <row r="221">
      <c r="C221" s="35"/>
      <c r="D221" s="35"/>
    </row>
    <row r="222">
      <c r="C222" s="35"/>
      <c r="D222" s="35"/>
    </row>
    <row r="223">
      <c r="C223" s="35"/>
      <c r="D223" s="35"/>
    </row>
    <row r="224">
      <c r="C224" s="35"/>
      <c r="D224" s="35"/>
    </row>
    <row r="225">
      <c r="C225" s="35"/>
      <c r="D225" s="35"/>
    </row>
    <row r="226">
      <c r="C226" s="35"/>
      <c r="D226" s="35"/>
    </row>
    <row r="227">
      <c r="C227" s="35"/>
      <c r="D227" s="35"/>
    </row>
    <row r="228">
      <c r="C228" s="35"/>
      <c r="D228" s="35"/>
    </row>
    <row r="229">
      <c r="C229" s="35"/>
      <c r="D229" s="35"/>
    </row>
    <row r="230">
      <c r="C230" s="35"/>
      <c r="D230" s="35"/>
    </row>
    <row r="231">
      <c r="C231" s="35"/>
      <c r="D231" s="35"/>
    </row>
    <row r="232">
      <c r="C232" s="35"/>
      <c r="D232" s="35"/>
    </row>
    <row r="233">
      <c r="C233" s="35"/>
      <c r="D233" s="35"/>
    </row>
    <row r="234">
      <c r="C234" s="35"/>
      <c r="D234" s="35"/>
    </row>
    <row r="235">
      <c r="C235" s="35"/>
      <c r="D235" s="35"/>
    </row>
    <row r="236">
      <c r="C236" s="35"/>
      <c r="D236" s="35"/>
    </row>
    <row r="237">
      <c r="C237" s="35"/>
      <c r="D237" s="35"/>
    </row>
    <row r="238">
      <c r="C238" s="35"/>
      <c r="D238" s="35"/>
    </row>
    <row r="239">
      <c r="C239" s="35"/>
      <c r="D239" s="35"/>
    </row>
    <row r="240">
      <c r="C240" s="35"/>
      <c r="D240" s="35"/>
    </row>
    <row r="241">
      <c r="C241" s="35"/>
      <c r="D241" s="35"/>
    </row>
    <row r="242">
      <c r="C242" s="35"/>
      <c r="D242" s="35"/>
    </row>
    <row r="243">
      <c r="C243" s="35"/>
      <c r="D243" s="35"/>
    </row>
    <row r="244">
      <c r="C244" s="35"/>
      <c r="D244" s="35"/>
    </row>
    <row r="245">
      <c r="C245" s="35"/>
      <c r="D245" s="35"/>
    </row>
    <row r="246">
      <c r="C246" s="35"/>
      <c r="D246" s="35"/>
    </row>
    <row r="247">
      <c r="C247" s="35"/>
      <c r="D247" s="35"/>
    </row>
    <row r="248">
      <c r="C248" s="35"/>
      <c r="D248" s="35"/>
    </row>
    <row r="249">
      <c r="C249" s="35"/>
      <c r="D249" s="35"/>
    </row>
    <row r="250">
      <c r="C250" s="35"/>
      <c r="D250" s="35"/>
    </row>
    <row r="251">
      <c r="C251" s="35"/>
      <c r="D251" s="35"/>
    </row>
    <row r="252">
      <c r="C252" s="35"/>
      <c r="D252" s="35"/>
    </row>
    <row r="253">
      <c r="C253" s="35"/>
      <c r="D253" s="35"/>
    </row>
    <row r="254">
      <c r="C254" s="35"/>
      <c r="D254" s="35"/>
    </row>
    <row r="255">
      <c r="C255" s="35"/>
      <c r="D255" s="35"/>
    </row>
    <row r="256">
      <c r="C256" s="35"/>
      <c r="D256" s="35"/>
    </row>
    <row r="257">
      <c r="C257" s="35"/>
      <c r="D257" s="35"/>
    </row>
    <row r="258">
      <c r="C258" s="35"/>
      <c r="D258" s="35"/>
    </row>
    <row r="259">
      <c r="C259" s="35"/>
      <c r="D259" s="35"/>
    </row>
    <row r="260">
      <c r="C260" s="35"/>
      <c r="D260" s="35"/>
    </row>
    <row r="261">
      <c r="C261" s="35"/>
      <c r="D261" s="35"/>
    </row>
    <row r="262">
      <c r="C262" s="35"/>
      <c r="D262" s="35"/>
    </row>
    <row r="263">
      <c r="C263" s="35"/>
      <c r="D263" s="35"/>
    </row>
    <row r="264">
      <c r="C264" s="35"/>
      <c r="D264" s="35"/>
    </row>
    <row r="265">
      <c r="C265" s="35"/>
      <c r="D265" s="35"/>
    </row>
    <row r="266">
      <c r="C266" s="35"/>
      <c r="D266" s="35"/>
    </row>
    <row r="267">
      <c r="C267" s="35"/>
      <c r="D267" s="35"/>
    </row>
    <row r="268">
      <c r="C268" s="35"/>
      <c r="D268" s="35"/>
    </row>
    <row r="269">
      <c r="C269" s="35"/>
      <c r="D269" s="35"/>
    </row>
    <row r="270">
      <c r="C270" s="35"/>
      <c r="D270" s="35"/>
    </row>
    <row r="271">
      <c r="C271" s="35"/>
      <c r="D271" s="35"/>
    </row>
    <row r="272">
      <c r="C272" s="35"/>
      <c r="D272" s="35"/>
    </row>
    <row r="273">
      <c r="C273" s="35"/>
      <c r="D273" s="35"/>
    </row>
    <row r="274">
      <c r="C274" s="35"/>
      <c r="D274" s="35"/>
    </row>
    <row r="275">
      <c r="C275" s="35"/>
      <c r="D275" s="35"/>
    </row>
    <row r="276">
      <c r="C276" s="35"/>
      <c r="D276" s="35"/>
    </row>
    <row r="277">
      <c r="C277" s="35"/>
      <c r="D277" s="35"/>
    </row>
    <row r="278">
      <c r="C278" s="35"/>
      <c r="D278" s="35"/>
    </row>
    <row r="279">
      <c r="C279" s="35"/>
      <c r="D279" s="35"/>
    </row>
    <row r="280">
      <c r="C280" s="35"/>
      <c r="D280" s="35"/>
    </row>
    <row r="281">
      <c r="C281" s="35"/>
      <c r="D281" s="35"/>
    </row>
    <row r="282">
      <c r="C282" s="35"/>
      <c r="D282" s="35"/>
    </row>
    <row r="283">
      <c r="C283" s="35"/>
      <c r="D283" s="35"/>
    </row>
    <row r="284">
      <c r="C284" s="35"/>
      <c r="D284" s="35"/>
    </row>
    <row r="285">
      <c r="C285" s="35"/>
      <c r="D285" s="35"/>
    </row>
    <row r="286">
      <c r="C286" s="35"/>
      <c r="D286" s="35"/>
    </row>
    <row r="287">
      <c r="C287" s="35"/>
      <c r="D287" s="35"/>
    </row>
    <row r="288">
      <c r="C288" s="35"/>
      <c r="D288" s="35"/>
    </row>
    <row r="289">
      <c r="C289" s="35"/>
      <c r="D289" s="35"/>
    </row>
    <row r="290">
      <c r="C290" s="35"/>
      <c r="D290" s="35"/>
    </row>
    <row r="291">
      <c r="C291" s="35"/>
      <c r="D291" s="35"/>
    </row>
    <row r="292">
      <c r="C292" s="35"/>
      <c r="D292" s="35"/>
    </row>
    <row r="293">
      <c r="C293" s="35"/>
      <c r="D293" s="35"/>
    </row>
    <row r="294">
      <c r="C294" s="35"/>
      <c r="D294" s="35"/>
    </row>
    <row r="295">
      <c r="C295" s="35"/>
      <c r="D295" s="35"/>
    </row>
    <row r="296">
      <c r="C296" s="35"/>
      <c r="D296" s="35"/>
    </row>
    <row r="297">
      <c r="C297" s="35"/>
      <c r="D297" s="35"/>
    </row>
    <row r="298">
      <c r="C298" s="35"/>
      <c r="D298" s="35"/>
    </row>
    <row r="299">
      <c r="C299" s="35"/>
      <c r="D299" s="35"/>
    </row>
    <row r="300">
      <c r="C300" s="35"/>
      <c r="D300" s="35"/>
    </row>
    <row r="301">
      <c r="C301" s="35"/>
      <c r="D301" s="35"/>
    </row>
    <row r="302">
      <c r="C302" s="35"/>
      <c r="D302" s="35"/>
    </row>
    <row r="303">
      <c r="C303" s="35"/>
      <c r="D303" s="35"/>
    </row>
    <row r="304">
      <c r="C304" s="35"/>
      <c r="D304" s="35"/>
    </row>
    <row r="305">
      <c r="C305" s="35"/>
      <c r="D305" s="35"/>
    </row>
    <row r="306">
      <c r="C306" s="35"/>
      <c r="D306" s="35"/>
    </row>
    <row r="307">
      <c r="C307" s="35"/>
      <c r="D307" s="35"/>
    </row>
    <row r="308">
      <c r="C308" s="35"/>
      <c r="D308" s="35"/>
    </row>
    <row r="309">
      <c r="C309" s="35"/>
      <c r="D309" s="35"/>
    </row>
    <row r="310">
      <c r="C310" s="35"/>
      <c r="D310" s="35"/>
    </row>
    <row r="311">
      <c r="C311" s="35"/>
      <c r="D311" s="35"/>
    </row>
    <row r="312">
      <c r="C312" s="35"/>
      <c r="D312" s="35"/>
    </row>
    <row r="313">
      <c r="C313" s="35"/>
      <c r="D313" s="35"/>
    </row>
    <row r="314">
      <c r="C314" s="35"/>
      <c r="D314" s="35"/>
    </row>
    <row r="315">
      <c r="C315" s="35"/>
      <c r="D315" s="35"/>
    </row>
    <row r="316">
      <c r="C316" s="35"/>
      <c r="D316" s="35"/>
    </row>
    <row r="317">
      <c r="C317" s="35"/>
      <c r="D317" s="35"/>
    </row>
    <row r="318">
      <c r="C318" s="35"/>
      <c r="D318" s="35"/>
    </row>
    <row r="319">
      <c r="C319" s="35"/>
      <c r="D319" s="35"/>
    </row>
    <row r="320">
      <c r="C320" s="35"/>
      <c r="D320" s="35"/>
    </row>
    <row r="321">
      <c r="C321" s="35"/>
      <c r="D321" s="35"/>
    </row>
    <row r="322">
      <c r="C322" s="35"/>
      <c r="D322" s="35"/>
    </row>
    <row r="323">
      <c r="C323" s="35"/>
      <c r="D323" s="35"/>
    </row>
    <row r="324">
      <c r="C324" s="35"/>
      <c r="D324" s="35"/>
    </row>
    <row r="325">
      <c r="C325" s="35"/>
      <c r="D325" s="35"/>
    </row>
    <row r="326">
      <c r="C326" s="35"/>
      <c r="D326" s="35"/>
    </row>
    <row r="327">
      <c r="C327" s="35"/>
      <c r="D327" s="35"/>
    </row>
    <row r="328">
      <c r="C328" s="35"/>
      <c r="D328" s="35"/>
    </row>
    <row r="329">
      <c r="C329" s="35"/>
      <c r="D329" s="35"/>
    </row>
    <row r="330">
      <c r="C330" s="35"/>
      <c r="D330" s="35"/>
    </row>
    <row r="331">
      <c r="C331" s="35"/>
      <c r="D331" s="35"/>
    </row>
    <row r="332">
      <c r="C332" s="35"/>
      <c r="D332" s="35"/>
    </row>
    <row r="333">
      <c r="C333" s="35"/>
      <c r="D333" s="35"/>
    </row>
    <row r="334">
      <c r="C334" s="35"/>
      <c r="D334" s="35"/>
    </row>
    <row r="335">
      <c r="C335" s="35"/>
      <c r="D335" s="35"/>
    </row>
    <row r="336">
      <c r="C336" s="35"/>
      <c r="D336" s="35"/>
    </row>
    <row r="337">
      <c r="C337" s="35"/>
      <c r="D337" s="35"/>
    </row>
    <row r="338">
      <c r="C338" s="35"/>
      <c r="D338" s="35"/>
    </row>
    <row r="339">
      <c r="C339" s="35"/>
      <c r="D339" s="35"/>
    </row>
    <row r="340">
      <c r="C340" s="35"/>
      <c r="D340" s="35"/>
    </row>
    <row r="341">
      <c r="C341" s="35"/>
      <c r="D341" s="35"/>
    </row>
    <row r="342">
      <c r="C342" s="35"/>
      <c r="D342" s="35"/>
    </row>
    <row r="343">
      <c r="C343" s="35"/>
      <c r="D343" s="35"/>
    </row>
    <row r="344">
      <c r="C344" s="35"/>
      <c r="D344" s="35"/>
    </row>
    <row r="345">
      <c r="C345" s="35"/>
      <c r="D345" s="35"/>
    </row>
    <row r="346">
      <c r="C346" s="35"/>
      <c r="D346" s="35"/>
    </row>
    <row r="347">
      <c r="C347" s="35"/>
      <c r="D347" s="35"/>
    </row>
    <row r="348">
      <c r="C348" s="35"/>
      <c r="D348" s="35"/>
    </row>
    <row r="349">
      <c r="C349" s="35"/>
      <c r="D349" s="35"/>
    </row>
    <row r="350">
      <c r="C350" s="35"/>
      <c r="D350" s="35"/>
    </row>
    <row r="351">
      <c r="C351" s="35"/>
      <c r="D351" s="35"/>
    </row>
    <row r="352">
      <c r="C352" s="35"/>
      <c r="D352" s="35"/>
    </row>
    <row r="353">
      <c r="C353" s="35"/>
      <c r="D353" s="35"/>
    </row>
    <row r="354">
      <c r="C354" s="35"/>
      <c r="D354" s="35"/>
    </row>
    <row r="355">
      <c r="C355" s="35"/>
      <c r="D355" s="35"/>
    </row>
    <row r="356">
      <c r="C356" s="35"/>
      <c r="D356" s="35"/>
    </row>
    <row r="357">
      <c r="C357" s="35"/>
      <c r="D357" s="35"/>
    </row>
    <row r="358">
      <c r="C358" s="35"/>
      <c r="D358" s="35"/>
    </row>
    <row r="359">
      <c r="C359" s="35"/>
      <c r="D359" s="35"/>
    </row>
    <row r="360">
      <c r="C360" s="35"/>
      <c r="D360" s="35"/>
    </row>
    <row r="361">
      <c r="C361" s="35"/>
      <c r="D361" s="35"/>
    </row>
    <row r="362">
      <c r="C362" s="35"/>
      <c r="D362" s="35"/>
    </row>
    <row r="363">
      <c r="C363" s="35"/>
      <c r="D363" s="35"/>
    </row>
    <row r="364">
      <c r="C364" s="35"/>
      <c r="D364" s="35"/>
    </row>
    <row r="365">
      <c r="C365" s="35"/>
      <c r="D365" s="35"/>
    </row>
    <row r="366">
      <c r="C366" s="35"/>
      <c r="D366" s="35"/>
    </row>
    <row r="367">
      <c r="C367" s="35"/>
      <c r="D367" s="35"/>
    </row>
    <row r="368">
      <c r="C368" s="35"/>
      <c r="D368" s="35"/>
    </row>
    <row r="369">
      <c r="C369" s="35"/>
      <c r="D369" s="35"/>
    </row>
    <row r="370">
      <c r="C370" s="35"/>
      <c r="D370" s="35"/>
    </row>
    <row r="371">
      <c r="C371" s="35"/>
      <c r="D371" s="35"/>
    </row>
    <row r="372">
      <c r="C372" s="35"/>
      <c r="D372" s="35"/>
    </row>
    <row r="373">
      <c r="C373" s="35"/>
      <c r="D373" s="35"/>
    </row>
    <row r="374">
      <c r="C374" s="35"/>
      <c r="D374" s="35"/>
    </row>
    <row r="375">
      <c r="C375" s="35"/>
      <c r="D375" s="35"/>
    </row>
    <row r="376">
      <c r="C376" s="35"/>
      <c r="D376" s="35"/>
    </row>
    <row r="377">
      <c r="C377" s="35"/>
      <c r="D377" s="35"/>
    </row>
    <row r="378">
      <c r="C378" s="35"/>
      <c r="D378" s="35"/>
    </row>
    <row r="379">
      <c r="C379" s="35"/>
      <c r="D379" s="35"/>
    </row>
    <row r="380">
      <c r="C380" s="35"/>
      <c r="D380" s="35"/>
    </row>
    <row r="381">
      <c r="C381" s="35"/>
      <c r="D381" s="35"/>
    </row>
    <row r="382">
      <c r="C382" s="35"/>
      <c r="D382" s="35"/>
    </row>
    <row r="383">
      <c r="C383" s="35"/>
      <c r="D383" s="35"/>
    </row>
    <row r="384">
      <c r="C384" s="35"/>
      <c r="D384" s="35"/>
    </row>
    <row r="385">
      <c r="C385" s="35"/>
      <c r="D385" s="35"/>
    </row>
    <row r="386">
      <c r="C386" s="35"/>
      <c r="D386" s="35"/>
    </row>
    <row r="387">
      <c r="C387" s="35"/>
      <c r="D387" s="35"/>
    </row>
    <row r="388">
      <c r="C388" s="35"/>
      <c r="D388" s="35"/>
    </row>
    <row r="389">
      <c r="C389" s="35"/>
      <c r="D389" s="35"/>
    </row>
    <row r="390">
      <c r="C390" s="35"/>
      <c r="D390" s="35"/>
    </row>
    <row r="391">
      <c r="C391" s="35"/>
      <c r="D391" s="35"/>
    </row>
    <row r="392">
      <c r="C392" s="35"/>
      <c r="D392" s="35"/>
    </row>
    <row r="393">
      <c r="C393" s="35"/>
      <c r="D393" s="35"/>
    </row>
    <row r="394">
      <c r="C394" s="35"/>
      <c r="D394" s="35"/>
    </row>
    <row r="395">
      <c r="C395" s="35"/>
      <c r="D395" s="35"/>
    </row>
    <row r="396">
      <c r="C396" s="35"/>
      <c r="D396" s="35"/>
    </row>
    <row r="397">
      <c r="C397" s="35"/>
      <c r="D397" s="35"/>
    </row>
    <row r="398">
      <c r="C398" s="35"/>
      <c r="D398" s="35"/>
    </row>
    <row r="399">
      <c r="C399" s="35"/>
      <c r="D399" s="35"/>
    </row>
    <row r="400">
      <c r="C400" s="35"/>
      <c r="D400" s="35"/>
    </row>
    <row r="401">
      <c r="C401" s="35"/>
      <c r="D401" s="35"/>
    </row>
    <row r="402">
      <c r="C402" s="35"/>
      <c r="D402" s="35"/>
    </row>
    <row r="403">
      <c r="C403" s="35"/>
      <c r="D403" s="35"/>
    </row>
    <row r="404">
      <c r="C404" s="35"/>
      <c r="D404" s="35"/>
    </row>
    <row r="405">
      <c r="C405" s="35"/>
      <c r="D405" s="35"/>
    </row>
    <row r="406">
      <c r="C406" s="35"/>
      <c r="D406" s="35"/>
    </row>
    <row r="407">
      <c r="C407" s="35"/>
      <c r="D407" s="35"/>
    </row>
    <row r="408">
      <c r="C408" s="35"/>
      <c r="D408" s="35"/>
    </row>
    <row r="409">
      <c r="C409" s="35"/>
      <c r="D409" s="35"/>
    </row>
    <row r="410">
      <c r="C410" s="35"/>
      <c r="D410" s="35"/>
    </row>
    <row r="411">
      <c r="C411" s="35"/>
      <c r="D411" s="35"/>
    </row>
    <row r="412">
      <c r="C412" s="35"/>
      <c r="D412" s="35"/>
    </row>
    <row r="413">
      <c r="C413" s="35"/>
      <c r="D413" s="35"/>
    </row>
    <row r="414">
      <c r="C414" s="35"/>
      <c r="D414" s="35"/>
    </row>
    <row r="415">
      <c r="C415" s="35"/>
      <c r="D415" s="35"/>
    </row>
    <row r="416">
      <c r="C416" s="35"/>
      <c r="D416" s="35"/>
    </row>
    <row r="417">
      <c r="C417" s="35"/>
      <c r="D417" s="35"/>
    </row>
    <row r="418">
      <c r="C418" s="35"/>
      <c r="D418" s="35"/>
    </row>
    <row r="419">
      <c r="C419" s="35"/>
      <c r="D419" s="35"/>
    </row>
    <row r="420">
      <c r="C420" s="35"/>
      <c r="D420" s="35"/>
    </row>
    <row r="421">
      <c r="C421" s="35"/>
      <c r="D421" s="35"/>
    </row>
    <row r="422">
      <c r="C422" s="35"/>
      <c r="D422" s="35"/>
    </row>
    <row r="423">
      <c r="C423" s="35"/>
      <c r="D423" s="35"/>
    </row>
    <row r="424">
      <c r="C424" s="35"/>
      <c r="D424" s="35"/>
    </row>
    <row r="425">
      <c r="C425" s="35"/>
      <c r="D425" s="35"/>
    </row>
    <row r="426">
      <c r="C426" s="35"/>
      <c r="D426" s="35"/>
    </row>
    <row r="427">
      <c r="C427" s="35"/>
      <c r="D427" s="35"/>
    </row>
    <row r="428">
      <c r="C428" s="35"/>
      <c r="D428" s="35"/>
    </row>
    <row r="429">
      <c r="C429" s="35"/>
      <c r="D429" s="35"/>
    </row>
    <row r="430">
      <c r="C430" s="35"/>
      <c r="D430" s="35"/>
    </row>
    <row r="431">
      <c r="C431" s="35"/>
      <c r="D431" s="35"/>
    </row>
    <row r="432">
      <c r="C432" s="35"/>
      <c r="D432" s="35"/>
    </row>
    <row r="433">
      <c r="C433" s="35"/>
      <c r="D433" s="35"/>
    </row>
    <row r="434">
      <c r="C434" s="35"/>
      <c r="D434" s="35"/>
    </row>
    <row r="435">
      <c r="C435" s="35"/>
      <c r="D435" s="35"/>
    </row>
    <row r="436">
      <c r="C436" s="35"/>
      <c r="D436" s="35"/>
    </row>
    <row r="437">
      <c r="C437" s="35"/>
      <c r="D437" s="35"/>
    </row>
    <row r="438">
      <c r="C438" s="35"/>
      <c r="D438" s="35"/>
    </row>
    <row r="439">
      <c r="C439" s="35"/>
      <c r="D439" s="35"/>
    </row>
    <row r="440">
      <c r="C440" s="35"/>
      <c r="D440" s="35"/>
    </row>
    <row r="441">
      <c r="C441" s="35"/>
      <c r="D441" s="35"/>
    </row>
    <row r="442">
      <c r="C442" s="35"/>
      <c r="D442" s="35"/>
    </row>
    <row r="443">
      <c r="C443" s="35"/>
      <c r="D443" s="35"/>
    </row>
    <row r="444">
      <c r="C444" s="35"/>
      <c r="D444" s="35"/>
    </row>
    <row r="445">
      <c r="C445" s="35"/>
      <c r="D445" s="35"/>
    </row>
    <row r="446">
      <c r="C446" s="35"/>
      <c r="D446" s="35"/>
    </row>
    <row r="447">
      <c r="C447" s="35"/>
      <c r="D447" s="35"/>
    </row>
    <row r="448">
      <c r="C448" s="35"/>
      <c r="D448" s="35"/>
    </row>
    <row r="449">
      <c r="C449" s="35"/>
      <c r="D449" s="35"/>
    </row>
    <row r="450">
      <c r="C450" s="35"/>
      <c r="D450" s="35"/>
    </row>
    <row r="451">
      <c r="C451" s="35"/>
      <c r="D451" s="35"/>
    </row>
    <row r="452">
      <c r="C452" s="35"/>
      <c r="D452" s="35"/>
    </row>
    <row r="453">
      <c r="C453" s="35"/>
      <c r="D453" s="35"/>
    </row>
    <row r="454">
      <c r="C454" s="35"/>
      <c r="D454" s="35"/>
    </row>
    <row r="455">
      <c r="C455" s="35"/>
      <c r="D455" s="35"/>
    </row>
    <row r="456">
      <c r="C456" s="35"/>
      <c r="D456" s="35"/>
    </row>
    <row r="457">
      <c r="C457" s="35"/>
      <c r="D457" s="35"/>
    </row>
    <row r="458">
      <c r="C458" s="35"/>
      <c r="D458" s="35"/>
    </row>
    <row r="459">
      <c r="C459" s="35"/>
      <c r="D459" s="35"/>
    </row>
    <row r="460">
      <c r="C460" s="35"/>
      <c r="D460" s="35"/>
    </row>
    <row r="461">
      <c r="C461" s="35"/>
      <c r="D461" s="35"/>
    </row>
    <row r="462">
      <c r="C462" s="35"/>
      <c r="D462" s="35"/>
    </row>
    <row r="463">
      <c r="C463" s="35"/>
      <c r="D463" s="35"/>
    </row>
    <row r="464">
      <c r="C464" s="35"/>
      <c r="D464" s="35"/>
    </row>
    <row r="465">
      <c r="C465" s="35"/>
      <c r="D465" s="35"/>
    </row>
    <row r="466">
      <c r="C466" s="35"/>
      <c r="D466" s="35"/>
    </row>
    <row r="467">
      <c r="C467" s="35"/>
      <c r="D467" s="35"/>
    </row>
    <row r="468">
      <c r="C468" s="35"/>
      <c r="D468" s="35"/>
    </row>
    <row r="469">
      <c r="C469" s="35"/>
      <c r="D469" s="35"/>
    </row>
    <row r="470">
      <c r="C470" s="35"/>
      <c r="D470" s="35"/>
    </row>
    <row r="471">
      <c r="C471" s="35"/>
      <c r="D471" s="35"/>
    </row>
    <row r="472">
      <c r="C472" s="35"/>
      <c r="D472" s="35"/>
    </row>
    <row r="473">
      <c r="C473" s="35"/>
      <c r="D473" s="35"/>
    </row>
    <row r="474">
      <c r="C474" s="35"/>
      <c r="D474" s="35"/>
    </row>
    <row r="475">
      <c r="C475" s="35"/>
      <c r="D475" s="35"/>
    </row>
    <row r="476">
      <c r="C476" s="35"/>
      <c r="D476" s="35"/>
    </row>
    <row r="477">
      <c r="C477" s="35"/>
      <c r="D477" s="35"/>
    </row>
    <row r="478">
      <c r="C478" s="35"/>
      <c r="D478" s="35"/>
    </row>
    <row r="479">
      <c r="C479" s="35"/>
      <c r="D479" s="35"/>
    </row>
    <row r="480">
      <c r="C480" s="35"/>
      <c r="D480" s="35"/>
    </row>
    <row r="481">
      <c r="C481" s="35"/>
      <c r="D481" s="35"/>
    </row>
    <row r="482">
      <c r="C482" s="35"/>
      <c r="D482" s="35"/>
    </row>
    <row r="483">
      <c r="C483" s="35"/>
      <c r="D483" s="35"/>
    </row>
    <row r="484">
      <c r="C484" s="35"/>
      <c r="D484" s="35"/>
    </row>
    <row r="485">
      <c r="C485" s="35"/>
      <c r="D485" s="35"/>
    </row>
    <row r="486">
      <c r="C486" s="35"/>
      <c r="D486" s="35"/>
    </row>
    <row r="487">
      <c r="C487" s="35"/>
      <c r="D487" s="35"/>
    </row>
    <row r="488">
      <c r="C488" s="35"/>
      <c r="D488" s="35"/>
    </row>
    <row r="489">
      <c r="C489" s="35"/>
      <c r="D489" s="35"/>
    </row>
    <row r="490">
      <c r="C490" s="35"/>
      <c r="D490" s="35"/>
    </row>
    <row r="491">
      <c r="C491" s="35"/>
      <c r="D491" s="35"/>
    </row>
    <row r="492">
      <c r="C492" s="35"/>
      <c r="D492" s="35"/>
    </row>
    <row r="493">
      <c r="C493" s="35"/>
      <c r="D493" s="35"/>
    </row>
    <row r="494">
      <c r="C494" s="35"/>
      <c r="D494" s="35"/>
    </row>
    <row r="495">
      <c r="C495" s="35"/>
      <c r="D495" s="35"/>
    </row>
    <row r="496">
      <c r="C496" s="35"/>
      <c r="D496" s="35"/>
    </row>
    <row r="497">
      <c r="C497" s="35"/>
      <c r="D497" s="35"/>
    </row>
    <row r="498">
      <c r="C498" s="35"/>
      <c r="D498" s="35"/>
    </row>
    <row r="499">
      <c r="C499" s="35"/>
      <c r="D499" s="35"/>
    </row>
    <row r="500">
      <c r="C500" s="35"/>
      <c r="D500" s="35"/>
    </row>
    <row r="501">
      <c r="C501" s="35"/>
      <c r="D501" s="35"/>
    </row>
    <row r="502">
      <c r="C502" s="35"/>
      <c r="D502" s="35"/>
    </row>
    <row r="503">
      <c r="C503" s="35"/>
      <c r="D503" s="35"/>
    </row>
    <row r="504">
      <c r="C504" s="35"/>
      <c r="D504" s="35"/>
    </row>
    <row r="505">
      <c r="C505" s="35"/>
      <c r="D505" s="35"/>
    </row>
    <row r="506">
      <c r="C506" s="35"/>
      <c r="D506" s="35"/>
    </row>
    <row r="507">
      <c r="C507" s="35"/>
      <c r="D507" s="35"/>
    </row>
    <row r="508">
      <c r="C508" s="35"/>
      <c r="D508" s="35"/>
    </row>
    <row r="509">
      <c r="C509" s="35"/>
      <c r="D509" s="35"/>
    </row>
    <row r="510">
      <c r="C510" s="35"/>
      <c r="D510" s="35"/>
    </row>
    <row r="511">
      <c r="C511" s="35"/>
      <c r="D511" s="35"/>
    </row>
    <row r="512">
      <c r="C512" s="35"/>
      <c r="D512" s="35"/>
    </row>
    <row r="513">
      <c r="C513" s="35"/>
      <c r="D513" s="35"/>
    </row>
    <row r="514">
      <c r="C514" s="35"/>
      <c r="D514" s="35"/>
    </row>
    <row r="515">
      <c r="C515" s="35"/>
      <c r="D515" s="35"/>
    </row>
    <row r="516">
      <c r="C516" s="35"/>
      <c r="D516" s="35"/>
    </row>
    <row r="517">
      <c r="C517" s="35"/>
      <c r="D517" s="35"/>
    </row>
    <row r="518">
      <c r="C518" s="35"/>
      <c r="D518" s="35"/>
    </row>
    <row r="519">
      <c r="C519" s="35"/>
      <c r="D519" s="35"/>
    </row>
    <row r="520">
      <c r="C520" s="35"/>
      <c r="D520" s="35"/>
    </row>
    <row r="521">
      <c r="C521" s="35"/>
      <c r="D521" s="35"/>
    </row>
    <row r="522">
      <c r="C522" s="35"/>
      <c r="D522" s="35"/>
    </row>
    <row r="523">
      <c r="C523" s="35"/>
      <c r="D523" s="35"/>
    </row>
    <row r="524">
      <c r="C524" s="35"/>
      <c r="D524" s="35"/>
    </row>
    <row r="525">
      <c r="C525" s="35"/>
      <c r="D525" s="35"/>
    </row>
    <row r="526">
      <c r="C526" s="35"/>
      <c r="D526" s="35"/>
    </row>
    <row r="527">
      <c r="C527" s="35"/>
      <c r="D527" s="35"/>
    </row>
    <row r="528">
      <c r="C528" s="35"/>
      <c r="D528" s="35"/>
    </row>
    <row r="529">
      <c r="C529" s="35"/>
      <c r="D529" s="35"/>
    </row>
    <row r="530">
      <c r="C530" s="35"/>
      <c r="D530" s="35"/>
    </row>
    <row r="531">
      <c r="C531" s="35"/>
      <c r="D531" s="35"/>
    </row>
    <row r="532">
      <c r="C532" s="35"/>
      <c r="D532" s="35"/>
    </row>
    <row r="533">
      <c r="C533" s="35"/>
      <c r="D533" s="35"/>
    </row>
    <row r="534">
      <c r="C534" s="35"/>
      <c r="D534" s="35"/>
    </row>
    <row r="535">
      <c r="C535" s="35"/>
      <c r="D535" s="35"/>
    </row>
    <row r="536">
      <c r="C536" s="35"/>
      <c r="D536" s="35"/>
    </row>
    <row r="537">
      <c r="C537" s="35"/>
      <c r="D537" s="35"/>
    </row>
    <row r="538">
      <c r="C538" s="35"/>
      <c r="D538" s="35"/>
    </row>
    <row r="539">
      <c r="C539" s="35"/>
      <c r="D539" s="35"/>
    </row>
    <row r="540">
      <c r="C540" s="35"/>
      <c r="D540" s="35"/>
    </row>
    <row r="541">
      <c r="C541" s="35"/>
      <c r="D541" s="35"/>
    </row>
    <row r="542">
      <c r="C542" s="35"/>
      <c r="D542" s="35"/>
    </row>
    <row r="543">
      <c r="C543" s="35"/>
      <c r="D543" s="35"/>
    </row>
    <row r="544">
      <c r="C544" s="35"/>
      <c r="D544" s="35"/>
    </row>
    <row r="545">
      <c r="C545" s="35"/>
      <c r="D545" s="35"/>
    </row>
    <row r="546">
      <c r="C546" s="35"/>
      <c r="D546" s="35"/>
    </row>
    <row r="547">
      <c r="C547" s="35"/>
      <c r="D547" s="35"/>
    </row>
    <row r="548">
      <c r="C548" s="35"/>
      <c r="D548" s="35"/>
    </row>
    <row r="549">
      <c r="C549" s="35"/>
      <c r="D549" s="35"/>
    </row>
    <row r="550">
      <c r="C550" s="35"/>
      <c r="D550" s="35"/>
    </row>
    <row r="551">
      <c r="C551" s="35"/>
      <c r="D551" s="35"/>
    </row>
    <row r="552">
      <c r="C552" s="35"/>
      <c r="D552" s="35"/>
    </row>
    <row r="553">
      <c r="C553" s="35"/>
      <c r="D553" s="35"/>
    </row>
    <row r="554">
      <c r="C554" s="35"/>
      <c r="D554" s="35"/>
    </row>
    <row r="555">
      <c r="C555" s="35"/>
      <c r="D555" s="35"/>
    </row>
    <row r="556">
      <c r="C556" s="35"/>
      <c r="D556" s="35"/>
    </row>
    <row r="557">
      <c r="C557" s="35"/>
      <c r="D557" s="35"/>
    </row>
    <row r="558">
      <c r="C558" s="35"/>
      <c r="D558" s="35"/>
    </row>
    <row r="559">
      <c r="C559" s="35"/>
      <c r="D559" s="35"/>
    </row>
    <row r="560">
      <c r="C560" s="35"/>
      <c r="D560" s="35"/>
    </row>
    <row r="561">
      <c r="C561" s="35"/>
      <c r="D561" s="35"/>
    </row>
    <row r="562">
      <c r="C562" s="35"/>
      <c r="D562" s="35"/>
    </row>
    <row r="563">
      <c r="C563" s="35"/>
      <c r="D563" s="35"/>
    </row>
    <row r="564">
      <c r="C564" s="35"/>
      <c r="D564" s="35"/>
    </row>
    <row r="565">
      <c r="C565" s="35"/>
      <c r="D565" s="35"/>
    </row>
    <row r="566">
      <c r="C566" s="35"/>
      <c r="D566" s="35"/>
    </row>
    <row r="567">
      <c r="C567" s="35"/>
      <c r="D567" s="35"/>
    </row>
    <row r="568">
      <c r="C568" s="35"/>
      <c r="D568" s="35"/>
    </row>
    <row r="569">
      <c r="C569" s="35"/>
      <c r="D569" s="35"/>
    </row>
    <row r="570">
      <c r="C570" s="35"/>
      <c r="D570" s="35"/>
    </row>
    <row r="571">
      <c r="C571" s="35"/>
      <c r="D571" s="35"/>
    </row>
    <row r="572">
      <c r="C572" s="35"/>
      <c r="D572" s="35"/>
    </row>
    <row r="573">
      <c r="C573" s="35"/>
      <c r="D573" s="35"/>
    </row>
    <row r="574">
      <c r="C574" s="35"/>
      <c r="D574" s="35"/>
    </row>
    <row r="575">
      <c r="C575" s="35"/>
      <c r="D575" s="35"/>
    </row>
    <row r="576">
      <c r="C576" s="35"/>
      <c r="D576" s="35"/>
    </row>
    <row r="577">
      <c r="C577" s="35"/>
      <c r="D577" s="35"/>
    </row>
    <row r="578">
      <c r="C578" s="35"/>
      <c r="D578" s="35"/>
    </row>
    <row r="579">
      <c r="C579" s="35"/>
      <c r="D579" s="35"/>
    </row>
    <row r="580">
      <c r="C580" s="35"/>
      <c r="D580" s="35"/>
    </row>
    <row r="581">
      <c r="C581" s="35"/>
      <c r="D581" s="35"/>
    </row>
    <row r="582">
      <c r="C582" s="35"/>
      <c r="D582" s="35"/>
    </row>
    <row r="583">
      <c r="C583" s="35"/>
      <c r="D583" s="35"/>
    </row>
    <row r="584">
      <c r="C584" s="35"/>
      <c r="D584" s="35"/>
    </row>
    <row r="585">
      <c r="C585" s="35"/>
      <c r="D585" s="35"/>
    </row>
    <row r="586">
      <c r="C586" s="35"/>
      <c r="D586" s="35"/>
    </row>
    <row r="587">
      <c r="C587" s="35"/>
      <c r="D587" s="35"/>
    </row>
    <row r="588">
      <c r="C588" s="35"/>
      <c r="D588" s="35"/>
    </row>
    <row r="589">
      <c r="C589" s="35"/>
      <c r="D589" s="35"/>
    </row>
    <row r="590">
      <c r="C590" s="35"/>
      <c r="D590" s="35"/>
    </row>
    <row r="591">
      <c r="C591" s="35"/>
      <c r="D591" s="35"/>
    </row>
    <row r="592">
      <c r="C592" s="35"/>
      <c r="D592" s="35"/>
    </row>
    <row r="593">
      <c r="C593" s="35"/>
      <c r="D593" s="35"/>
    </row>
    <row r="594">
      <c r="C594" s="35"/>
      <c r="D594" s="35"/>
    </row>
    <row r="595">
      <c r="C595" s="35"/>
      <c r="D595" s="35"/>
    </row>
    <row r="596">
      <c r="C596" s="35"/>
      <c r="D596" s="35"/>
    </row>
    <row r="597">
      <c r="C597" s="35"/>
      <c r="D597" s="35"/>
    </row>
    <row r="598">
      <c r="C598" s="35"/>
      <c r="D598" s="35"/>
    </row>
    <row r="599">
      <c r="C599" s="35"/>
      <c r="D599" s="35"/>
    </row>
    <row r="600">
      <c r="C600" s="35"/>
      <c r="D600" s="35"/>
    </row>
    <row r="601">
      <c r="C601" s="35"/>
      <c r="D601" s="35"/>
    </row>
    <row r="602">
      <c r="C602" s="35"/>
      <c r="D602" s="35"/>
    </row>
    <row r="603">
      <c r="C603" s="35"/>
      <c r="D603" s="35"/>
    </row>
    <row r="604">
      <c r="C604" s="35"/>
      <c r="D604" s="35"/>
    </row>
    <row r="605">
      <c r="C605" s="35"/>
      <c r="D605" s="35"/>
    </row>
    <row r="606">
      <c r="C606" s="35"/>
      <c r="D606" s="35"/>
    </row>
    <row r="607">
      <c r="C607" s="35"/>
      <c r="D607" s="35"/>
    </row>
    <row r="608">
      <c r="C608" s="35"/>
      <c r="D608" s="35"/>
    </row>
    <row r="609">
      <c r="C609" s="35"/>
      <c r="D609" s="35"/>
    </row>
    <row r="610">
      <c r="C610" s="35"/>
      <c r="D610" s="35"/>
    </row>
    <row r="611">
      <c r="C611" s="35"/>
      <c r="D611" s="35"/>
    </row>
    <row r="612">
      <c r="C612" s="35"/>
      <c r="D612" s="35"/>
    </row>
    <row r="613">
      <c r="C613" s="35"/>
      <c r="D613" s="35"/>
    </row>
    <row r="614">
      <c r="C614" s="35"/>
      <c r="D614" s="35"/>
    </row>
    <row r="615">
      <c r="C615" s="35"/>
      <c r="D615" s="35"/>
    </row>
    <row r="616">
      <c r="C616" s="35"/>
      <c r="D616" s="35"/>
    </row>
    <row r="617">
      <c r="C617" s="35"/>
      <c r="D617" s="35"/>
    </row>
    <row r="618">
      <c r="C618" s="35"/>
      <c r="D618" s="35"/>
    </row>
    <row r="619">
      <c r="C619" s="35"/>
      <c r="D619" s="35"/>
    </row>
    <row r="620">
      <c r="C620" s="35"/>
      <c r="D620" s="35"/>
    </row>
    <row r="621">
      <c r="C621" s="35"/>
      <c r="D621" s="35"/>
    </row>
    <row r="622">
      <c r="C622" s="35"/>
      <c r="D622" s="35"/>
    </row>
    <row r="623">
      <c r="C623" s="35"/>
      <c r="D623" s="35"/>
    </row>
    <row r="624">
      <c r="C624" s="35"/>
      <c r="D624" s="35"/>
    </row>
    <row r="625">
      <c r="C625" s="35"/>
      <c r="D625" s="35"/>
    </row>
    <row r="626">
      <c r="C626" s="35"/>
      <c r="D626" s="35"/>
    </row>
    <row r="627">
      <c r="C627" s="35"/>
      <c r="D627" s="35"/>
    </row>
    <row r="628">
      <c r="C628" s="35"/>
      <c r="D628" s="35"/>
    </row>
    <row r="629">
      <c r="C629" s="35"/>
      <c r="D629" s="35"/>
    </row>
    <row r="630">
      <c r="C630" s="35"/>
      <c r="D630" s="35"/>
    </row>
    <row r="631">
      <c r="C631" s="35"/>
      <c r="D631" s="35"/>
    </row>
    <row r="632">
      <c r="C632" s="35"/>
      <c r="D632" s="35"/>
    </row>
    <row r="633">
      <c r="C633" s="35"/>
      <c r="D633" s="35"/>
    </row>
    <row r="634">
      <c r="C634" s="35"/>
      <c r="D634" s="35"/>
    </row>
    <row r="635">
      <c r="C635" s="35"/>
      <c r="D635" s="35"/>
    </row>
    <row r="636">
      <c r="C636" s="35"/>
      <c r="D636" s="35"/>
    </row>
    <row r="637">
      <c r="C637" s="35"/>
      <c r="D637" s="35"/>
    </row>
    <row r="638">
      <c r="C638" s="35"/>
      <c r="D638" s="35"/>
    </row>
    <row r="639">
      <c r="C639" s="35"/>
      <c r="D639" s="35"/>
    </row>
    <row r="640">
      <c r="C640" s="35"/>
      <c r="D640" s="35"/>
    </row>
    <row r="641">
      <c r="C641" s="35"/>
      <c r="D641" s="35"/>
    </row>
    <row r="642">
      <c r="C642" s="35"/>
      <c r="D642" s="35"/>
    </row>
    <row r="643">
      <c r="C643" s="35"/>
      <c r="D643" s="35"/>
    </row>
    <row r="644">
      <c r="C644" s="35"/>
      <c r="D644" s="35"/>
    </row>
    <row r="645">
      <c r="C645" s="35"/>
      <c r="D645" s="35"/>
    </row>
    <row r="646">
      <c r="C646" s="35"/>
      <c r="D646" s="35"/>
    </row>
    <row r="647">
      <c r="C647" s="35"/>
      <c r="D647" s="35"/>
    </row>
    <row r="648">
      <c r="C648" s="35"/>
      <c r="D648" s="35"/>
    </row>
    <row r="649">
      <c r="C649" s="35"/>
      <c r="D649" s="35"/>
    </row>
    <row r="650">
      <c r="C650" s="35"/>
      <c r="D650" s="35"/>
    </row>
    <row r="651">
      <c r="C651" s="35"/>
      <c r="D651" s="35"/>
    </row>
    <row r="652">
      <c r="C652" s="35"/>
      <c r="D652" s="35"/>
    </row>
    <row r="653">
      <c r="C653" s="35"/>
      <c r="D653" s="35"/>
    </row>
    <row r="654">
      <c r="C654" s="35"/>
      <c r="D654" s="35"/>
    </row>
    <row r="655">
      <c r="C655" s="35"/>
      <c r="D655" s="35"/>
    </row>
    <row r="656">
      <c r="C656" s="35"/>
      <c r="D656" s="35"/>
    </row>
    <row r="657">
      <c r="C657" s="35"/>
      <c r="D657" s="35"/>
    </row>
    <row r="658">
      <c r="C658" s="35"/>
      <c r="D658" s="35"/>
    </row>
    <row r="659">
      <c r="C659" s="35"/>
      <c r="D659" s="35"/>
    </row>
    <row r="660">
      <c r="C660" s="35"/>
      <c r="D660" s="35"/>
    </row>
    <row r="661">
      <c r="C661" s="35"/>
      <c r="D661" s="35"/>
    </row>
    <row r="662">
      <c r="C662" s="35"/>
      <c r="D662" s="35"/>
    </row>
    <row r="663">
      <c r="C663" s="35"/>
      <c r="D663" s="35"/>
    </row>
    <row r="664">
      <c r="C664" s="35"/>
      <c r="D664" s="35"/>
    </row>
    <row r="665">
      <c r="C665" s="35"/>
      <c r="D665" s="35"/>
    </row>
    <row r="666">
      <c r="C666" s="35"/>
      <c r="D666" s="35"/>
    </row>
    <row r="667">
      <c r="C667" s="35"/>
      <c r="D667" s="35"/>
    </row>
    <row r="668">
      <c r="C668" s="35"/>
      <c r="D668" s="35"/>
    </row>
    <row r="669">
      <c r="C669" s="35"/>
      <c r="D669" s="35"/>
    </row>
    <row r="670">
      <c r="C670" s="35"/>
      <c r="D670" s="35"/>
    </row>
    <row r="671">
      <c r="C671" s="35"/>
      <c r="D671" s="35"/>
    </row>
    <row r="672">
      <c r="C672" s="35"/>
      <c r="D672" s="35"/>
    </row>
    <row r="673">
      <c r="C673" s="35"/>
      <c r="D673" s="35"/>
    </row>
    <row r="674">
      <c r="C674" s="35"/>
      <c r="D674" s="35"/>
    </row>
    <row r="675">
      <c r="C675" s="35"/>
      <c r="D675" s="35"/>
    </row>
    <row r="676">
      <c r="C676" s="35"/>
      <c r="D676" s="35"/>
    </row>
    <row r="677">
      <c r="C677" s="35"/>
      <c r="D677" s="35"/>
    </row>
    <row r="678">
      <c r="C678" s="35"/>
      <c r="D678" s="35"/>
    </row>
    <row r="679">
      <c r="C679" s="35"/>
      <c r="D679" s="35"/>
    </row>
    <row r="680">
      <c r="C680" s="35"/>
      <c r="D680" s="35"/>
    </row>
    <row r="681">
      <c r="C681" s="35"/>
      <c r="D681" s="35"/>
    </row>
    <row r="682">
      <c r="C682" s="35"/>
      <c r="D682" s="35"/>
    </row>
    <row r="683">
      <c r="C683" s="35"/>
      <c r="D683" s="35"/>
    </row>
    <row r="684">
      <c r="C684" s="35"/>
      <c r="D684" s="35"/>
    </row>
    <row r="685">
      <c r="C685" s="35"/>
      <c r="D685" s="35"/>
    </row>
    <row r="686">
      <c r="C686" s="35"/>
      <c r="D686" s="35"/>
    </row>
    <row r="687">
      <c r="C687" s="35"/>
      <c r="D687" s="35"/>
    </row>
    <row r="688">
      <c r="C688" s="35"/>
      <c r="D688" s="35"/>
    </row>
    <row r="689">
      <c r="C689" s="35"/>
      <c r="D689" s="35"/>
    </row>
    <row r="690">
      <c r="C690" s="35"/>
      <c r="D690" s="35"/>
    </row>
    <row r="691">
      <c r="C691" s="35"/>
      <c r="D691" s="35"/>
    </row>
    <row r="692">
      <c r="C692" s="35"/>
      <c r="D692" s="35"/>
    </row>
    <row r="693">
      <c r="C693" s="35"/>
      <c r="D693" s="35"/>
    </row>
    <row r="694">
      <c r="C694" s="35"/>
      <c r="D694" s="35"/>
    </row>
    <row r="695">
      <c r="C695" s="35"/>
      <c r="D695" s="35"/>
    </row>
    <row r="696">
      <c r="C696" s="35"/>
      <c r="D696" s="35"/>
    </row>
    <row r="697">
      <c r="C697" s="35"/>
      <c r="D697" s="35"/>
    </row>
    <row r="698">
      <c r="C698" s="35"/>
      <c r="D698" s="35"/>
    </row>
    <row r="699">
      <c r="C699" s="35"/>
      <c r="D699" s="35"/>
    </row>
    <row r="700">
      <c r="C700" s="35"/>
      <c r="D700" s="35"/>
    </row>
    <row r="701">
      <c r="C701" s="35"/>
      <c r="D701" s="35"/>
    </row>
    <row r="702">
      <c r="C702" s="35"/>
      <c r="D702" s="35"/>
    </row>
    <row r="703">
      <c r="C703" s="35"/>
      <c r="D703" s="35"/>
    </row>
    <row r="704">
      <c r="C704" s="35"/>
      <c r="D704" s="35"/>
    </row>
    <row r="705">
      <c r="C705" s="35"/>
      <c r="D705" s="35"/>
    </row>
    <row r="706">
      <c r="C706" s="35"/>
      <c r="D706" s="35"/>
    </row>
    <row r="707">
      <c r="C707" s="35"/>
      <c r="D707" s="35"/>
    </row>
    <row r="708">
      <c r="C708" s="35"/>
      <c r="D708" s="35"/>
    </row>
    <row r="709">
      <c r="C709" s="35"/>
      <c r="D709" s="35"/>
    </row>
    <row r="710">
      <c r="C710" s="35"/>
      <c r="D710" s="35"/>
    </row>
    <row r="711">
      <c r="C711" s="35"/>
      <c r="D711" s="35"/>
    </row>
    <row r="712">
      <c r="C712" s="35"/>
      <c r="D712" s="35"/>
    </row>
    <row r="713">
      <c r="C713" s="35"/>
      <c r="D713" s="35"/>
    </row>
    <row r="714">
      <c r="C714" s="35"/>
      <c r="D714" s="35"/>
    </row>
    <row r="715">
      <c r="C715" s="35"/>
      <c r="D715" s="35"/>
    </row>
    <row r="716">
      <c r="C716" s="35"/>
      <c r="D716" s="35"/>
    </row>
    <row r="717">
      <c r="C717" s="35"/>
      <c r="D717" s="35"/>
    </row>
    <row r="718">
      <c r="C718" s="35"/>
      <c r="D718" s="35"/>
    </row>
    <row r="719">
      <c r="C719" s="35"/>
      <c r="D719" s="35"/>
    </row>
    <row r="720">
      <c r="C720" s="35"/>
      <c r="D720" s="35"/>
    </row>
    <row r="721">
      <c r="C721" s="35"/>
      <c r="D721" s="35"/>
    </row>
    <row r="722">
      <c r="C722" s="35"/>
      <c r="D722" s="35"/>
    </row>
    <row r="723">
      <c r="C723" s="35"/>
      <c r="D723" s="35"/>
    </row>
    <row r="724">
      <c r="C724" s="35"/>
      <c r="D724" s="35"/>
    </row>
    <row r="725">
      <c r="C725" s="35"/>
      <c r="D725" s="35"/>
    </row>
    <row r="726">
      <c r="C726" s="35"/>
      <c r="D726" s="35"/>
    </row>
    <row r="727">
      <c r="C727" s="35"/>
      <c r="D727" s="35"/>
    </row>
    <row r="728">
      <c r="C728" s="35"/>
      <c r="D728" s="35"/>
    </row>
    <row r="729">
      <c r="C729" s="35"/>
      <c r="D729" s="35"/>
    </row>
    <row r="730">
      <c r="C730" s="35"/>
      <c r="D730" s="35"/>
    </row>
    <row r="731">
      <c r="C731" s="35"/>
      <c r="D731" s="35"/>
    </row>
    <row r="732">
      <c r="C732" s="35"/>
      <c r="D732" s="35"/>
    </row>
    <row r="733">
      <c r="C733" s="35"/>
      <c r="D733" s="35"/>
    </row>
    <row r="734">
      <c r="C734" s="35"/>
      <c r="D734" s="35"/>
    </row>
    <row r="735">
      <c r="C735" s="35"/>
      <c r="D735" s="35"/>
    </row>
    <row r="736">
      <c r="C736" s="35"/>
      <c r="D736" s="35"/>
    </row>
    <row r="737">
      <c r="C737" s="35"/>
      <c r="D737" s="35"/>
    </row>
    <row r="738">
      <c r="C738" s="35"/>
      <c r="D738" s="35"/>
    </row>
    <row r="739">
      <c r="C739" s="35"/>
      <c r="D739" s="35"/>
    </row>
    <row r="740">
      <c r="C740" s="35"/>
      <c r="D740" s="35"/>
    </row>
    <row r="741">
      <c r="C741" s="35"/>
      <c r="D741" s="35"/>
    </row>
    <row r="742">
      <c r="C742" s="35"/>
      <c r="D742" s="35"/>
    </row>
    <row r="743">
      <c r="C743" s="35"/>
      <c r="D743" s="35"/>
    </row>
    <row r="744">
      <c r="C744" s="35"/>
      <c r="D744" s="35"/>
    </row>
    <row r="745">
      <c r="C745" s="35"/>
      <c r="D745" s="35"/>
    </row>
    <row r="746">
      <c r="C746" s="35"/>
      <c r="D746" s="35"/>
    </row>
    <row r="747">
      <c r="C747" s="35"/>
      <c r="D747" s="35"/>
    </row>
    <row r="748">
      <c r="C748" s="35"/>
      <c r="D748" s="35"/>
    </row>
    <row r="749">
      <c r="C749" s="35"/>
      <c r="D749" s="35"/>
    </row>
    <row r="750">
      <c r="C750" s="35"/>
      <c r="D750" s="35"/>
    </row>
    <row r="751">
      <c r="C751" s="35"/>
      <c r="D751" s="35"/>
    </row>
    <row r="752">
      <c r="C752" s="35"/>
      <c r="D752" s="35"/>
    </row>
    <row r="753">
      <c r="C753" s="35"/>
      <c r="D753" s="35"/>
    </row>
    <row r="754">
      <c r="C754" s="35"/>
      <c r="D754" s="35"/>
    </row>
    <row r="755">
      <c r="C755" s="35"/>
      <c r="D755" s="35"/>
    </row>
    <row r="756">
      <c r="C756" s="35"/>
      <c r="D756" s="35"/>
    </row>
    <row r="757">
      <c r="C757" s="35"/>
      <c r="D757" s="35"/>
    </row>
    <row r="758">
      <c r="C758" s="35"/>
      <c r="D758" s="35"/>
    </row>
    <row r="759">
      <c r="C759" s="35"/>
      <c r="D759" s="35"/>
    </row>
    <row r="760">
      <c r="C760" s="35"/>
      <c r="D760" s="35"/>
    </row>
    <row r="761">
      <c r="C761" s="35"/>
      <c r="D761" s="35"/>
    </row>
    <row r="762">
      <c r="C762" s="35"/>
      <c r="D762" s="35"/>
    </row>
    <row r="763">
      <c r="C763" s="35"/>
      <c r="D763" s="35"/>
    </row>
    <row r="764">
      <c r="C764" s="35"/>
      <c r="D764" s="35"/>
    </row>
    <row r="765">
      <c r="C765" s="35"/>
      <c r="D765" s="35"/>
    </row>
    <row r="766">
      <c r="C766" s="35"/>
      <c r="D766" s="35"/>
    </row>
    <row r="767">
      <c r="C767" s="35"/>
      <c r="D767" s="35"/>
    </row>
    <row r="768">
      <c r="C768" s="35"/>
      <c r="D768" s="35"/>
    </row>
    <row r="769">
      <c r="C769" s="35"/>
      <c r="D769" s="35"/>
    </row>
    <row r="770">
      <c r="C770" s="35"/>
      <c r="D770" s="35"/>
    </row>
    <row r="771">
      <c r="C771" s="35"/>
      <c r="D771" s="35"/>
    </row>
    <row r="772">
      <c r="C772" s="35"/>
      <c r="D772" s="35"/>
    </row>
    <row r="773">
      <c r="C773" s="35"/>
      <c r="D773" s="35"/>
    </row>
    <row r="774">
      <c r="C774" s="35"/>
      <c r="D774" s="35"/>
    </row>
    <row r="775">
      <c r="C775" s="35"/>
      <c r="D775" s="35"/>
    </row>
    <row r="776">
      <c r="C776" s="35"/>
      <c r="D776" s="35"/>
    </row>
    <row r="777">
      <c r="C777" s="35"/>
      <c r="D777" s="35"/>
    </row>
    <row r="778">
      <c r="C778" s="35"/>
      <c r="D778" s="35"/>
    </row>
    <row r="779">
      <c r="C779" s="35"/>
      <c r="D779" s="35"/>
    </row>
    <row r="780">
      <c r="C780" s="35"/>
      <c r="D780" s="35"/>
    </row>
    <row r="781">
      <c r="C781" s="35"/>
      <c r="D781" s="35"/>
    </row>
    <row r="782">
      <c r="C782" s="35"/>
      <c r="D782" s="35"/>
    </row>
    <row r="783">
      <c r="C783" s="35"/>
      <c r="D783" s="35"/>
    </row>
    <row r="784">
      <c r="C784" s="35"/>
      <c r="D784" s="35"/>
    </row>
    <row r="785">
      <c r="C785" s="35"/>
      <c r="D785" s="35"/>
    </row>
    <row r="786">
      <c r="C786" s="35"/>
      <c r="D786" s="35"/>
    </row>
    <row r="787">
      <c r="C787" s="35"/>
      <c r="D787" s="35"/>
    </row>
    <row r="788">
      <c r="C788" s="35"/>
      <c r="D788" s="35"/>
    </row>
    <row r="789">
      <c r="C789" s="35"/>
      <c r="D789" s="35"/>
    </row>
    <row r="790">
      <c r="C790" s="35"/>
      <c r="D790" s="35"/>
    </row>
    <row r="791">
      <c r="C791" s="35"/>
      <c r="D791" s="35"/>
    </row>
    <row r="792">
      <c r="C792" s="35"/>
      <c r="D792" s="35"/>
    </row>
    <row r="793">
      <c r="C793" s="35"/>
      <c r="D793" s="35"/>
    </row>
    <row r="794">
      <c r="C794" s="35"/>
      <c r="D794" s="35"/>
    </row>
    <row r="795">
      <c r="C795" s="35"/>
      <c r="D795" s="35"/>
    </row>
    <row r="796">
      <c r="C796" s="35"/>
      <c r="D796" s="35"/>
    </row>
    <row r="797">
      <c r="C797" s="35"/>
      <c r="D797" s="35"/>
    </row>
    <row r="798">
      <c r="C798" s="35"/>
      <c r="D798" s="35"/>
    </row>
    <row r="799">
      <c r="C799" s="35"/>
      <c r="D799" s="35"/>
    </row>
    <row r="800">
      <c r="C800" s="35"/>
      <c r="D800" s="35"/>
    </row>
    <row r="801">
      <c r="C801" s="35"/>
      <c r="D801" s="35"/>
    </row>
    <row r="802">
      <c r="C802" s="35"/>
      <c r="D802" s="35"/>
    </row>
    <row r="803">
      <c r="C803" s="35"/>
      <c r="D803" s="35"/>
    </row>
    <row r="804">
      <c r="C804" s="35"/>
      <c r="D804" s="35"/>
    </row>
    <row r="805">
      <c r="C805" s="35"/>
      <c r="D805" s="35"/>
    </row>
    <row r="806">
      <c r="C806" s="35"/>
      <c r="D806" s="35"/>
    </row>
    <row r="807">
      <c r="C807" s="35"/>
      <c r="D807" s="35"/>
    </row>
    <row r="808">
      <c r="C808" s="35"/>
      <c r="D808" s="35"/>
    </row>
    <row r="809">
      <c r="C809" s="35"/>
      <c r="D809" s="35"/>
    </row>
    <row r="810">
      <c r="C810" s="35"/>
      <c r="D810" s="35"/>
    </row>
    <row r="811">
      <c r="C811" s="35"/>
      <c r="D811" s="35"/>
    </row>
    <row r="812">
      <c r="C812" s="35"/>
      <c r="D812" s="35"/>
    </row>
    <row r="813">
      <c r="C813" s="35"/>
      <c r="D813" s="35"/>
    </row>
    <row r="814">
      <c r="C814" s="35"/>
      <c r="D814" s="35"/>
    </row>
    <row r="815">
      <c r="C815" s="35"/>
      <c r="D815" s="35"/>
    </row>
    <row r="816">
      <c r="C816" s="35"/>
      <c r="D816" s="35"/>
    </row>
    <row r="817">
      <c r="C817" s="35"/>
      <c r="D817" s="35"/>
    </row>
    <row r="818">
      <c r="C818" s="35"/>
      <c r="D818" s="35"/>
    </row>
    <row r="819">
      <c r="C819" s="35"/>
      <c r="D819" s="35"/>
    </row>
    <row r="820">
      <c r="C820" s="35"/>
      <c r="D820" s="35"/>
    </row>
    <row r="821">
      <c r="C821" s="35"/>
      <c r="D821" s="35"/>
    </row>
    <row r="822">
      <c r="C822" s="35"/>
      <c r="D822" s="35"/>
    </row>
    <row r="823">
      <c r="C823" s="35"/>
      <c r="D823" s="35"/>
    </row>
    <row r="824">
      <c r="C824" s="35"/>
      <c r="D824" s="35"/>
    </row>
    <row r="825">
      <c r="C825" s="35"/>
      <c r="D825" s="35"/>
    </row>
    <row r="826">
      <c r="C826" s="35"/>
      <c r="D826" s="35"/>
    </row>
    <row r="827">
      <c r="C827" s="35"/>
      <c r="D827" s="35"/>
    </row>
    <row r="828">
      <c r="C828" s="35"/>
      <c r="D828" s="35"/>
    </row>
    <row r="829">
      <c r="C829" s="35"/>
      <c r="D829" s="35"/>
    </row>
    <row r="830">
      <c r="C830" s="35"/>
      <c r="D830" s="35"/>
    </row>
    <row r="831">
      <c r="C831" s="35"/>
      <c r="D831" s="35"/>
    </row>
    <row r="832">
      <c r="C832" s="35"/>
      <c r="D832" s="35"/>
    </row>
    <row r="833">
      <c r="C833" s="35"/>
      <c r="D833" s="35"/>
    </row>
    <row r="834">
      <c r="C834" s="35"/>
      <c r="D834" s="35"/>
    </row>
    <row r="835">
      <c r="C835" s="35"/>
      <c r="D835" s="35"/>
    </row>
    <row r="836">
      <c r="C836" s="35"/>
      <c r="D836" s="35"/>
    </row>
    <row r="837">
      <c r="C837" s="35"/>
      <c r="D837" s="35"/>
    </row>
    <row r="838">
      <c r="C838" s="35"/>
      <c r="D838" s="35"/>
    </row>
    <row r="839">
      <c r="C839" s="35"/>
      <c r="D839" s="35"/>
    </row>
    <row r="840">
      <c r="C840" s="35"/>
      <c r="D840" s="35"/>
    </row>
    <row r="841">
      <c r="C841" s="35"/>
      <c r="D841" s="35"/>
    </row>
    <row r="842">
      <c r="C842" s="35"/>
      <c r="D842" s="35"/>
    </row>
    <row r="843">
      <c r="C843" s="35"/>
      <c r="D843" s="35"/>
    </row>
    <row r="844">
      <c r="C844" s="35"/>
      <c r="D844" s="35"/>
    </row>
    <row r="845">
      <c r="C845" s="35"/>
      <c r="D845" s="35"/>
    </row>
    <row r="846">
      <c r="C846" s="35"/>
      <c r="D846" s="35"/>
    </row>
    <row r="847">
      <c r="C847" s="35"/>
      <c r="D847" s="35"/>
    </row>
    <row r="848">
      <c r="C848" s="35"/>
      <c r="D848" s="35"/>
    </row>
    <row r="849">
      <c r="C849" s="35"/>
      <c r="D849" s="35"/>
    </row>
    <row r="850">
      <c r="C850" s="35"/>
      <c r="D850" s="35"/>
    </row>
    <row r="851">
      <c r="C851" s="35"/>
      <c r="D851" s="35"/>
    </row>
    <row r="852">
      <c r="C852" s="35"/>
      <c r="D852" s="35"/>
    </row>
    <row r="853">
      <c r="C853" s="35"/>
      <c r="D853" s="35"/>
    </row>
    <row r="854">
      <c r="C854" s="35"/>
      <c r="D854" s="35"/>
    </row>
    <row r="855">
      <c r="C855" s="35"/>
      <c r="D855" s="35"/>
    </row>
    <row r="856">
      <c r="C856" s="35"/>
      <c r="D856" s="35"/>
    </row>
    <row r="857">
      <c r="C857" s="35"/>
      <c r="D857" s="35"/>
    </row>
    <row r="858">
      <c r="C858" s="35"/>
      <c r="D858" s="35"/>
    </row>
    <row r="859">
      <c r="C859" s="35"/>
      <c r="D859" s="35"/>
    </row>
    <row r="860">
      <c r="C860" s="35"/>
      <c r="D860" s="35"/>
    </row>
    <row r="861">
      <c r="C861" s="35"/>
      <c r="D861" s="35"/>
    </row>
    <row r="862">
      <c r="C862" s="35"/>
      <c r="D862" s="35"/>
    </row>
    <row r="863">
      <c r="C863" s="35"/>
      <c r="D863" s="35"/>
    </row>
    <row r="864">
      <c r="C864" s="35"/>
      <c r="D864" s="35"/>
    </row>
    <row r="865">
      <c r="C865" s="35"/>
      <c r="D865" s="35"/>
    </row>
    <row r="866">
      <c r="C866" s="35"/>
      <c r="D866" s="35"/>
    </row>
    <row r="867">
      <c r="C867" s="35"/>
      <c r="D867" s="35"/>
    </row>
    <row r="868">
      <c r="C868" s="35"/>
      <c r="D868" s="35"/>
    </row>
    <row r="869">
      <c r="C869" s="35"/>
      <c r="D869" s="35"/>
    </row>
    <row r="870">
      <c r="C870" s="35"/>
      <c r="D870" s="35"/>
    </row>
    <row r="871">
      <c r="C871" s="35"/>
      <c r="D871" s="35"/>
    </row>
    <row r="872">
      <c r="C872" s="35"/>
      <c r="D872" s="35"/>
    </row>
    <row r="873">
      <c r="C873" s="35"/>
      <c r="D873" s="35"/>
    </row>
    <row r="874">
      <c r="C874" s="35"/>
      <c r="D874" s="35"/>
    </row>
    <row r="875">
      <c r="C875" s="35"/>
      <c r="D875" s="35"/>
    </row>
    <row r="876">
      <c r="C876" s="35"/>
      <c r="D876" s="35"/>
    </row>
    <row r="877">
      <c r="C877" s="35"/>
      <c r="D877" s="35"/>
    </row>
    <row r="878">
      <c r="C878" s="35"/>
      <c r="D878" s="35"/>
    </row>
    <row r="879">
      <c r="C879" s="35"/>
      <c r="D879" s="35"/>
    </row>
    <row r="880">
      <c r="C880" s="35"/>
      <c r="D880" s="35"/>
    </row>
    <row r="881">
      <c r="C881" s="35"/>
      <c r="D881" s="35"/>
    </row>
    <row r="882">
      <c r="C882" s="35"/>
      <c r="D882" s="35"/>
    </row>
    <row r="883">
      <c r="C883" s="35"/>
      <c r="D883" s="35"/>
    </row>
    <row r="884">
      <c r="C884" s="35"/>
      <c r="D884" s="35"/>
    </row>
    <row r="885">
      <c r="C885" s="35"/>
      <c r="D885" s="35"/>
    </row>
    <row r="886">
      <c r="C886" s="35"/>
      <c r="D886" s="35"/>
    </row>
    <row r="887">
      <c r="C887" s="35"/>
      <c r="D887" s="35"/>
    </row>
    <row r="888">
      <c r="C888" s="35"/>
      <c r="D888" s="35"/>
    </row>
    <row r="889">
      <c r="C889" s="35"/>
      <c r="D889" s="35"/>
    </row>
    <row r="890">
      <c r="C890" s="35"/>
      <c r="D890" s="35"/>
    </row>
    <row r="891">
      <c r="C891" s="35"/>
      <c r="D891" s="35"/>
    </row>
    <row r="892">
      <c r="C892" s="35"/>
      <c r="D892" s="35"/>
    </row>
    <row r="893">
      <c r="C893" s="35"/>
      <c r="D893" s="35"/>
    </row>
    <row r="894">
      <c r="C894" s="35"/>
      <c r="D894" s="35"/>
    </row>
    <row r="895">
      <c r="C895" s="35"/>
      <c r="D895" s="35"/>
    </row>
    <row r="896">
      <c r="C896" s="35"/>
      <c r="D896" s="35"/>
    </row>
    <row r="897">
      <c r="C897" s="35"/>
      <c r="D897" s="35"/>
    </row>
    <row r="898">
      <c r="C898" s="35"/>
      <c r="D898" s="35"/>
    </row>
    <row r="899">
      <c r="C899" s="35"/>
      <c r="D899" s="35"/>
    </row>
    <row r="900">
      <c r="C900" s="35"/>
      <c r="D900" s="35"/>
    </row>
    <row r="901">
      <c r="C901" s="35"/>
      <c r="D901" s="35"/>
    </row>
    <row r="902">
      <c r="C902" s="35"/>
      <c r="D902" s="35"/>
    </row>
    <row r="903">
      <c r="C903" s="35"/>
      <c r="D903" s="35"/>
    </row>
    <row r="904">
      <c r="C904" s="35"/>
      <c r="D904" s="35"/>
    </row>
    <row r="905">
      <c r="C905" s="35"/>
      <c r="D905" s="35"/>
    </row>
    <row r="906">
      <c r="C906" s="35"/>
      <c r="D906" s="35"/>
    </row>
    <row r="907">
      <c r="C907" s="35"/>
      <c r="D907" s="35"/>
    </row>
    <row r="908">
      <c r="C908" s="35"/>
      <c r="D908" s="35"/>
    </row>
    <row r="909">
      <c r="C909" s="35"/>
      <c r="D909" s="35"/>
    </row>
    <row r="910">
      <c r="C910" s="35"/>
      <c r="D910" s="35"/>
    </row>
    <row r="911">
      <c r="C911" s="35"/>
      <c r="D911" s="35"/>
    </row>
    <row r="912">
      <c r="C912" s="35"/>
      <c r="D912" s="35"/>
    </row>
    <row r="913">
      <c r="C913" s="35"/>
      <c r="D913" s="35"/>
    </row>
    <row r="914">
      <c r="C914" s="35"/>
      <c r="D914" s="35"/>
    </row>
    <row r="915">
      <c r="C915" s="35"/>
      <c r="D915" s="35"/>
    </row>
    <row r="916">
      <c r="C916" s="35"/>
      <c r="D916" s="35"/>
    </row>
    <row r="917">
      <c r="C917" s="35"/>
      <c r="D917" s="35"/>
    </row>
    <row r="918">
      <c r="C918" s="35"/>
      <c r="D918" s="35"/>
    </row>
    <row r="919">
      <c r="C919" s="35"/>
      <c r="D919" s="35"/>
    </row>
    <row r="920">
      <c r="C920" s="35"/>
      <c r="D920" s="35"/>
    </row>
    <row r="921">
      <c r="C921" s="35"/>
      <c r="D921" s="35"/>
    </row>
    <row r="922">
      <c r="C922" s="35"/>
      <c r="D922" s="35"/>
    </row>
    <row r="923">
      <c r="C923" s="35"/>
      <c r="D923" s="35"/>
    </row>
    <row r="924">
      <c r="C924" s="35"/>
      <c r="D924" s="35"/>
    </row>
    <row r="925">
      <c r="C925" s="35"/>
      <c r="D925" s="35"/>
    </row>
    <row r="926">
      <c r="C926" s="35"/>
      <c r="D926" s="35"/>
    </row>
    <row r="927">
      <c r="C927" s="35"/>
      <c r="D927" s="35"/>
    </row>
    <row r="928">
      <c r="C928" s="35"/>
      <c r="D928" s="35"/>
    </row>
    <row r="929">
      <c r="C929" s="35"/>
      <c r="D929" s="35"/>
    </row>
    <row r="930">
      <c r="C930" s="35"/>
      <c r="D930" s="35"/>
    </row>
    <row r="931">
      <c r="C931" s="35"/>
      <c r="D931" s="35"/>
    </row>
    <row r="932">
      <c r="C932" s="35"/>
      <c r="D932" s="35"/>
    </row>
    <row r="933">
      <c r="C933" s="35"/>
      <c r="D933" s="35"/>
    </row>
    <row r="934">
      <c r="C934" s="35"/>
      <c r="D934" s="35"/>
    </row>
    <row r="935">
      <c r="C935" s="35"/>
      <c r="D935" s="35"/>
    </row>
    <row r="936">
      <c r="C936" s="35"/>
      <c r="D936" s="35"/>
    </row>
    <row r="937">
      <c r="C937" s="35"/>
      <c r="D937" s="35"/>
    </row>
    <row r="938">
      <c r="C938" s="35"/>
      <c r="D938" s="35"/>
    </row>
    <row r="939">
      <c r="C939" s="35"/>
      <c r="D939" s="35"/>
    </row>
    <row r="940">
      <c r="C940" s="35"/>
      <c r="D940" s="35"/>
    </row>
    <row r="941">
      <c r="C941" s="35"/>
      <c r="D941" s="35"/>
    </row>
    <row r="942">
      <c r="C942" s="35"/>
      <c r="D942" s="35"/>
    </row>
    <row r="943">
      <c r="C943" s="35"/>
      <c r="D943" s="35"/>
    </row>
    <row r="944">
      <c r="C944" s="35"/>
      <c r="D944" s="35"/>
    </row>
    <row r="945">
      <c r="C945" s="35"/>
      <c r="D945" s="35"/>
    </row>
    <row r="946">
      <c r="C946" s="35"/>
      <c r="D946" s="35"/>
    </row>
    <row r="947">
      <c r="C947" s="35"/>
      <c r="D947" s="35"/>
    </row>
    <row r="948">
      <c r="C948" s="35"/>
      <c r="D948" s="35"/>
    </row>
    <row r="949">
      <c r="C949" s="35"/>
      <c r="D949" s="35"/>
    </row>
    <row r="950">
      <c r="C950" s="35"/>
      <c r="D950" s="35"/>
    </row>
    <row r="951">
      <c r="C951" s="35"/>
      <c r="D951" s="35"/>
    </row>
    <row r="952">
      <c r="C952" s="35"/>
      <c r="D952" s="35"/>
    </row>
    <row r="953">
      <c r="C953" s="35"/>
      <c r="D953" s="35"/>
    </row>
    <row r="954">
      <c r="C954" s="35"/>
      <c r="D954" s="35"/>
    </row>
    <row r="955">
      <c r="C955" s="35"/>
      <c r="D955" s="35"/>
    </row>
    <row r="956">
      <c r="C956" s="35"/>
      <c r="D956" s="35"/>
    </row>
    <row r="957">
      <c r="C957" s="35"/>
      <c r="D957" s="35"/>
    </row>
    <row r="958">
      <c r="C958" s="35"/>
      <c r="D958" s="35"/>
    </row>
    <row r="959">
      <c r="C959" s="35"/>
      <c r="D959" s="35"/>
    </row>
    <row r="960">
      <c r="C960" s="35"/>
      <c r="D960" s="35"/>
    </row>
    <row r="961">
      <c r="C961" s="35"/>
      <c r="D961" s="35"/>
    </row>
    <row r="962">
      <c r="C962" s="35"/>
      <c r="D962" s="35"/>
    </row>
    <row r="963">
      <c r="C963" s="35"/>
      <c r="D963" s="35"/>
    </row>
    <row r="964">
      <c r="C964" s="35"/>
      <c r="D964" s="35"/>
    </row>
    <row r="965">
      <c r="C965" s="35"/>
      <c r="D965" s="35"/>
    </row>
    <row r="966">
      <c r="C966" s="35"/>
      <c r="D966" s="35"/>
    </row>
    <row r="967">
      <c r="C967" s="35"/>
      <c r="D967" s="35"/>
    </row>
    <row r="968">
      <c r="C968" s="35"/>
      <c r="D968" s="35"/>
    </row>
    <row r="969">
      <c r="C969" s="35"/>
      <c r="D969" s="35"/>
    </row>
    <row r="970">
      <c r="C970" s="35"/>
      <c r="D970" s="35"/>
    </row>
    <row r="971">
      <c r="C971" s="35"/>
      <c r="D971" s="35"/>
    </row>
    <row r="972">
      <c r="C972" s="35"/>
      <c r="D972" s="35"/>
    </row>
    <row r="973">
      <c r="C973" s="35"/>
      <c r="D973" s="35"/>
    </row>
    <row r="974">
      <c r="C974" s="35"/>
      <c r="D974" s="35"/>
    </row>
    <row r="975">
      <c r="C975" s="35"/>
      <c r="D975" s="35"/>
    </row>
    <row r="976">
      <c r="C976" s="35"/>
      <c r="D976" s="35"/>
    </row>
    <row r="977">
      <c r="C977" s="35"/>
      <c r="D977" s="35"/>
    </row>
    <row r="978">
      <c r="C978" s="35"/>
      <c r="D978" s="35"/>
    </row>
    <row r="979">
      <c r="C979" s="35"/>
      <c r="D979" s="35"/>
    </row>
    <row r="980">
      <c r="C980" s="35"/>
      <c r="D980" s="35"/>
    </row>
    <row r="981">
      <c r="C981" s="35"/>
      <c r="D981" s="35"/>
    </row>
    <row r="982">
      <c r="C982" s="35"/>
      <c r="D982" s="35"/>
    </row>
    <row r="983">
      <c r="C983" s="35"/>
      <c r="D983" s="35"/>
    </row>
    <row r="984">
      <c r="C984" s="35"/>
      <c r="D984" s="35"/>
    </row>
    <row r="985">
      <c r="C985" s="35"/>
      <c r="D985" s="35"/>
    </row>
    <row r="986">
      <c r="C986" s="35"/>
      <c r="D986" s="35"/>
    </row>
    <row r="987">
      <c r="C987" s="35"/>
      <c r="D987" s="35"/>
    </row>
    <row r="988">
      <c r="C988" s="35"/>
      <c r="D988" s="35"/>
    </row>
    <row r="989">
      <c r="C989" s="35"/>
      <c r="D989" s="35"/>
    </row>
    <row r="990">
      <c r="C990" s="35"/>
      <c r="D990" s="35"/>
    </row>
    <row r="991">
      <c r="C991" s="35"/>
      <c r="D991" s="35"/>
    </row>
    <row r="992">
      <c r="C992" s="35"/>
      <c r="D992" s="35"/>
    </row>
    <row r="993">
      <c r="C993" s="35"/>
      <c r="D993" s="35"/>
    </row>
    <row r="994">
      <c r="C994" s="35"/>
      <c r="D994" s="35"/>
    </row>
    <row r="995">
      <c r="C995" s="35"/>
      <c r="D995" s="35"/>
    </row>
    <row r="996">
      <c r="C996" s="35"/>
      <c r="D996" s="35"/>
    </row>
    <row r="997">
      <c r="C997" s="35"/>
      <c r="D997" s="35"/>
    </row>
    <row r="998">
      <c r="C998" s="35"/>
      <c r="D998" s="35"/>
    </row>
    <row r="999">
      <c r="C999" s="35"/>
      <c r="D999" s="35"/>
    </row>
    <row r="1000">
      <c r="C1000" s="35"/>
      <c r="D1000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0.38"/>
    <col customWidth="1" min="4" max="4" width="18.88"/>
    <col customWidth="1" min="5" max="5" width="2.88"/>
    <col customWidth="1" min="6" max="7" width="0.38"/>
  </cols>
  <sheetData>
    <row r="1">
      <c r="A1" s="36" t="s">
        <v>130</v>
      </c>
      <c r="B1" s="36" t="s">
        <v>131</v>
      </c>
      <c r="C1" s="36" t="s">
        <v>131</v>
      </c>
      <c r="D1" s="36" t="s">
        <v>132</v>
      </c>
      <c r="E1" s="37"/>
      <c r="F1" s="1"/>
    </row>
    <row r="2">
      <c r="A2" s="7" t="s">
        <v>57</v>
      </c>
      <c r="B2" s="38" t="str">
        <f t="shared" ref="B2:B49" si="1">Hyperlink(F2,C2)</f>
        <v>Synth1</v>
      </c>
      <c r="C2" s="7" t="s">
        <v>133</v>
      </c>
      <c r="D2" s="7" t="s">
        <v>134</v>
      </c>
      <c r="E2" s="39">
        <f t="shared" ref="E2:E49" si="2">COUNTIFS(C:C,C2)</f>
        <v>6</v>
      </c>
      <c r="F2" s="40" t="s">
        <v>135</v>
      </c>
      <c r="H2" s="41" t="s">
        <v>136</v>
      </c>
    </row>
    <row r="3">
      <c r="A3" s="7" t="s">
        <v>61</v>
      </c>
      <c r="B3" s="38" t="str">
        <f t="shared" si="1"/>
        <v>Synth1</v>
      </c>
      <c r="C3" s="7" t="s">
        <v>133</v>
      </c>
      <c r="D3" s="7" t="s">
        <v>134</v>
      </c>
      <c r="E3" s="39">
        <f t="shared" si="2"/>
        <v>6</v>
      </c>
      <c r="F3" s="40" t="s">
        <v>135</v>
      </c>
      <c r="H3" s="41" t="s">
        <v>136</v>
      </c>
    </row>
    <row r="4">
      <c r="A4" s="7" t="s">
        <v>25</v>
      </c>
      <c r="B4" s="38" t="str">
        <f t="shared" si="1"/>
        <v>Synth1</v>
      </c>
      <c r="C4" s="7" t="s">
        <v>133</v>
      </c>
      <c r="D4" s="7" t="s">
        <v>134</v>
      </c>
      <c r="E4" s="39">
        <f t="shared" si="2"/>
        <v>6</v>
      </c>
      <c r="F4" s="40" t="s">
        <v>135</v>
      </c>
      <c r="H4" s="41" t="s">
        <v>136</v>
      </c>
    </row>
    <row r="5">
      <c r="A5" s="7" t="s">
        <v>31</v>
      </c>
      <c r="B5" s="38" t="str">
        <f t="shared" si="1"/>
        <v>Synth1</v>
      </c>
      <c r="C5" s="7" t="s">
        <v>133</v>
      </c>
      <c r="D5" s="7" t="s">
        <v>134</v>
      </c>
      <c r="E5" s="39">
        <f t="shared" si="2"/>
        <v>6</v>
      </c>
      <c r="F5" s="40" t="s">
        <v>135</v>
      </c>
      <c r="H5" s="41" t="s">
        <v>136</v>
      </c>
    </row>
    <row r="6">
      <c r="A6" s="7" t="s">
        <v>91</v>
      </c>
      <c r="B6" s="38" t="str">
        <f t="shared" si="1"/>
        <v>Synth1</v>
      </c>
      <c r="C6" s="7" t="s">
        <v>133</v>
      </c>
      <c r="D6" s="7" t="s">
        <v>134</v>
      </c>
      <c r="E6" s="39">
        <f t="shared" si="2"/>
        <v>6</v>
      </c>
      <c r="F6" s="40" t="s">
        <v>135</v>
      </c>
      <c r="H6" s="41" t="s">
        <v>136</v>
      </c>
    </row>
    <row r="7">
      <c r="A7" s="7" t="s">
        <v>33</v>
      </c>
      <c r="B7" s="38" t="str">
        <f t="shared" si="1"/>
        <v>Synth1</v>
      </c>
      <c r="C7" s="7" t="s">
        <v>133</v>
      </c>
      <c r="D7" s="7" t="s">
        <v>134</v>
      </c>
      <c r="E7" s="39">
        <f t="shared" si="2"/>
        <v>6</v>
      </c>
      <c r="F7" s="40" t="s">
        <v>135</v>
      </c>
      <c r="H7" s="41" t="s">
        <v>136</v>
      </c>
    </row>
    <row r="8">
      <c r="A8" s="7" t="s">
        <v>11</v>
      </c>
      <c r="B8" s="38" t="str">
        <f t="shared" si="1"/>
        <v>Dune 3</v>
      </c>
      <c r="C8" s="7" t="s">
        <v>137</v>
      </c>
      <c r="D8" s="7" t="s">
        <v>138</v>
      </c>
      <c r="E8" s="39">
        <f t="shared" si="2"/>
        <v>3</v>
      </c>
      <c r="F8" s="40" t="s">
        <v>139</v>
      </c>
      <c r="H8" s="41" t="s">
        <v>140</v>
      </c>
    </row>
    <row r="9">
      <c r="A9" s="7" t="s">
        <v>59</v>
      </c>
      <c r="B9" s="38" t="str">
        <f t="shared" si="1"/>
        <v>Dune 3</v>
      </c>
      <c r="C9" s="7" t="s">
        <v>137</v>
      </c>
      <c r="D9" s="7" t="s">
        <v>138</v>
      </c>
      <c r="E9" s="39">
        <f t="shared" si="2"/>
        <v>3</v>
      </c>
      <c r="F9" s="40" t="s">
        <v>139</v>
      </c>
      <c r="H9" s="41" t="s">
        <v>140</v>
      </c>
    </row>
    <row r="10">
      <c r="A10" s="7" t="s">
        <v>27</v>
      </c>
      <c r="B10" s="38" t="str">
        <f t="shared" si="1"/>
        <v>Dune 3</v>
      </c>
      <c r="C10" s="7" t="s">
        <v>137</v>
      </c>
      <c r="D10" s="7" t="s">
        <v>138</v>
      </c>
      <c r="E10" s="39">
        <f t="shared" si="2"/>
        <v>3</v>
      </c>
      <c r="F10" s="40" t="s">
        <v>139</v>
      </c>
      <c r="H10" s="41" t="s">
        <v>140</v>
      </c>
    </row>
    <row r="11">
      <c r="A11" s="7" t="s">
        <v>9</v>
      </c>
      <c r="B11" s="38" t="str">
        <f t="shared" si="1"/>
        <v>FM8</v>
      </c>
      <c r="C11" s="7" t="s">
        <v>141</v>
      </c>
      <c r="D11" s="7" t="s">
        <v>142</v>
      </c>
      <c r="E11" s="39">
        <f t="shared" si="2"/>
        <v>3</v>
      </c>
      <c r="F11" s="40" t="s">
        <v>143</v>
      </c>
      <c r="H11" s="41" t="s">
        <v>140</v>
      </c>
    </row>
    <row r="12">
      <c r="A12" s="7" t="s">
        <v>71</v>
      </c>
      <c r="B12" s="38" t="str">
        <f t="shared" si="1"/>
        <v>FM8</v>
      </c>
      <c r="C12" s="7" t="s">
        <v>141</v>
      </c>
      <c r="D12" s="7" t="s">
        <v>142</v>
      </c>
      <c r="E12" s="39">
        <f t="shared" si="2"/>
        <v>3</v>
      </c>
      <c r="F12" s="40" t="s">
        <v>143</v>
      </c>
      <c r="H12" s="41" t="s">
        <v>140</v>
      </c>
    </row>
    <row r="13">
      <c r="A13" s="7" t="s">
        <v>5</v>
      </c>
      <c r="B13" s="38" t="str">
        <f t="shared" si="1"/>
        <v>FM8</v>
      </c>
      <c r="C13" s="7" t="s">
        <v>141</v>
      </c>
      <c r="D13" s="7" t="s">
        <v>142</v>
      </c>
      <c r="E13" s="39">
        <f t="shared" si="2"/>
        <v>3</v>
      </c>
      <c r="F13" s="40" t="s">
        <v>143</v>
      </c>
      <c r="H13" s="41" t="s">
        <v>140</v>
      </c>
    </row>
    <row r="14">
      <c r="A14" s="7" t="s">
        <v>17</v>
      </c>
      <c r="B14" s="38" t="str">
        <f t="shared" si="1"/>
        <v>Zebra HZ</v>
      </c>
      <c r="C14" s="7" t="s">
        <v>144</v>
      </c>
      <c r="D14" s="7" t="s">
        <v>145</v>
      </c>
      <c r="E14" s="39">
        <f t="shared" si="2"/>
        <v>3</v>
      </c>
      <c r="F14" s="40" t="s">
        <v>146</v>
      </c>
      <c r="H14" s="41" t="s">
        <v>140</v>
      </c>
    </row>
    <row r="15">
      <c r="A15" s="7" t="s">
        <v>47</v>
      </c>
      <c r="B15" s="38" t="str">
        <f t="shared" si="1"/>
        <v>Zebra HZ</v>
      </c>
      <c r="C15" s="7" t="s">
        <v>144</v>
      </c>
      <c r="D15" s="7" t="s">
        <v>145</v>
      </c>
      <c r="E15" s="39">
        <f t="shared" si="2"/>
        <v>3</v>
      </c>
      <c r="F15" s="40" t="s">
        <v>146</v>
      </c>
      <c r="H15" s="41" t="s">
        <v>140</v>
      </c>
    </row>
    <row r="16">
      <c r="A16" s="7" t="s">
        <v>51</v>
      </c>
      <c r="B16" s="38" t="str">
        <f t="shared" si="1"/>
        <v>Zebra HZ</v>
      </c>
      <c r="C16" s="7" t="s">
        <v>144</v>
      </c>
      <c r="D16" s="7" t="s">
        <v>145</v>
      </c>
      <c r="E16" s="39">
        <f t="shared" si="2"/>
        <v>3</v>
      </c>
      <c r="F16" s="40" t="s">
        <v>146</v>
      </c>
      <c r="H16" s="41" t="s">
        <v>140</v>
      </c>
    </row>
    <row r="17">
      <c r="A17" s="7" t="s">
        <v>89</v>
      </c>
      <c r="B17" s="38" t="str">
        <f t="shared" si="1"/>
        <v>Bazille</v>
      </c>
      <c r="C17" s="7" t="s">
        <v>147</v>
      </c>
      <c r="D17" s="7" t="s">
        <v>145</v>
      </c>
      <c r="E17" s="39">
        <f t="shared" si="2"/>
        <v>2</v>
      </c>
      <c r="F17" s="40" t="s">
        <v>148</v>
      </c>
      <c r="H17" s="41" t="s">
        <v>140</v>
      </c>
    </row>
    <row r="18">
      <c r="A18" s="7" t="s">
        <v>21</v>
      </c>
      <c r="B18" s="38" t="str">
        <f t="shared" si="1"/>
        <v>Bazille</v>
      </c>
      <c r="C18" s="7" t="s">
        <v>147</v>
      </c>
      <c r="D18" s="7" t="s">
        <v>145</v>
      </c>
      <c r="E18" s="39">
        <f t="shared" si="2"/>
        <v>2</v>
      </c>
      <c r="F18" s="40" t="s">
        <v>148</v>
      </c>
      <c r="H18" s="41" t="s">
        <v>140</v>
      </c>
    </row>
    <row r="19">
      <c r="A19" s="7" t="s">
        <v>39</v>
      </c>
      <c r="B19" s="38" t="str">
        <f t="shared" si="1"/>
        <v>Harmor</v>
      </c>
      <c r="C19" s="7" t="s">
        <v>149</v>
      </c>
      <c r="D19" s="7" t="s">
        <v>150</v>
      </c>
      <c r="E19" s="39">
        <f t="shared" si="2"/>
        <v>2</v>
      </c>
      <c r="F19" s="40" t="s">
        <v>151</v>
      </c>
      <c r="H19" s="41" t="s">
        <v>140</v>
      </c>
    </row>
    <row r="20">
      <c r="A20" s="7" t="s">
        <v>55</v>
      </c>
      <c r="B20" s="38" t="str">
        <f t="shared" si="1"/>
        <v>Harmor</v>
      </c>
      <c r="C20" s="7" t="s">
        <v>149</v>
      </c>
      <c r="D20" s="7" t="s">
        <v>150</v>
      </c>
      <c r="E20" s="39">
        <f t="shared" si="2"/>
        <v>2</v>
      </c>
      <c r="F20" s="40" t="s">
        <v>151</v>
      </c>
      <c r="H20" s="41" t="s">
        <v>140</v>
      </c>
    </row>
    <row r="21">
      <c r="A21" s="7" t="s">
        <v>67</v>
      </c>
      <c r="B21" s="38" t="str">
        <f t="shared" si="1"/>
        <v>Massive</v>
      </c>
      <c r="C21" s="7" t="s">
        <v>152</v>
      </c>
      <c r="D21" s="7" t="s">
        <v>142</v>
      </c>
      <c r="E21" s="39">
        <f t="shared" si="2"/>
        <v>2</v>
      </c>
      <c r="F21" s="40" t="s">
        <v>153</v>
      </c>
      <c r="H21" s="41" t="s">
        <v>140</v>
      </c>
    </row>
    <row r="22">
      <c r="A22" s="7" t="s">
        <v>154</v>
      </c>
      <c r="B22" s="38" t="str">
        <f t="shared" si="1"/>
        <v>Massive</v>
      </c>
      <c r="C22" s="7" t="s">
        <v>152</v>
      </c>
      <c r="D22" s="7" t="s">
        <v>142</v>
      </c>
      <c r="E22" s="39">
        <f t="shared" si="2"/>
        <v>2</v>
      </c>
      <c r="F22" s="38" t="s">
        <v>153</v>
      </c>
      <c r="H22" s="1" t="s">
        <v>140</v>
      </c>
    </row>
    <row r="23">
      <c r="A23" s="7" t="s">
        <v>75</v>
      </c>
      <c r="B23" s="38" t="str">
        <f t="shared" si="1"/>
        <v>Synthmaster</v>
      </c>
      <c r="C23" s="7" t="s">
        <v>155</v>
      </c>
      <c r="D23" s="7" t="s">
        <v>156</v>
      </c>
      <c r="E23" s="39">
        <f t="shared" si="2"/>
        <v>2</v>
      </c>
      <c r="F23" s="40" t="s">
        <v>157</v>
      </c>
      <c r="H23" s="41" t="s">
        <v>140</v>
      </c>
    </row>
    <row r="24">
      <c r="A24" s="7" t="s">
        <v>37</v>
      </c>
      <c r="B24" s="38" t="str">
        <f t="shared" si="1"/>
        <v>Synthmaster</v>
      </c>
      <c r="C24" s="7" t="s">
        <v>155</v>
      </c>
      <c r="D24" s="7" t="s">
        <v>156</v>
      </c>
      <c r="E24" s="39">
        <f t="shared" si="2"/>
        <v>2</v>
      </c>
      <c r="F24" s="40" t="s">
        <v>157</v>
      </c>
      <c r="H24" s="41" t="s">
        <v>140</v>
      </c>
    </row>
    <row r="25">
      <c r="A25" s="7" t="s">
        <v>49</v>
      </c>
      <c r="B25" s="38" t="str">
        <f t="shared" si="1"/>
        <v>Zebra 2</v>
      </c>
      <c r="C25" s="7" t="s">
        <v>158</v>
      </c>
      <c r="D25" s="7" t="s">
        <v>145</v>
      </c>
      <c r="E25" s="39">
        <f t="shared" si="2"/>
        <v>2</v>
      </c>
      <c r="F25" s="38" t="s">
        <v>159</v>
      </c>
      <c r="H25" s="1" t="s">
        <v>140</v>
      </c>
    </row>
    <row r="26">
      <c r="A26" s="7" t="s">
        <v>15</v>
      </c>
      <c r="B26" s="38" t="str">
        <f t="shared" si="1"/>
        <v>Zebra 2</v>
      </c>
      <c r="C26" s="7" t="s">
        <v>158</v>
      </c>
      <c r="D26" s="7" t="s">
        <v>145</v>
      </c>
      <c r="E26" s="39">
        <f t="shared" si="2"/>
        <v>2</v>
      </c>
      <c r="F26" s="38" t="s">
        <v>159</v>
      </c>
      <c r="H26" s="1" t="s">
        <v>140</v>
      </c>
    </row>
    <row r="27">
      <c r="A27" s="7" t="s">
        <v>35</v>
      </c>
      <c r="B27" s="38" t="str">
        <f t="shared" si="1"/>
        <v>Tyrell N6</v>
      </c>
      <c r="C27" s="7" t="s">
        <v>160</v>
      </c>
      <c r="D27" s="7" t="s">
        <v>145</v>
      </c>
      <c r="E27" s="39">
        <f t="shared" si="2"/>
        <v>2</v>
      </c>
      <c r="F27" s="38" t="s">
        <v>161</v>
      </c>
      <c r="G27" s="13" t="s">
        <v>162</v>
      </c>
      <c r="H27" s="42" t="s">
        <v>136</v>
      </c>
    </row>
    <row r="28">
      <c r="A28" s="7" t="s">
        <v>77</v>
      </c>
      <c r="B28" s="38" t="str">
        <f t="shared" si="1"/>
        <v>Tyrell N6</v>
      </c>
      <c r="C28" s="7" t="s">
        <v>160</v>
      </c>
      <c r="D28" s="7" t="s">
        <v>145</v>
      </c>
      <c r="E28" s="39">
        <f t="shared" si="2"/>
        <v>2</v>
      </c>
      <c r="F28" s="38" t="s">
        <v>161</v>
      </c>
      <c r="H28" s="1" t="s">
        <v>136</v>
      </c>
    </row>
    <row r="29">
      <c r="A29" s="7" t="s">
        <v>43</v>
      </c>
      <c r="B29" s="38" t="str">
        <f t="shared" si="1"/>
        <v>Aalto</v>
      </c>
      <c r="C29" s="7" t="s">
        <v>163</v>
      </c>
      <c r="D29" s="7" t="s">
        <v>164</v>
      </c>
      <c r="E29" s="39">
        <f t="shared" si="2"/>
        <v>1</v>
      </c>
      <c r="F29" s="38" t="s">
        <v>165</v>
      </c>
      <c r="H29" s="1" t="s">
        <v>140</v>
      </c>
    </row>
    <row r="30">
      <c r="A30" s="7" t="s">
        <v>97</v>
      </c>
      <c r="B30" s="38" t="str">
        <f t="shared" si="1"/>
        <v>Analog Four MkII</v>
      </c>
      <c r="C30" s="7" t="s">
        <v>166</v>
      </c>
      <c r="D30" s="7" t="s">
        <v>167</v>
      </c>
      <c r="E30" s="39">
        <f t="shared" si="2"/>
        <v>1</v>
      </c>
      <c r="F30" s="38" t="s">
        <v>168</v>
      </c>
      <c r="H30" s="1" t="s">
        <v>140</v>
      </c>
    </row>
    <row r="31">
      <c r="A31" s="7" t="s">
        <v>41</v>
      </c>
      <c r="B31" s="38" t="str">
        <f t="shared" si="1"/>
        <v>Bazz:Murda</v>
      </c>
      <c r="C31" s="7" t="s">
        <v>169</v>
      </c>
      <c r="D31" s="7" t="s">
        <v>170</v>
      </c>
      <c r="E31" s="39">
        <f t="shared" si="2"/>
        <v>1</v>
      </c>
      <c r="F31" s="38" t="s">
        <v>171</v>
      </c>
      <c r="H31" s="1" t="s">
        <v>136</v>
      </c>
    </row>
    <row r="32">
      <c r="A32" s="7" t="s">
        <v>83</v>
      </c>
      <c r="B32" s="38" t="str">
        <f t="shared" si="1"/>
        <v>ElectraX</v>
      </c>
      <c r="C32" s="7" t="s">
        <v>172</v>
      </c>
      <c r="D32" s="7" t="s">
        <v>173</v>
      </c>
      <c r="E32" s="39">
        <f t="shared" si="2"/>
        <v>1</v>
      </c>
      <c r="F32" s="38" t="s">
        <v>174</v>
      </c>
      <c r="H32" s="1" t="s">
        <v>140</v>
      </c>
    </row>
    <row r="33">
      <c r="A33" s="7" t="s">
        <v>87</v>
      </c>
      <c r="B33" s="38" t="str">
        <f t="shared" si="1"/>
        <v>Kontour</v>
      </c>
      <c r="C33" s="7" t="s">
        <v>175</v>
      </c>
      <c r="D33" s="7" t="s">
        <v>142</v>
      </c>
      <c r="E33" s="39">
        <f t="shared" si="2"/>
        <v>1</v>
      </c>
      <c r="F33" s="38" t="s">
        <v>176</v>
      </c>
      <c r="H33" s="1" t="s">
        <v>140</v>
      </c>
    </row>
    <row r="34">
      <c r="A34" s="7" t="s">
        <v>69</v>
      </c>
      <c r="B34" s="38" t="str">
        <f t="shared" si="1"/>
        <v>Lord of the Springs (LOTS)</v>
      </c>
      <c r="C34" s="7" t="s">
        <v>177</v>
      </c>
      <c r="D34" s="7" t="s">
        <v>109</v>
      </c>
      <c r="E34" s="39">
        <f t="shared" si="2"/>
        <v>1</v>
      </c>
      <c r="F34" s="40" t="s">
        <v>178</v>
      </c>
      <c r="H34" s="41" t="s">
        <v>136</v>
      </c>
    </row>
    <row r="35">
      <c r="A35" s="7" t="s">
        <v>85</v>
      </c>
      <c r="B35" s="38" t="str">
        <f t="shared" si="1"/>
        <v>Modular</v>
      </c>
      <c r="C35" s="7" t="s">
        <v>179</v>
      </c>
      <c r="D35" s="7" t="s">
        <v>180</v>
      </c>
      <c r="E35" s="39">
        <f t="shared" si="2"/>
        <v>1</v>
      </c>
      <c r="F35" s="40" t="s">
        <v>181</v>
      </c>
      <c r="H35" s="43" t="s">
        <v>182</v>
      </c>
    </row>
    <row r="36">
      <c r="A36" s="7" t="s">
        <v>81</v>
      </c>
      <c r="B36" s="38" t="str">
        <f t="shared" si="1"/>
        <v>Mux</v>
      </c>
      <c r="C36" s="7" t="s">
        <v>183</v>
      </c>
      <c r="D36" s="7" t="s">
        <v>184</v>
      </c>
      <c r="E36" s="39">
        <f t="shared" si="2"/>
        <v>1</v>
      </c>
      <c r="F36" s="40" t="s">
        <v>185</v>
      </c>
      <c r="H36" s="41" t="s">
        <v>140</v>
      </c>
    </row>
    <row r="37">
      <c r="A37" s="7" t="s">
        <v>73</v>
      </c>
      <c r="B37" s="38" t="str">
        <f t="shared" si="1"/>
        <v>Prologue</v>
      </c>
      <c r="C37" s="7" t="s">
        <v>186</v>
      </c>
      <c r="D37" s="7" t="s">
        <v>187</v>
      </c>
      <c r="E37" s="39">
        <f t="shared" si="2"/>
        <v>1</v>
      </c>
      <c r="F37" s="38" t="s">
        <v>188</v>
      </c>
      <c r="H37" s="1" t="s">
        <v>140</v>
      </c>
    </row>
    <row r="38">
      <c r="A38" s="7" t="s">
        <v>7</v>
      </c>
      <c r="B38" s="38" t="str">
        <f t="shared" si="1"/>
        <v>Serum</v>
      </c>
      <c r="C38" s="7" t="s">
        <v>189</v>
      </c>
      <c r="D38" s="7" t="s">
        <v>190</v>
      </c>
      <c r="E38" s="39">
        <f t="shared" si="2"/>
        <v>1</v>
      </c>
      <c r="F38" s="40" t="s">
        <v>191</v>
      </c>
      <c r="H38" s="41" t="s">
        <v>140</v>
      </c>
    </row>
    <row r="39">
      <c r="A39" s="7" t="s">
        <v>65</v>
      </c>
      <c r="B39" s="38" t="str">
        <f t="shared" si="1"/>
        <v>Sinnah</v>
      </c>
      <c r="C39" s="7" t="s">
        <v>192</v>
      </c>
      <c r="D39" s="7" t="s">
        <v>193</v>
      </c>
      <c r="E39" s="39">
        <f t="shared" si="2"/>
        <v>1</v>
      </c>
      <c r="F39" s="38" t="s">
        <v>194</v>
      </c>
      <c r="H39" s="1" t="s">
        <v>136</v>
      </c>
    </row>
    <row r="40">
      <c r="A40" s="7" t="s">
        <v>23</v>
      </c>
      <c r="B40" s="38" t="str">
        <f t="shared" si="1"/>
        <v>Stigma</v>
      </c>
      <c r="C40" s="7" t="s">
        <v>195</v>
      </c>
      <c r="D40" s="7" t="s">
        <v>196</v>
      </c>
      <c r="E40" s="39">
        <f t="shared" si="2"/>
        <v>1</v>
      </c>
      <c r="F40" s="38" t="s">
        <v>197</v>
      </c>
      <c r="H40" s="1" t="s">
        <v>136</v>
      </c>
    </row>
    <row r="41">
      <c r="A41" s="7" t="s">
        <v>95</v>
      </c>
      <c r="B41" s="38" t="str">
        <f t="shared" si="1"/>
        <v>Sunvox</v>
      </c>
      <c r="C41" s="7" t="s">
        <v>198</v>
      </c>
      <c r="D41" s="7" t="s">
        <v>199</v>
      </c>
      <c r="E41" s="39">
        <f t="shared" si="2"/>
        <v>1</v>
      </c>
      <c r="F41" s="40" t="s">
        <v>200</v>
      </c>
      <c r="H41" s="41" t="s">
        <v>136</v>
      </c>
    </row>
    <row r="42">
      <c r="A42" s="7" t="s">
        <v>29</v>
      </c>
      <c r="B42" s="38" t="str">
        <f t="shared" si="1"/>
        <v>Surge</v>
      </c>
      <c r="C42" s="7" t="s">
        <v>201</v>
      </c>
      <c r="D42" s="7" t="s">
        <v>202</v>
      </c>
      <c r="E42" s="39">
        <f t="shared" si="2"/>
        <v>1</v>
      </c>
      <c r="F42" s="40" t="s">
        <v>203</v>
      </c>
      <c r="H42" s="41" t="s">
        <v>136</v>
      </c>
    </row>
    <row r="43">
      <c r="A43" s="7" t="s">
        <v>19</v>
      </c>
      <c r="B43" s="38" t="str">
        <f t="shared" si="1"/>
        <v>Synthmaster One</v>
      </c>
      <c r="C43" s="7" t="s">
        <v>129</v>
      </c>
      <c r="D43" s="7" t="s">
        <v>156</v>
      </c>
      <c r="E43" s="39">
        <f t="shared" si="2"/>
        <v>1</v>
      </c>
      <c r="F43" s="38" t="s">
        <v>204</v>
      </c>
      <c r="H43" s="1" t="s">
        <v>140</v>
      </c>
    </row>
    <row r="44">
      <c r="A44" s="7" t="s">
        <v>79</v>
      </c>
      <c r="B44" s="38" t="str">
        <f t="shared" si="1"/>
        <v>TAL-U-No-LX</v>
      </c>
      <c r="C44" s="7" t="s">
        <v>205</v>
      </c>
      <c r="D44" s="7" t="s">
        <v>206</v>
      </c>
      <c r="E44" s="39">
        <f t="shared" si="2"/>
        <v>1</v>
      </c>
      <c r="F44" s="38" t="s">
        <v>207</v>
      </c>
      <c r="H44" s="1" t="s">
        <v>136</v>
      </c>
    </row>
    <row r="45">
      <c r="A45" s="7" t="s">
        <v>93</v>
      </c>
      <c r="B45" s="38" t="str">
        <f t="shared" si="1"/>
        <v>Thor</v>
      </c>
      <c r="C45" s="7" t="s">
        <v>208</v>
      </c>
      <c r="D45" s="7" t="s">
        <v>209</v>
      </c>
      <c r="E45" s="39">
        <f t="shared" si="2"/>
        <v>1</v>
      </c>
      <c r="F45" s="40" t="s">
        <v>210</v>
      </c>
      <c r="H45" s="41" t="s">
        <v>140</v>
      </c>
    </row>
    <row r="46">
      <c r="A46" s="7" t="s">
        <v>45</v>
      </c>
      <c r="B46" s="38" t="str">
        <f t="shared" si="1"/>
        <v>VeeSeeVSTRack</v>
      </c>
      <c r="C46" s="7" t="s">
        <v>211</v>
      </c>
      <c r="D46" s="7" t="s">
        <v>212</v>
      </c>
      <c r="E46" s="39">
        <f t="shared" si="2"/>
        <v>1</v>
      </c>
      <c r="F46" s="38" t="s">
        <v>213</v>
      </c>
      <c r="H46" s="1" t="s">
        <v>136</v>
      </c>
    </row>
    <row r="47">
      <c r="A47" s="7" t="s">
        <v>13</v>
      </c>
      <c r="B47" s="38" t="str">
        <f t="shared" si="1"/>
        <v>Yava 4</v>
      </c>
      <c r="C47" s="7" t="s">
        <v>214</v>
      </c>
      <c r="D47" s="7" t="s">
        <v>215</v>
      </c>
      <c r="E47" s="39">
        <f t="shared" si="2"/>
        <v>1</v>
      </c>
      <c r="F47" s="38" t="s">
        <v>216</v>
      </c>
      <c r="H47" s="1" t="s">
        <v>136</v>
      </c>
    </row>
    <row r="48">
      <c r="A48" s="7" t="s">
        <v>63</v>
      </c>
      <c r="B48" s="38" t="str">
        <f t="shared" si="1"/>
        <v>Z3ta+ 2</v>
      </c>
      <c r="C48" s="7" t="s">
        <v>217</v>
      </c>
      <c r="D48" s="7" t="s">
        <v>218</v>
      </c>
      <c r="E48" s="39">
        <f t="shared" si="2"/>
        <v>1</v>
      </c>
      <c r="F48" s="40" t="s">
        <v>219</v>
      </c>
      <c r="H48" s="41" t="s">
        <v>140</v>
      </c>
    </row>
    <row r="49">
      <c r="A49" s="7" t="s">
        <v>53</v>
      </c>
      <c r="B49" s="38" t="str">
        <f t="shared" si="1"/>
        <v>Zebralette</v>
      </c>
      <c r="C49" s="7" t="s">
        <v>220</v>
      </c>
      <c r="D49" s="7" t="s">
        <v>145</v>
      </c>
      <c r="E49" s="39">
        <f t="shared" si="2"/>
        <v>1</v>
      </c>
      <c r="F49" s="38" t="s">
        <v>221</v>
      </c>
      <c r="H49" s="1" t="s">
        <v>136</v>
      </c>
    </row>
  </sheetData>
  <autoFilter ref="$A$1:$H$49">
    <sortState ref="A1:H49">
      <sortCondition descending="1" ref="E1:E49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location="darkzebra" ref="F14"/>
    <hyperlink r:id="rId14" location="darkzebra" ref="F15"/>
    <hyperlink r:id="rId15" location="darkzebra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</hyperlinks>
  <drawing r:id="rId49"/>
</worksheet>
</file>
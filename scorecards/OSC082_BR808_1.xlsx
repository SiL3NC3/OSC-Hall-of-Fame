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!" sheetId="1" state="visible" r:id="rId3"/>
    <sheet name="OSC82" sheetId="2" state="visible" r:id="rId4"/>
  </sheets>
  <definedNames>
    <definedName function="false" hidden="true" localSheetId="0" name="_xlnm._FilterDatabase" vbProcedure="false">'Results!'!$A$1:$C$22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<sst xmlns="http://schemas.openxmlformats.org/spreadsheetml/2006/main" count="128" uniqueCount="92">
  <si>
    <t xml:space="preserve"># </t>
  </si>
  <si>
    <t xml:space="preserve">Voter Name (KVR nick)</t>
  </si>
  <si>
    <t xml:space="preserve">Score</t>
  </si>
  <si>
    <t xml:space="preserve">zendorf  - Inner Space</t>
  </si>
  <si>
    <t xml:space="preserve">pts</t>
  </si>
  <si>
    <t xml:space="preserve">a</t>
  </si>
  <si>
    <t xml:space="preserve">H-man - Speak of next year...</t>
  </si>
  <si>
    <t xml:space="preserve">b</t>
  </si>
  <si>
    <t xml:space="preserve">Meakaale  - Village Promenade Adventure</t>
  </si>
  <si>
    <t xml:space="preserve">c</t>
  </si>
  <si>
    <t xml:space="preserve">DoctorBob  - BarberShop Toon</t>
  </si>
  <si>
    <t xml:space="preserve">d</t>
  </si>
  <si>
    <t xml:space="preserve">sfiks  - Ou  OiYeah</t>
  </si>
  <si>
    <t xml:space="preserve">e</t>
  </si>
  <si>
    <t xml:space="preserve">mehum  - Baltic State</t>
  </si>
  <si>
    <t xml:space="preserve">f</t>
  </si>
  <si>
    <t xml:space="preserve">bh9090 - Wahunsenacawh</t>
  </si>
  <si>
    <t xml:space="preserve">g</t>
  </si>
  <si>
    <t xml:space="preserve">ballacr75  - osc082 - ruisn</t>
  </si>
  <si>
    <t xml:space="preserve">h</t>
  </si>
  <si>
    <t xml:space="preserve">zarf  - Robot Is Sorry</t>
  </si>
  <si>
    <t xml:space="preserve">i</t>
  </si>
  <si>
    <t xml:space="preserve">Tjgoa or Touch – The Universe Productions</t>
  </si>
  <si>
    <t xml:space="preserve">j</t>
  </si>
  <si>
    <t xml:space="preserve">Yeager  - Hate Oh Hate</t>
  </si>
  <si>
    <t xml:space="preserve">k</t>
  </si>
  <si>
    <t xml:space="preserve">Aluode - Aluode Raining In Miami</t>
  </si>
  <si>
    <t xml:space="preserve">l</t>
  </si>
  <si>
    <t xml:space="preserve">Jazzaria  - Low Funk Oscillation</t>
  </si>
  <si>
    <t xml:space="preserve">m</t>
  </si>
  <si>
    <t xml:space="preserve">jmqjmq - 1992</t>
  </si>
  <si>
    <t xml:space="preserve">n</t>
  </si>
  <si>
    <t xml:space="preserve">MTLE  - Themes From Mindwallk Part 12</t>
  </si>
  <si>
    <t xml:space="preserve">o</t>
  </si>
  <si>
    <t xml:space="preserve">elektrovador / Javierbravo2010  - Set Out For Ithaka</t>
  </si>
  <si>
    <t xml:space="preserve">p</t>
  </si>
  <si>
    <t xml:space="preserve">Eauson - Eauson BR808 BERO </t>
  </si>
  <si>
    <t xml:space="preserve">q</t>
  </si>
  <si>
    <t xml:space="preserve">AlienXXX  - Uncertainty</t>
  </si>
  <si>
    <t xml:space="preserve">r</t>
  </si>
  <si>
    <t xml:space="preserve">Reusenoise - Reusenoise HappyMood</t>
  </si>
  <si>
    <t xml:space="preserve">s</t>
  </si>
  <si>
    <t xml:space="preserve">Wagtunes  - Robot Man</t>
  </si>
  <si>
    <t xml:space="preserve">t</t>
  </si>
  <si>
    <t xml:space="preserve">key88  - MakeItToTheEndYeah</t>
  </si>
  <si>
    <t xml:space="preserve">u</t>
  </si>
  <si>
    <t xml:space="preserve">bh9090 - Wahunsenacawh [BR808 OSC]</t>
  </si>
  <si>
    <t xml:space="preserve">DoctorBob  - BarberShop Toon - (OSC #82 BR808)</t>
  </si>
  <si>
    <t xml:space="preserve">Eauson - Eauson BR808 BERO (KVR 82)</t>
  </si>
  <si>
    <t xml:space="preserve">Javierbravo2010  - Set Out For Ithaka</t>
  </si>
  <si>
    <t xml:space="preserve">jmqjmq - 1992 - (0sc82)</t>
  </si>
  <si>
    <t xml:space="preserve">Tjgoa or Touch The Universe Productions - Br8o8 Osc Bass Mix</t>
  </si>
  <si>
    <t xml:space="preserve">Wagtunes  - Robot Man (OSC 82)</t>
  </si>
  <si>
    <t xml:space="preserve">Generosity Score*</t>
  </si>
  <si>
    <t xml:space="preserve">AlienXXX</t>
  </si>
  <si>
    <t xml:space="preserve">aluode</t>
  </si>
  <si>
    <t xml:space="preserve">ballacr75</t>
  </si>
  <si>
    <t xml:space="preserve">BbluntProductions</t>
  </si>
  <si>
    <t xml:space="preserve">bh9090</t>
  </si>
  <si>
    <t xml:space="preserve">bjporter</t>
  </si>
  <si>
    <t xml:space="preserve">Dee.P.Tree</t>
  </si>
  <si>
    <t xml:space="preserve">doctorbob</t>
  </si>
  <si>
    <t xml:space="preserve">eauson</t>
  </si>
  <si>
    <t xml:space="preserve">H-man</t>
  </si>
  <si>
    <t xml:space="preserve">elektrovador / Javierbravo2010</t>
  </si>
  <si>
    <t xml:space="preserve">Jazzaria</t>
  </si>
  <si>
    <t xml:space="preserve">jmqjmq</t>
  </si>
  <si>
    <t xml:space="preserve">Key88</t>
  </si>
  <si>
    <t xml:space="preserve">meakaale</t>
  </si>
  <si>
    <t xml:space="preserve">mehum</t>
  </si>
  <si>
    <t xml:space="preserve">Mike777</t>
  </si>
  <si>
    <t xml:space="preserve">MTLE</t>
  </si>
  <si>
    <t xml:space="preserve">psmacmur</t>
  </si>
  <si>
    <t xml:space="preserve">reusenoise</t>
  </si>
  <si>
    <t xml:space="preserve">Richard Semper</t>
  </si>
  <si>
    <t xml:space="preserve">RuediRena</t>
  </si>
  <si>
    <t xml:space="preserve">sfiks</t>
  </si>
  <si>
    <t xml:space="preserve">tjgoa</t>
  </si>
  <si>
    <t xml:space="preserve">wagtunes</t>
  </si>
  <si>
    <t xml:space="preserve">Yeager</t>
  </si>
  <si>
    <t xml:space="preserve">z.prime</t>
  </si>
  <si>
    <t xml:space="preserve">zarf</t>
  </si>
  <si>
    <t xml:space="preserve">zendorf</t>
  </si>
  <si>
    <t xml:space="preserve">5's</t>
  </si>
  <si>
    <t xml:space="preserve">4's</t>
  </si>
  <si>
    <t xml:space="preserve">3's</t>
  </si>
  <si>
    <t xml:space="preserve">2's</t>
  </si>
  <si>
    <t xml:space="preserve">1's</t>
  </si>
  <si>
    <t xml:space="preserve">* Notes on 'Generosity Score'</t>
  </si>
  <si>
    <t xml:space="preserve">Average fairness is</t>
  </si>
  <si>
    <t xml:space="preserve">(Red is outlier under average)</t>
  </si>
  <si>
    <t xml:space="preserve">Use this metric to see how "fairly" you have voted. This doesn't mean you have to vote differently; It is an aid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</si>
</sst>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 %"/>
    <numFmt numFmtId="166" formatCode="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Cambria"/>
      <family val="0"/>
      <charset val="1"/>
    </font>
    <font>
      <sz val="11"/>
      <color rgb="FF999999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66666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666666"/>
      <name val="Calibri"/>
      <family val="0"/>
      <charset val="1"/>
    </font>
    <font>
      <i val="true"/>
      <sz val="8"/>
      <color rgb="FF666666"/>
      <name val="Arial"/>
      <family val="0"/>
      <charset val="1"/>
    </font>
    <font>
      <sz val="8"/>
      <color rgb="FF666666"/>
      <name val="Calibri"/>
      <family val="0"/>
      <charset val="1"/>
    </font>
    <font>
      <sz val="8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CCFFFF"/>
      </patternFill>
    </fill>
    <fill>
      <patternFill patternType="solid">
        <fgColor rgb="FFC9DAF8"/>
        <bgColor rgb="FFDAEEF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33.51"/>
    <col collapsed="false" customWidth="true" hidden="false" outlineLevel="0" max="3" min="3" style="0" width="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3"/>
    </row>
    <row r="2" customFormat="false" ht="15.75" hidden="false" customHeight="false" outlineLevel="0" collapsed="false">
      <c r="A2" s="4" t="n">
        <v>1</v>
      </c>
      <c r="B2" s="5" t="s">
        <v>3</v>
      </c>
      <c r="C2" s="0" t="n">
        <v>122</v>
      </c>
      <c r="D2" s="3" t="s">
        <v>4</v>
      </c>
      <c r="E2" s="5" t="s">
        <v>5</v>
      </c>
    </row>
    <row r="3" customFormat="false" ht="15.75" hidden="false" customHeight="false" outlineLevel="0" collapsed="false">
      <c r="A3" s="4" t="n">
        <v>2</v>
      </c>
      <c r="B3" s="5" t="s">
        <v>6</v>
      </c>
      <c r="C3" s="0" t="n">
        <v>116</v>
      </c>
      <c r="D3" s="3" t="s">
        <v>4</v>
      </c>
      <c r="E3" s="5" t="s">
        <v>7</v>
      </c>
    </row>
    <row r="4" customFormat="false" ht="15.75" hidden="false" customHeight="false" outlineLevel="0" collapsed="false">
      <c r="A4" s="4" t="n">
        <v>3</v>
      </c>
      <c r="B4" s="5" t="s">
        <v>8</v>
      </c>
      <c r="C4" s="0" t="n">
        <v>115</v>
      </c>
      <c r="D4" s="3" t="s">
        <v>4</v>
      </c>
      <c r="E4" s="5" t="s">
        <v>9</v>
      </c>
    </row>
    <row r="5" customFormat="false" ht="15.75" hidden="false" customHeight="false" outlineLevel="0" collapsed="false">
      <c r="A5" s="4" t="n">
        <v>4</v>
      </c>
      <c r="B5" s="5" t="s">
        <v>10</v>
      </c>
      <c r="C5" s="0" t="n">
        <v>108</v>
      </c>
      <c r="D5" s="3" t="s">
        <v>4</v>
      </c>
      <c r="E5" s="5" t="s">
        <v>11</v>
      </c>
    </row>
    <row r="6" customFormat="false" ht="15.75" hidden="false" customHeight="false" outlineLevel="0" collapsed="false">
      <c r="A6" s="4" t="n">
        <v>5</v>
      </c>
      <c r="B6" s="5" t="s">
        <v>12</v>
      </c>
      <c r="C6" s="0" t="n">
        <v>107</v>
      </c>
      <c r="D6" s="3" t="s">
        <v>4</v>
      </c>
      <c r="E6" s="5" t="s">
        <v>13</v>
      </c>
    </row>
    <row r="7" customFormat="false" ht="15.75" hidden="false" customHeight="false" outlineLevel="0" collapsed="false">
      <c r="A7" s="4" t="n">
        <v>6</v>
      </c>
      <c r="B7" s="5" t="s">
        <v>14</v>
      </c>
      <c r="C7" s="0" t="n">
        <v>107</v>
      </c>
      <c r="D7" s="3" t="s">
        <v>4</v>
      </c>
      <c r="E7" s="5" t="s">
        <v>15</v>
      </c>
    </row>
    <row r="8" customFormat="false" ht="15.75" hidden="false" customHeight="false" outlineLevel="0" collapsed="false">
      <c r="A8" s="4" t="n">
        <v>7</v>
      </c>
      <c r="B8" s="5" t="s">
        <v>16</v>
      </c>
      <c r="C8" s="0" t="n">
        <v>102</v>
      </c>
      <c r="D8" s="3" t="s">
        <v>4</v>
      </c>
      <c r="E8" s="5" t="s">
        <v>17</v>
      </c>
    </row>
    <row r="9" customFormat="false" ht="15.75" hidden="false" customHeight="false" outlineLevel="0" collapsed="false">
      <c r="A9" s="4" t="n">
        <v>8</v>
      </c>
      <c r="B9" s="5" t="s">
        <v>18</v>
      </c>
      <c r="C9" s="0" t="n">
        <v>101</v>
      </c>
      <c r="D9" s="3" t="s">
        <v>4</v>
      </c>
      <c r="E9" s="5" t="s">
        <v>19</v>
      </c>
    </row>
    <row r="10" customFormat="false" ht="15.75" hidden="false" customHeight="false" outlineLevel="0" collapsed="false">
      <c r="A10" s="4" t="n">
        <v>9</v>
      </c>
      <c r="B10" s="5" t="s">
        <v>20</v>
      </c>
      <c r="C10" s="0" t="n">
        <v>97</v>
      </c>
      <c r="D10" s="3" t="s">
        <v>4</v>
      </c>
      <c r="E10" s="5" t="s">
        <v>21</v>
      </c>
    </row>
    <row r="11" customFormat="false" ht="15.75" hidden="false" customHeight="false" outlineLevel="0" collapsed="false">
      <c r="A11" s="4" t="n">
        <v>10</v>
      </c>
      <c r="B11" s="5" t="s">
        <v>22</v>
      </c>
      <c r="C11" s="0" t="n">
        <v>96</v>
      </c>
      <c r="D11" s="3" t="s">
        <v>4</v>
      </c>
      <c r="E11" s="5" t="s">
        <v>23</v>
      </c>
    </row>
    <row r="12" customFormat="false" ht="15.75" hidden="false" customHeight="false" outlineLevel="0" collapsed="false">
      <c r="A12" s="4" t="n">
        <v>11</v>
      </c>
      <c r="B12" s="5" t="s">
        <v>24</v>
      </c>
      <c r="C12" s="0" t="n">
        <v>96</v>
      </c>
      <c r="D12" s="3" t="s">
        <v>4</v>
      </c>
      <c r="E12" s="5" t="s">
        <v>25</v>
      </c>
    </row>
    <row r="13" customFormat="false" ht="15.75" hidden="false" customHeight="false" outlineLevel="0" collapsed="false">
      <c r="A13" s="4" t="n">
        <v>12</v>
      </c>
      <c r="B13" s="5" t="s">
        <v>26</v>
      </c>
      <c r="C13" s="0" t="n">
        <v>92</v>
      </c>
      <c r="D13" s="3" t="s">
        <v>4</v>
      </c>
      <c r="E13" s="5" t="s">
        <v>27</v>
      </c>
    </row>
    <row r="14" customFormat="false" ht="15.75" hidden="false" customHeight="false" outlineLevel="0" collapsed="false">
      <c r="A14" s="4" t="n">
        <v>13</v>
      </c>
      <c r="B14" s="5" t="s">
        <v>28</v>
      </c>
      <c r="C14" s="0" t="n">
        <v>85</v>
      </c>
      <c r="D14" s="3" t="s">
        <v>4</v>
      </c>
      <c r="E14" s="5" t="s">
        <v>29</v>
      </c>
    </row>
    <row r="15" customFormat="false" ht="15.75" hidden="false" customHeight="false" outlineLevel="0" collapsed="false">
      <c r="A15" s="4" t="n">
        <v>14</v>
      </c>
      <c r="B15" s="5" t="s">
        <v>30</v>
      </c>
      <c r="C15" s="0" t="n">
        <v>84</v>
      </c>
      <c r="D15" s="3" t="s">
        <v>4</v>
      </c>
      <c r="E15" s="5" t="s">
        <v>31</v>
      </c>
    </row>
    <row r="16" customFormat="false" ht="15.75" hidden="false" customHeight="false" outlineLevel="0" collapsed="false">
      <c r="A16" s="4" t="n">
        <v>15</v>
      </c>
      <c r="B16" s="5" t="s">
        <v>32</v>
      </c>
      <c r="C16" s="0" t="n">
        <v>81</v>
      </c>
      <c r="D16" s="3" t="s">
        <v>4</v>
      </c>
      <c r="E16" s="5" t="s">
        <v>33</v>
      </c>
    </row>
    <row r="17" customFormat="false" ht="15.75" hidden="false" customHeight="false" outlineLevel="0" collapsed="false">
      <c r="A17" s="4" t="n">
        <v>16</v>
      </c>
      <c r="B17" s="5" t="s">
        <v>34</v>
      </c>
      <c r="C17" s="0" t="n">
        <v>80</v>
      </c>
      <c r="D17" s="3" t="s">
        <v>4</v>
      </c>
      <c r="E17" s="5" t="s">
        <v>35</v>
      </c>
    </row>
    <row r="18" customFormat="false" ht="15.75" hidden="false" customHeight="false" outlineLevel="0" collapsed="false">
      <c r="A18" s="4" t="n">
        <v>17</v>
      </c>
      <c r="B18" s="5" t="s">
        <v>36</v>
      </c>
      <c r="C18" s="0" t="n">
        <v>72</v>
      </c>
      <c r="D18" s="3" t="s">
        <v>4</v>
      </c>
      <c r="E18" s="5" t="s">
        <v>37</v>
      </c>
    </row>
    <row r="19" customFormat="false" ht="15.75" hidden="false" customHeight="false" outlineLevel="0" collapsed="false">
      <c r="A19" s="4" t="n">
        <v>18</v>
      </c>
      <c r="B19" s="5" t="s">
        <v>38</v>
      </c>
      <c r="C19" s="0" t="n">
        <v>70</v>
      </c>
      <c r="D19" s="3" t="s">
        <v>4</v>
      </c>
      <c r="E19" s="5" t="s">
        <v>39</v>
      </c>
    </row>
    <row r="20" customFormat="false" ht="15.75" hidden="false" customHeight="false" outlineLevel="0" collapsed="false">
      <c r="A20" s="4" t="n">
        <v>19</v>
      </c>
      <c r="B20" s="5" t="s">
        <v>40</v>
      </c>
      <c r="C20" s="0" t="n">
        <v>69</v>
      </c>
      <c r="D20" s="3" t="s">
        <v>4</v>
      </c>
      <c r="E20" s="5" t="s">
        <v>41</v>
      </c>
    </row>
    <row r="21" customFormat="false" ht="15.75" hidden="false" customHeight="false" outlineLevel="0" collapsed="false">
      <c r="A21" s="4" t="n">
        <v>20</v>
      </c>
      <c r="B21" s="5" t="s">
        <v>42</v>
      </c>
      <c r="C21" s="0" t="n">
        <v>67</v>
      </c>
      <c r="D21" s="3" t="s">
        <v>4</v>
      </c>
      <c r="E21" s="5" t="s">
        <v>43</v>
      </c>
    </row>
    <row r="22" customFormat="false" ht="15.75" hidden="false" customHeight="false" outlineLevel="0" collapsed="false">
      <c r="A22" s="4" t="n">
        <v>21</v>
      </c>
      <c r="B22" s="5" t="s">
        <v>44</v>
      </c>
      <c r="C22" s="0" t="n">
        <v>59</v>
      </c>
      <c r="D22" s="3" t="s">
        <v>4</v>
      </c>
      <c r="E22" s="5" t="s">
        <v>45</v>
      </c>
    </row>
    <row r="23" customFormat="false" ht="15.75" hidden="false" customHeight="false" outlineLevel="0" collapsed="false">
      <c r="A23" s="4"/>
      <c r="E23" s="5"/>
    </row>
  </sheetData>
  <autoFilter ref="A1:C22">
    <sortState ref="A2:C22">
      <sortCondition ref="A2:A22" descending="1" customList="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75"/>
    <col collapsed="false" customWidth="true" hidden="false" outlineLevel="0" max="24" min="2" style="0" width="7"/>
  </cols>
  <sheetData>
    <row r="1" customFormat="false" ht="15.75" hidden="false" customHeight="false" outlineLevel="0" collapsed="false">
      <c r="A1" s="5" t="s">
        <v>1</v>
      </c>
      <c r="B1" s="5" t="s">
        <v>38</v>
      </c>
      <c r="C1" s="5" t="s">
        <v>26</v>
      </c>
      <c r="D1" s="5" t="s">
        <v>18</v>
      </c>
      <c r="E1" s="5" t="s">
        <v>46</v>
      </c>
      <c r="F1" s="5" t="s">
        <v>47</v>
      </c>
      <c r="G1" s="5" t="s">
        <v>48</v>
      </c>
      <c r="H1" s="5" t="s">
        <v>6</v>
      </c>
      <c r="I1" s="5" t="s">
        <v>49</v>
      </c>
      <c r="J1" s="5" t="s">
        <v>28</v>
      </c>
      <c r="K1" s="5" t="s">
        <v>50</v>
      </c>
      <c r="L1" s="5" t="s">
        <v>44</v>
      </c>
      <c r="M1" s="5" t="s">
        <v>8</v>
      </c>
      <c r="N1" s="5" t="s">
        <v>14</v>
      </c>
      <c r="O1" s="5" t="s">
        <v>32</v>
      </c>
      <c r="P1" s="5" t="s">
        <v>40</v>
      </c>
      <c r="Q1" s="5" t="s">
        <v>12</v>
      </c>
      <c r="R1" s="5" t="s">
        <v>51</v>
      </c>
      <c r="S1" s="5" t="s">
        <v>52</v>
      </c>
      <c r="T1" s="5" t="s">
        <v>24</v>
      </c>
      <c r="U1" s="5" t="s">
        <v>20</v>
      </c>
      <c r="V1" s="5" t="s">
        <v>3</v>
      </c>
      <c r="W1" s="6" t="s">
        <v>53</v>
      </c>
      <c r="X1" s="3"/>
    </row>
    <row r="2" customFormat="false" ht="15.75" hidden="false" customHeight="false" outlineLevel="0" collapsed="false">
      <c r="A2" s="5" t="s">
        <v>54</v>
      </c>
      <c r="B2" s="7" t="n">
        <v>1</v>
      </c>
      <c r="C2" s="5" t="n">
        <v>3</v>
      </c>
      <c r="D2" s="5" t="n">
        <v>4</v>
      </c>
      <c r="E2" s="5" t="n">
        <v>4</v>
      </c>
      <c r="F2" s="5" t="n">
        <v>4</v>
      </c>
      <c r="G2" s="5" t="n">
        <v>1</v>
      </c>
      <c r="H2" s="5" t="n">
        <v>5</v>
      </c>
      <c r="I2" s="5" t="n">
        <v>3</v>
      </c>
      <c r="J2" s="5" t="n">
        <v>2</v>
      </c>
      <c r="K2" s="5" t="n">
        <v>2</v>
      </c>
      <c r="L2" s="5" t="n">
        <v>1</v>
      </c>
      <c r="M2" s="5" t="n">
        <v>5</v>
      </c>
      <c r="N2" s="5" t="n">
        <v>3</v>
      </c>
      <c r="O2" s="5" t="n">
        <v>2</v>
      </c>
      <c r="P2" s="5" t="n">
        <v>1</v>
      </c>
      <c r="Q2" s="5" t="n">
        <v>5</v>
      </c>
      <c r="R2" s="5" t="n">
        <v>4</v>
      </c>
      <c r="S2" s="5" t="n">
        <v>1</v>
      </c>
      <c r="T2" s="5" t="n">
        <v>5</v>
      </c>
      <c r="U2" s="5" t="n">
        <v>4</v>
      </c>
      <c r="V2" s="5" t="n">
        <v>5</v>
      </c>
      <c r="W2" s="8" t="n">
        <f aca="false">SUM(B2:V2)</f>
        <v>65</v>
      </c>
      <c r="X2" s="9" t="n">
        <f aca="false">(W2-$B$40)/W2</f>
        <v>-0.0217506630769232</v>
      </c>
    </row>
    <row r="3" customFormat="false" ht="15.75" hidden="false" customHeight="false" outlineLevel="0" collapsed="false">
      <c r="A3" s="5" t="s">
        <v>55</v>
      </c>
      <c r="B3" s="5" t="n">
        <v>3</v>
      </c>
      <c r="C3" s="7" t="n">
        <v>1</v>
      </c>
      <c r="D3" s="5" t="n">
        <v>4</v>
      </c>
      <c r="E3" s="5" t="n">
        <v>5</v>
      </c>
      <c r="F3" s="5" t="n">
        <v>4</v>
      </c>
      <c r="G3" s="5" t="n">
        <v>4</v>
      </c>
      <c r="H3" s="5" t="n">
        <v>5</v>
      </c>
      <c r="I3" s="5" t="n">
        <v>4</v>
      </c>
      <c r="J3" s="5" t="n">
        <v>4</v>
      </c>
      <c r="K3" s="5" t="n">
        <v>4</v>
      </c>
      <c r="L3" s="5" t="n">
        <v>3</v>
      </c>
      <c r="M3" s="5" t="n">
        <v>5</v>
      </c>
      <c r="N3" s="5" t="n">
        <v>4</v>
      </c>
      <c r="O3" s="5" t="n">
        <v>4</v>
      </c>
      <c r="P3" s="5" t="n">
        <v>3</v>
      </c>
      <c r="Q3" s="5" t="n">
        <v>4</v>
      </c>
      <c r="R3" s="5" t="n">
        <v>4</v>
      </c>
      <c r="S3" s="5" t="n">
        <v>3</v>
      </c>
      <c r="T3" s="5" t="n">
        <v>4</v>
      </c>
      <c r="U3" s="5" t="n">
        <v>4</v>
      </c>
      <c r="V3" s="5" t="n">
        <v>4</v>
      </c>
      <c r="W3" s="8" t="n">
        <f aca="false">SUM(B3:V3)</f>
        <v>80</v>
      </c>
      <c r="X3" s="9" t="n">
        <f aca="false">(W3-$B$40)/W3</f>
        <v>0.16982758625</v>
      </c>
    </row>
    <row r="4" customFormat="false" ht="15.75" hidden="false" customHeight="false" outlineLevel="0" collapsed="false">
      <c r="A4" s="5" t="s">
        <v>56</v>
      </c>
      <c r="B4" s="5" t="n">
        <v>1</v>
      </c>
      <c r="C4" s="5" t="n">
        <v>2</v>
      </c>
      <c r="D4" s="7" t="n">
        <v>1</v>
      </c>
      <c r="E4" s="5" t="n">
        <v>2</v>
      </c>
      <c r="F4" s="5" t="n">
        <v>1</v>
      </c>
      <c r="G4" s="5" t="n">
        <v>2</v>
      </c>
      <c r="H4" s="5" t="n">
        <v>5</v>
      </c>
      <c r="I4" s="5" t="n">
        <v>1</v>
      </c>
      <c r="J4" s="5" t="n">
        <v>3</v>
      </c>
      <c r="K4" s="5" t="n">
        <v>3</v>
      </c>
      <c r="L4" s="5" t="n">
        <v>1</v>
      </c>
      <c r="M4" s="5" t="n">
        <v>4</v>
      </c>
      <c r="N4" s="5" t="n">
        <v>4</v>
      </c>
      <c r="O4" s="5" t="n">
        <v>1</v>
      </c>
      <c r="P4" s="5" t="n">
        <v>2</v>
      </c>
      <c r="Q4" s="5" t="n">
        <v>4</v>
      </c>
      <c r="R4" s="5" t="n">
        <v>3</v>
      </c>
      <c r="S4" s="5" t="n">
        <v>1</v>
      </c>
      <c r="T4" s="5" t="n">
        <v>3</v>
      </c>
      <c r="U4" s="5" t="n">
        <v>2</v>
      </c>
      <c r="V4" s="5" t="n">
        <v>5</v>
      </c>
      <c r="W4" s="8" t="n">
        <f aca="false">SUM(B4:V4)</f>
        <v>51</v>
      </c>
      <c r="X4" s="9" t="n">
        <f aca="false">(W4-$B$40)/W4</f>
        <v>-0.302231237254902</v>
      </c>
    </row>
    <row r="5" customFormat="false" ht="15.75" hidden="false" customHeight="false" outlineLevel="0" collapsed="false">
      <c r="A5" s="10" t="s">
        <v>57</v>
      </c>
      <c r="B5" s="5" t="n">
        <v>2</v>
      </c>
      <c r="C5" s="5" t="n">
        <v>3</v>
      </c>
      <c r="D5" s="5" t="n">
        <v>3</v>
      </c>
      <c r="E5" s="5" t="n">
        <v>4</v>
      </c>
      <c r="F5" s="5" t="n">
        <v>3</v>
      </c>
      <c r="G5" s="5" t="n">
        <v>1</v>
      </c>
      <c r="H5" s="5" t="n">
        <v>4</v>
      </c>
      <c r="I5" s="5" t="n">
        <v>3</v>
      </c>
      <c r="J5" s="5" t="n">
        <v>2</v>
      </c>
      <c r="K5" s="5" t="n">
        <v>3</v>
      </c>
      <c r="L5" s="5" t="n">
        <v>1</v>
      </c>
      <c r="M5" s="5" t="n">
        <v>4</v>
      </c>
      <c r="N5" s="5" t="n">
        <v>4</v>
      </c>
      <c r="O5" s="5" t="n">
        <v>3</v>
      </c>
      <c r="P5" s="5" t="n">
        <v>2</v>
      </c>
      <c r="Q5" s="5" t="n">
        <v>4</v>
      </c>
      <c r="R5" s="5" t="n">
        <v>3</v>
      </c>
      <c r="S5" s="5" t="n">
        <v>1</v>
      </c>
      <c r="T5" s="5" t="n">
        <v>3</v>
      </c>
      <c r="U5" s="5" t="n">
        <v>3</v>
      </c>
      <c r="V5" s="5" t="n">
        <v>5</v>
      </c>
      <c r="W5" s="8" t="n">
        <f aca="false">SUM(B5:V5)</f>
        <v>61</v>
      </c>
      <c r="X5" s="9" t="n">
        <f aca="false">(W5-$B$40)/W5</f>
        <v>-0.0887507065573772</v>
      </c>
    </row>
    <row r="6" customFormat="false" ht="15.75" hidden="false" customHeight="false" outlineLevel="0" collapsed="false">
      <c r="A6" s="5" t="s">
        <v>58</v>
      </c>
      <c r="B6" s="5" t="n">
        <v>3</v>
      </c>
      <c r="C6" s="5" t="n">
        <v>4</v>
      </c>
      <c r="D6" s="5" t="n">
        <v>3</v>
      </c>
      <c r="E6" s="7" t="n">
        <v>1</v>
      </c>
      <c r="F6" s="5" t="n">
        <v>4</v>
      </c>
      <c r="G6" s="5" t="n">
        <v>3</v>
      </c>
      <c r="H6" s="5" t="n">
        <v>5</v>
      </c>
      <c r="I6" s="5" t="n">
        <v>3</v>
      </c>
      <c r="J6" s="5" t="n">
        <v>3</v>
      </c>
      <c r="K6" s="5" t="n">
        <v>5</v>
      </c>
      <c r="L6" s="5" t="n">
        <v>2</v>
      </c>
      <c r="M6" s="5" t="n">
        <v>3</v>
      </c>
      <c r="N6" s="5" t="n">
        <v>4</v>
      </c>
      <c r="O6" s="5" t="n">
        <v>3</v>
      </c>
      <c r="P6" s="5" t="n">
        <v>3</v>
      </c>
      <c r="Q6" s="5" t="n">
        <v>3</v>
      </c>
      <c r="R6" s="5" t="n">
        <v>4</v>
      </c>
      <c r="S6" s="5" t="n">
        <v>3</v>
      </c>
      <c r="T6" s="5" t="n">
        <v>3</v>
      </c>
      <c r="U6" s="5" t="n">
        <v>4</v>
      </c>
      <c r="V6" s="5" t="n">
        <v>4</v>
      </c>
      <c r="W6" s="8" t="n">
        <f aca="false">SUM(B6:V6)</f>
        <v>70</v>
      </c>
      <c r="X6" s="9" t="n">
        <f aca="false">(W6-$B$40)/W6</f>
        <v>0.0512315271428571</v>
      </c>
    </row>
    <row r="7" customFormat="false" ht="15.75" hidden="false" customHeight="false" outlineLevel="0" collapsed="false">
      <c r="A7" s="10" t="s">
        <v>59</v>
      </c>
      <c r="B7" s="5" t="n">
        <v>2</v>
      </c>
      <c r="C7" s="5" t="n">
        <v>3</v>
      </c>
      <c r="D7" s="5" t="n">
        <v>3</v>
      </c>
      <c r="E7" s="5" t="n">
        <v>3</v>
      </c>
      <c r="F7" s="5" t="n">
        <v>5</v>
      </c>
      <c r="G7" s="5" t="n">
        <v>3</v>
      </c>
      <c r="H7" s="5" t="n">
        <v>5</v>
      </c>
      <c r="I7" s="5" t="n">
        <v>4</v>
      </c>
      <c r="J7" s="5" t="n">
        <v>2</v>
      </c>
      <c r="K7" s="5" t="n">
        <v>3</v>
      </c>
      <c r="L7" s="5" t="n">
        <v>2</v>
      </c>
      <c r="M7" s="5" t="n">
        <v>4</v>
      </c>
      <c r="N7" s="5" t="n">
        <v>4</v>
      </c>
      <c r="O7" s="5" t="n">
        <v>3</v>
      </c>
      <c r="P7" s="5" t="n">
        <v>2</v>
      </c>
      <c r="Q7" s="5" t="n">
        <v>3</v>
      </c>
      <c r="R7" s="5" t="n">
        <v>4</v>
      </c>
      <c r="S7" s="5" t="n">
        <v>2</v>
      </c>
      <c r="T7" s="5" t="n">
        <v>3</v>
      </c>
      <c r="U7" s="5" t="n">
        <v>4</v>
      </c>
      <c r="V7" s="5" t="n">
        <v>4</v>
      </c>
      <c r="W7" s="8" t="n">
        <f aca="false">SUM(B7:V7)</f>
        <v>68</v>
      </c>
      <c r="X7" s="9" t="n">
        <f aca="false">(W7-$B$40)/W7</f>
        <v>0.0233265720588234</v>
      </c>
    </row>
    <row r="8" customFormat="false" ht="15.75" hidden="false" customHeight="false" outlineLevel="0" collapsed="false">
      <c r="A8" s="10" t="s">
        <v>60</v>
      </c>
      <c r="B8" s="5" t="n">
        <v>3</v>
      </c>
      <c r="C8" s="5" t="n">
        <v>3</v>
      </c>
      <c r="D8" s="5" t="n">
        <v>4</v>
      </c>
      <c r="E8" s="5" t="n">
        <v>3</v>
      </c>
      <c r="F8" s="5" t="n">
        <v>4</v>
      </c>
      <c r="G8" s="5" t="n">
        <v>3</v>
      </c>
      <c r="H8" s="5" t="n">
        <v>5</v>
      </c>
      <c r="I8" s="5" t="n">
        <v>3</v>
      </c>
      <c r="J8" s="5" t="n">
        <v>5</v>
      </c>
      <c r="K8" s="5" t="n">
        <v>3</v>
      </c>
      <c r="L8" s="5" t="n">
        <v>3</v>
      </c>
      <c r="M8" s="5" t="n">
        <v>5</v>
      </c>
      <c r="N8" s="5" t="n">
        <v>4</v>
      </c>
      <c r="O8" s="5" t="n">
        <v>4</v>
      </c>
      <c r="P8" s="5" t="n">
        <v>4</v>
      </c>
      <c r="Q8" s="5" t="n">
        <v>3</v>
      </c>
      <c r="R8" s="5" t="n">
        <v>4</v>
      </c>
      <c r="S8" s="5" t="n">
        <v>3</v>
      </c>
      <c r="T8" s="5" t="n">
        <v>5</v>
      </c>
      <c r="U8" s="5" t="n">
        <v>3</v>
      </c>
      <c r="V8" s="5" t="n">
        <v>3</v>
      </c>
      <c r="W8" s="8" t="n">
        <f aca="false">SUM(B8:V8)</f>
        <v>77</v>
      </c>
      <c r="X8" s="9" t="n">
        <f aca="false">(W8-$B$40)/W8</f>
        <v>0.137483206493506</v>
      </c>
    </row>
    <row r="9" customFormat="false" ht="15.75" hidden="false" customHeight="false" outlineLevel="0" collapsed="false">
      <c r="A9" s="5" t="s">
        <v>61</v>
      </c>
      <c r="B9" s="5" t="n">
        <v>3</v>
      </c>
      <c r="C9" s="5" t="n">
        <v>3</v>
      </c>
      <c r="D9" s="5" t="n">
        <v>3</v>
      </c>
      <c r="E9" s="5" t="n">
        <v>4</v>
      </c>
      <c r="F9" s="7" t="n">
        <v>1</v>
      </c>
      <c r="G9" s="5" t="n">
        <v>2</v>
      </c>
      <c r="H9" s="5" t="n">
        <v>4</v>
      </c>
      <c r="I9" s="5" t="n">
        <v>3</v>
      </c>
      <c r="J9" s="5" t="n">
        <v>3</v>
      </c>
      <c r="K9" s="5" t="n">
        <v>3</v>
      </c>
      <c r="L9" s="5" t="n">
        <v>2</v>
      </c>
      <c r="M9" s="5" t="n">
        <v>5</v>
      </c>
      <c r="N9" s="5" t="n">
        <v>5</v>
      </c>
      <c r="O9" s="5" t="n">
        <v>4</v>
      </c>
      <c r="P9" s="5" t="n">
        <v>2</v>
      </c>
      <c r="Q9" s="5" t="n">
        <v>5</v>
      </c>
      <c r="R9" s="5" t="n">
        <v>3</v>
      </c>
      <c r="S9" s="5" t="n">
        <v>3</v>
      </c>
      <c r="T9" s="5" t="n">
        <v>3</v>
      </c>
      <c r="U9" s="5" t="n">
        <v>3</v>
      </c>
      <c r="V9" s="5" t="n">
        <v>4</v>
      </c>
      <c r="W9" s="8" t="n">
        <f aca="false">SUM(B9:V9)</f>
        <v>68</v>
      </c>
      <c r="X9" s="9" t="n">
        <f aca="false">(W9-$B$40)/W9</f>
        <v>0.0233265720588234</v>
      </c>
    </row>
    <row r="10" customFormat="false" ht="15.75" hidden="false" customHeight="false" outlineLevel="0" collapsed="false">
      <c r="A10" s="5" t="s">
        <v>62</v>
      </c>
      <c r="B10" s="5" t="n">
        <v>3</v>
      </c>
      <c r="C10" s="5" t="n">
        <v>3</v>
      </c>
      <c r="D10" s="5" t="n">
        <v>5</v>
      </c>
      <c r="E10" s="5" t="n">
        <v>5</v>
      </c>
      <c r="F10" s="5" t="n">
        <v>3</v>
      </c>
      <c r="G10" s="7" t="n">
        <v>1</v>
      </c>
      <c r="H10" s="5" t="n">
        <v>5</v>
      </c>
      <c r="I10" s="5" t="n">
        <v>3</v>
      </c>
      <c r="J10" s="5" t="n">
        <v>3</v>
      </c>
      <c r="K10" s="5" t="n">
        <v>3</v>
      </c>
      <c r="L10" s="5" t="n">
        <v>3</v>
      </c>
      <c r="M10" s="5" t="n">
        <v>4</v>
      </c>
      <c r="N10" s="5" t="n">
        <v>3</v>
      </c>
      <c r="O10" s="5" t="n">
        <v>3</v>
      </c>
      <c r="P10" s="5" t="n">
        <v>3</v>
      </c>
      <c r="Q10" s="5" t="n">
        <v>4</v>
      </c>
      <c r="R10" s="5" t="n">
        <v>3</v>
      </c>
      <c r="S10" s="5" t="n">
        <v>3</v>
      </c>
      <c r="T10" s="5" t="n">
        <v>3</v>
      </c>
      <c r="U10" s="5" t="n">
        <v>4</v>
      </c>
      <c r="V10" s="5" t="n">
        <v>3</v>
      </c>
      <c r="W10" s="8" t="n">
        <f aca="false">SUM(B10:V10)</f>
        <v>70</v>
      </c>
      <c r="X10" s="9" t="n">
        <f aca="false">(W10-$B$40)/W10</f>
        <v>0.0512315271428571</v>
      </c>
    </row>
    <row r="11" customFormat="false" ht="15.75" hidden="false" customHeight="false" outlineLevel="0" collapsed="false">
      <c r="A11" s="5" t="s">
        <v>63</v>
      </c>
      <c r="B11" s="5" t="n">
        <v>3</v>
      </c>
      <c r="C11" s="5" t="n">
        <v>4</v>
      </c>
      <c r="D11" s="5" t="n">
        <v>3</v>
      </c>
      <c r="E11" s="5" t="n">
        <v>5</v>
      </c>
      <c r="F11" s="5" t="n">
        <v>5</v>
      </c>
      <c r="G11" s="5" t="n">
        <v>4</v>
      </c>
      <c r="H11" s="7" t="n">
        <v>1</v>
      </c>
      <c r="I11" s="5" t="n">
        <v>3</v>
      </c>
      <c r="J11" s="5" t="n">
        <v>4</v>
      </c>
      <c r="K11" s="5" t="n">
        <v>3</v>
      </c>
      <c r="L11" s="5" t="n">
        <v>3</v>
      </c>
      <c r="M11" s="5" t="n">
        <v>5</v>
      </c>
      <c r="N11" s="5" t="n">
        <v>4</v>
      </c>
      <c r="O11" s="5" t="n">
        <v>5</v>
      </c>
      <c r="P11" s="5" t="n">
        <v>3</v>
      </c>
      <c r="Q11" s="5" t="n">
        <v>4</v>
      </c>
      <c r="R11" s="5" t="n">
        <v>4</v>
      </c>
      <c r="S11" s="5" t="n">
        <v>3</v>
      </c>
      <c r="T11" s="5" t="n">
        <v>4</v>
      </c>
      <c r="U11" s="5" t="n">
        <v>5</v>
      </c>
      <c r="V11" s="5" t="n">
        <v>5</v>
      </c>
      <c r="W11" s="8" t="n">
        <f aca="false">SUM(B11:V11)</f>
        <v>80</v>
      </c>
      <c r="X11" s="9" t="n">
        <f aca="false">(W11-$B$40)/W11</f>
        <v>0.16982758625</v>
      </c>
    </row>
    <row r="12" customFormat="false" ht="15.75" hidden="false" customHeight="false" outlineLevel="0" collapsed="false">
      <c r="A12" s="5" t="s">
        <v>64</v>
      </c>
      <c r="B12" s="5" t="n">
        <v>2</v>
      </c>
      <c r="C12" s="5" t="n">
        <v>4</v>
      </c>
      <c r="D12" s="5" t="n">
        <v>2</v>
      </c>
      <c r="E12" s="5" t="n">
        <v>3</v>
      </c>
      <c r="F12" s="5" t="n">
        <v>3</v>
      </c>
      <c r="G12" s="5" t="n">
        <v>1</v>
      </c>
      <c r="H12" s="5" t="n">
        <v>3</v>
      </c>
      <c r="I12" s="7" t="n">
        <v>1</v>
      </c>
      <c r="J12" s="5" t="n">
        <v>2</v>
      </c>
      <c r="K12" s="5" t="n">
        <v>3</v>
      </c>
      <c r="L12" s="5" t="n">
        <v>1</v>
      </c>
      <c r="M12" s="5" t="n">
        <v>4</v>
      </c>
      <c r="N12" s="5" t="n">
        <v>5</v>
      </c>
      <c r="O12" s="5" t="n">
        <v>2</v>
      </c>
      <c r="P12" s="5" t="n">
        <v>1</v>
      </c>
      <c r="Q12" s="5" t="n">
        <v>3</v>
      </c>
      <c r="R12" s="5" t="n">
        <v>5</v>
      </c>
      <c r="S12" s="5" t="n">
        <v>2</v>
      </c>
      <c r="T12" s="5" t="n">
        <v>4</v>
      </c>
      <c r="U12" s="5" t="n">
        <v>3</v>
      </c>
      <c r="V12" s="5" t="n">
        <v>3</v>
      </c>
      <c r="W12" s="8" t="n">
        <f aca="false">SUM(B12:V12)</f>
        <v>57</v>
      </c>
      <c r="X12" s="9" t="n">
        <f aca="false">(W12-$B$40)/W12</f>
        <v>-0.165154264912281</v>
      </c>
    </row>
    <row r="13" customFormat="false" ht="15.75" hidden="false" customHeight="false" outlineLevel="0" collapsed="false">
      <c r="A13" s="5" t="s">
        <v>65</v>
      </c>
      <c r="B13" s="5" t="n">
        <v>3</v>
      </c>
      <c r="C13" s="5" t="n">
        <v>3</v>
      </c>
      <c r="D13" s="5" t="n">
        <v>4</v>
      </c>
      <c r="E13" s="5" t="n">
        <v>2</v>
      </c>
      <c r="F13" s="5" t="n">
        <v>5</v>
      </c>
      <c r="G13" s="5" t="n">
        <v>2</v>
      </c>
      <c r="H13" s="5" t="n">
        <v>3</v>
      </c>
      <c r="I13" s="5" t="n">
        <v>2</v>
      </c>
      <c r="J13" s="7" t="n">
        <v>1</v>
      </c>
      <c r="K13" s="5" t="n">
        <v>3</v>
      </c>
      <c r="L13" s="5" t="n">
        <v>4</v>
      </c>
      <c r="M13" s="5" t="n">
        <v>4</v>
      </c>
      <c r="N13" s="5" t="n">
        <v>3</v>
      </c>
      <c r="O13" s="5" t="n">
        <v>2</v>
      </c>
      <c r="P13" s="5" t="n">
        <v>2</v>
      </c>
      <c r="Q13" s="5" t="n">
        <v>4</v>
      </c>
      <c r="R13" s="5" t="n">
        <v>2</v>
      </c>
      <c r="S13" s="5" t="n">
        <v>2</v>
      </c>
      <c r="T13" s="5" t="n">
        <v>3</v>
      </c>
      <c r="U13" s="5" t="n">
        <v>4</v>
      </c>
      <c r="V13" s="5" t="n">
        <v>4</v>
      </c>
      <c r="W13" s="8" t="n">
        <f aca="false">SUM(B13:V13)</f>
        <v>62</v>
      </c>
      <c r="X13" s="9" t="n">
        <f aca="false">(W13-$B$40)/W13</f>
        <v>-0.0711902112903227</v>
      </c>
    </row>
    <row r="14" customFormat="false" ht="15.75" hidden="false" customHeight="false" outlineLevel="0" collapsed="false">
      <c r="A14" s="5" t="s">
        <v>66</v>
      </c>
      <c r="B14" s="5" t="n">
        <v>2</v>
      </c>
      <c r="C14" s="5" t="n">
        <v>4</v>
      </c>
      <c r="D14" s="5" t="n">
        <v>3</v>
      </c>
      <c r="E14" s="5" t="n">
        <v>4</v>
      </c>
      <c r="F14" s="5" t="n">
        <v>4</v>
      </c>
      <c r="G14" s="5" t="n">
        <v>4</v>
      </c>
      <c r="H14" s="5" t="n">
        <v>4</v>
      </c>
      <c r="I14" s="5" t="n">
        <v>3</v>
      </c>
      <c r="J14" s="5" t="n">
        <v>4</v>
      </c>
      <c r="K14" s="7" t="n">
        <v>1</v>
      </c>
      <c r="L14" s="5" t="n">
        <v>2</v>
      </c>
      <c r="M14" s="5" t="n">
        <v>3</v>
      </c>
      <c r="N14" s="5" t="n">
        <v>4</v>
      </c>
      <c r="O14" s="5" t="n">
        <v>3</v>
      </c>
      <c r="P14" s="5" t="n">
        <v>4</v>
      </c>
      <c r="Q14" s="5" t="n">
        <v>3</v>
      </c>
      <c r="R14" s="5" t="n">
        <v>4</v>
      </c>
      <c r="S14" s="5" t="n">
        <v>3</v>
      </c>
      <c r="T14" s="5" t="n">
        <v>4</v>
      </c>
      <c r="U14" s="5" t="n">
        <v>4</v>
      </c>
      <c r="V14" s="5" t="n">
        <v>4</v>
      </c>
      <c r="W14" s="8" t="n">
        <f aca="false">SUM(B14:V14)</f>
        <v>71</v>
      </c>
      <c r="X14" s="9" t="n">
        <f aca="false">(W14-$B$40)/W14</f>
        <v>0.0645944633802816</v>
      </c>
    </row>
    <row r="15" customFormat="false" ht="15.75" hidden="false" customHeight="false" outlineLevel="0" collapsed="false">
      <c r="A15" s="5" t="s">
        <v>67</v>
      </c>
      <c r="B15" s="5" t="n">
        <v>3</v>
      </c>
      <c r="C15" s="5" t="n">
        <v>3</v>
      </c>
      <c r="D15" s="5" t="n">
        <v>3</v>
      </c>
      <c r="E15" s="5" t="n">
        <v>3</v>
      </c>
      <c r="F15" s="5" t="n">
        <v>5</v>
      </c>
      <c r="G15" s="5" t="n">
        <v>3</v>
      </c>
      <c r="H15" s="5" t="n">
        <v>2</v>
      </c>
      <c r="I15" s="5" t="n">
        <v>4</v>
      </c>
      <c r="J15" s="5" t="n">
        <v>4</v>
      </c>
      <c r="K15" s="5" t="n">
        <v>3</v>
      </c>
      <c r="L15" s="7" t="n">
        <v>1</v>
      </c>
      <c r="M15" s="5" t="n">
        <v>2</v>
      </c>
      <c r="N15" s="5" t="n">
        <v>3</v>
      </c>
      <c r="O15" s="5" t="n">
        <v>2</v>
      </c>
      <c r="P15" s="5" t="n">
        <v>3</v>
      </c>
      <c r="Q15" s="5" t="n">
        <v>5</v>
      </c>
      <c r="R15" s="5" t="n">
        <v>3</v>
      </c>
      <c r="S15" s="5" t="n">
        <v>3</v>
      </c>
      <c r="T15" s="5" t="n">
        <v>3</v>
      </c>
      <c r="U15" s="5" t="n">
        <v>4</v>
      </c>
      <c r="V15" s="5" t="n">
        <v>4</v>
      </c>
      <c r="W15" s="8" t="n">
        <f aca="false">SUM(B15:V15)</f>
        <v>66</v>
      </c>
      <c r="X15" s="9" t="n">
        <f aca="false">(W15-$B$40)/W15</f>
        <v>-0.00626959242424252</v>
      </c>
    </row>
    <row r="16" customFormat="false" ht="15.75" hidden="false" customHeight="false" outlineLevel="0" collapsed="false">
      <c r="A16" s="5" t="s">
        <v>68</v>
      </c>
      <c r="B16" s="5" t="n">
        <v>2</v>
      </c>
      <c r="C16" s="5" t="n">
        <v>3</v>
      </c>
      <c r="D16" s="5" t="n">
        <v>4</v>
      </c>
      <c r="E16" s="5" t="n">
        <v>5</v>
      </c>
      <c r="F16" s="5" t="n">
        <v>4</v>
      </c>
      <c r="G16" s="5" t="n">
        <v>3</v>
      </c>
      <c r="H16" s="5" t="n">
        <v>4</v>
      </c>
      <c r="I16" s="5" t="n">
        <v>3</v>
      </c>
      <c r="J16" s="5" t="n">
        <v>3</v>
      </c>
      <c r="K16" s="5" t="n">
        <v>3</v>
      </c>
      <c r="L16" s="5" t="n">
        <v>2</v>
      </c>
      <c r="M16" s="7" t="n">
        <v>1</v>
      </c>
      <c r="N16" s="5" t="n">
        <v>4</v>
      </c>
      <c r="O16" s="5" t="n">
        <v>3</v>
      </c>
      <c r="P16" s="5" t="n">
        <v>2</v>
      </c>
      <c r="Q16" s="5" t="n">
        <v>4</v>
      </c>
      <c r="R16" s="5" t="n">
        <v>3</v>
      </c>
      <c r="S16" s="5" t="n">
        <v>2</v>
      </c>
      <c r="T16" s="5" t="n">
        <v>4</v>
      </c>
      <c r="U16" s="5" t="n">
        <v>4</v>
      </c>
      <c r="V16" s="5" t="n">
        <v>5</v>
      </c>
      <c r="W16" s="8" t="n">
        <f aca="false">SUM(B16:V16)</f>
        <v>68</v>
      </c>
      <c r="X16" s="9" t="n">
        <f aca="false">(W16-$B$40)/W16</f>
        <v>0.0233265720588234</v>
      </c>
    </row>
    <row r="17" customFormat="false" ht="15.75" hidden="false" customHeight="false" outlineLevel="0" collapsed="false">
      <c r="A17" s="5" t="s">
        <v>69</v>
      </c>
      <c r="B17" s="5" t="n">
        <v>2</v>
      </c>
      <c r="C17" s="5" t="n">
        <v>4</v>
      </c>
      <c r="D17" s="5" t="n">
        <v>5</v>
      </c>
      <c r="E17" s="5" t="n">
        <v>4</v>
      </c>
      <c r="F17" s="5" t="n">
        <v>3</v>
      </c>
      <c r="G17" s="5" t="n">
        <v>2</v>
      </c>
      <c r="H17" s="5" t="n">
        <v>4</v>
      </c>
      <c r="I17" s="5" t="n">
        <v>3</v>
      </c>
      <c r="J17" s="5" t="n">
        <v>3</v>
      </c>
      <c r="K17" s="5" t="n">
        <v>4</v>
      </c>
      <c r="L17" s="5" t="n">
        <v>1</v>
      </c>
      <c r="M17" s="5" t="n">
        <v>4</v>
      </c>
      <c r="N17" s="7" t="n">
        <v>1</v>
      </c>
      <c r="O17" s="5" t="n">
        <v>2</v>
      </c>
      <c r="P17" s="5" t="n">
        <v>3</v>
      </c>
      <c r="Q17" s="5" t="n">
        <v>3</v>
      </c>
      <c r="R17" s="5" t="n">
        <v>2</v>
      </c>
      <c r="S17" s="5" t="n">
        <v>1</v>
      </c>
      <c r="T17" s="5" t="n">
        <v>3</v>
      </c>
      <c r="U17" s="5" t="n">
        <v>3</v>
      </c>
      <c r="V17" s="5" t="n">
        <v>5</v>
      </c>
      <c r="W17" s="8" t="n">
        <f aca="false">SUM(B17:V17)</f>
        <v>62</v>
      </c>
      <c r="X17" s="9" t="n">
        <f aca="false">(W17-$B$40)/W17</f>
        <v>-0.0711902112903227</v>
      </c>
    </row>
    <row r="18" customFormat="false" ht="15.75" hidden="false" customHeight="false" outlineLevel="0" collapsed="false">
      <c r="A18" s="10" t="s">
        <v>70</v>
      </c>
      <c r="B18" s="5" t="n">
        <v>3</v>
      </c>
      <c r="C18" s="5" t="n">
        <v>3</v>
      </c>
      <c r="D18" s="5" t="n">
        <v>4</v>
      </c>
      <c r="E18" s="5" t="n">
        <v>3</v>
      </c>
      <c r="F18" s="5" t="n">
        <v>3</v>
      </c>
      <c r="G18" s="5" t="n">
        <v>2</v>
      </c>
      <c r="H18" s="5" t="n">
        <v>5</v>
      </c>
      <c r="I18" s="5" t="n">
        <v>3</v>
      </c>
      <c r="J18" s="5" t="n">
        <v>2</v>
      </c>
      <c r="K18" s="5" t="n">
        <v>3</v>
      </c>
      <c r="L18" s="5" t="n">
        <v>2</v>
      </c>
      <c r="M18" s="5" t="n">
        <v>3</v>
      </c>
      <c r="N18" s="5" t="n">
        <v>3</v>
      </c>
      <c r="O18" s="5" t="n">
        <v>4</v>
      </c>
      <c r="P18" s="5" t="n">
        <v>3</v>
      </c>
      <c r="Q18" s="5" t="n">
        <v>5</v>
      </c>
      <c r="R18" s="5" t="n">
        <v>4</v>
      </c>
      <c r="S18" s="5" t="n">
        <v>2</v>
      </c>
      <c r="T18" s="5" t="n">
        <v>3</v>
      </c>
      <c r="U18" s="5" t="n">
        <v>3</v>
      </c>
      <c r="V18" s="5" t="n">
        <v>4</v>
      </c>
      <c r="W18" s="8" t="n">
        <f aca="false">SUM(B18:V18)</f>
        <v>67</v>
      </c>
      <c r="X18" s="9" t="n">
        <f aca="false">(W18-$B$40)/W18</f>
        <v>0.00874935671641781</v>
      </c>
    </row>
    <row r="19" customFormat="false" ht="15.75" hidden="false" customHeight="false" outlineLevel="0" collapsed="false">
      <c r="A19" s="5" t="s">
        <v>71</v>
      </c>
      <c r="B19" s="5" t="n">
        <v>2</v>
      </c>
      <c r="C19" s="5" t="n">
        <v>3</v>
      </c>
      <c r="D19" s="5" t="n">
        <v>4</v>
      </c>
      <c r="E19" s="5" t="n">
        <v>2</v>
      </c>
      <c r="F19" s="5" t="n">
        <v>5</v>
      </c>
      <c r="G19" s="5" t="n">
        <v>3</v>
      </c>
      <c r="H19" s="5" t="n">
        <v>3</v>
      </c>
      <c r="I19" s="5" t="n">
        <v>3</v>
      </c>
      <c r="J19" s="5" t="n">
        <v>2</v>
      </c>
      <c r="K19" s="5" t="n">
        <v>3</v>
      </c>
      <c r="L19" s="5" t="n">
        <v>4</v>
      </c>
      <c r="M19" s="5" t="n">
        <v>4</v>
      </c>
      <c r="N19" s="5" t="n">
        <v>4</v>
      </c>
      <c r="O19" s="7" t="n">
        <v>1</v>
      </c>
      <c r="P19" s="5" t="n">
        <v>3</v>
      </c>
      <c r="Q19" s="5" t="n">
        <v>5</v>
      </c>
      <c r="R19" s="5" t="n">
        <v>3</v>
      </c>
      <c r="S19" s="5" t="n">
        <v>3</v>
      </c>
      <c r="T19" s="5" t="n">
        <v>3</v>
      </c>
      <c r="U19" s="5" t="n">
        <v>3</v>
      </c>
      <c r="V19" s="5" t="n">
        <v>5</v>
      </c>
      <c r="W19" s="8" t="n">
        <f aca="false">SUM(B19:V19)</f>
        <v>68</v>
      </c>
      <c r="X19" s="9" t="n">
        <f aca="false">(W19-$B$40)/W19</f>
        <v>0.0233265720588234</v>
      </c>
    </row>
    <row r="20" customFormat="false" ht="15.75" hidden="false" customHeight="false" outlineLevel="0" collapsed="false">
      <c r="A20" s="10" t="s">
        <v>72</v>
      </c>
      <c r="B20" s="5" t="n">
        <v>3</v>
      </c>
      <c r="C20" s="5" t="n">
        <v>4</v>
      </c>
      <c r="D20" s="5" t="n">
        <v>4</v>
      </c>
      <c r="E20" s="5" t="n">
        <v>3</v>
      </c>
      <c r="F20" s="5" t="n">
        <v>4</v>
      </c>
      <c r="G20" s="5" t="n">
        <v>3</v>
      </c>
      <c r="H20" s="5" t="n">
        <v>5</v>
      </c>
      <c r="I20" s="5" t="n">
        <v>3</v>
      </c>
      <c r="J20" s="5" t="n">
        <v>2</v>
      </c>
      <c r="K20" s="5" t="n">
        <v>2</v>
      </c>
      <c r="L20" s="5" t="n">
        <v>2</v>
      </c>
      <c r="M20" s="5" t="n">
        <v>4</v>
      </c>
      <c r="N20" s="5" t="n">
        <v>5</v>
      </c>
      <c r="O20" s="5" t="n">
        <v>3</v>
      </c>
      <c r="P20" s="5" t="n">
        <v>3</v>
      </c>
      <c r="Q20" s="5" t="n">
        <v>3</v>
      </c>
      <c r="R20" s="5" t="n">
        <v>5</v>
      </c>
      <c r="S20" s="5" t="n">
        <v>3</v>
      </c>
      <c r="T20" s="5" t="n">
        <v>4</v>
      </c>
      <c r="U20" s="5" t="n">
        <v>3</v>
      </c>
      <c r="V20" s="5" t="n">
        <v>5</v>
      </c>
      <c r="W20" s="8" t="n">
        <f aca="false">SUM(B20:V20)</f>
        <v>73</v>
      </c>
      <c r="X20" s="9" t="n">
        <f aca="false">(W20-$B$40)/W20</f>
        <v>0.090222012328767</v>
      </c>
    </row>
    <row r="21" customFormat="false" ht="15.75" hidden="false" customHeight="false" outlineLevel="0" collapsed="false">
      <c r="A21" s="5" t="s">
        <v>73</v>
      </c>
      <c r="B21" s="5" t="n">
        <v>2</v>
      </c>
      <c r="C21" s="5" t="n">
        <v>4</v>
      </c>
      <c r="D21" s="5" t="n">
        <v>4</v>
      </c>
      <c r="E21" s="5" t="n">
        <v>4</v>
      </c>
      <c r="F21" s="5" t="n">
        <v>3</v>
      </c>
      <c r="G21" s="5" t="n">
        <v>3</v>
      </c>
      <c r="H21" s="5" t="n">
        <v>4</v>
      </c>
      <c r="I21" s="5" t="n">
        <v>2</v>
      </c>
      <c r="J21" s="5" t="n">
        <v>3</v>
      </c>
      <c r="K21" s="5" t="n">
        <v>3</v>
      </c>
      <c r="L21" s="5" t="n">
        <v>2</v>
      </c>
      <c r="M21" s="5" t="n">
        <v>4</v>
      </c>
      <c r="N21" s="5" t="n">
        <v>5</v>
      </c>
      <c r="O21" s="5" t="n">
        <v>3</v>
      </c>
      <c r="P21" s="7" t="n">
        <v>1</v>
      </c>
      <c r="Q21" s="5" t="n">
        <v>5</v>
      </c>
      <c r="R21" s="5" t="n">
        <v>5</v>
      </c>
      <c r="S21" s="5" t="n">
        <v>3</v>
      </c>
      <c r="T21" s="5" t="n">
        <v>5</v>
      </c>
      <c r="U21" s="5" t="n">
        <v>4</v>
      </c>
      <c r="V21" s="5" t="n">
        <v>5</v>
      </c>
      <c r="W21" s="8" t="n">
        <f aca="false">SUM(B21:V21)</f>
        <v>74</v>
      </c>
      <c r="X21" s="9" t="n">
        <f aca="false">(W21-$B$40)/W21</f>
        <v>0.102516309459459</v>
      </c>
    </row>
    <row r="22" customFormat="false" ht="15.75" hidden="false" customHeight="false" outlineLevel="0" collapsed="false">
      <c r="A22" s="10" t="s">
        <v>74</v>
      </c>
      <c r="B22" s="5" t="n">
        <v>2</v>
      </c>
      <c r="C22" s="5" t="n">
        <v>4</v>
      </c>
      <c r="D22" s="5" t="n">
        <v>4</v>
      </c>
      <c r="E22" s="5" t="n">
        <v>3</v>
      </c>
      <c r="F22" s="5" t="n">
        <v>5</v>
      </c>
      <c r="G22" s="5" t="n">
        <v>2</v>
      </c>
      <c r="H22" s="5" t="n">
        <v>4</v>
      </c>
      <c r="I22" s="5" t="n">
        <v>3</v>
      </c>
      <c r="J22" s="5" t="n">
        <v>4</v>
      </c>
      <c r="K22" s="5" t="n">
        <v>4</v>
      </c>
      <c r="L22" s="5" t="n">
        <v>2</v>
      </c>
      <c r="M22" s="5" t="n">
        <v>5</v>
      </c>
      <c r="N22" s="5" t="n">
        <v>4</v>
      </c>
      <c r="O22" s="5" t="n">
        <v>3</v>
      </c>
      <c r="P22" s="5" t="n">
        <v>3</v>
      </c>
      <c r="Q22" s="5" t="n">
        <v>4</v>
      </c>
      <c r="R22" s="5" t="n">
        <v>3</v>
      </c>
      <c r="S22" s="5" t="n">
        <v>4</v>
      </c>
      <c r="T22" s="5" t="n">
        <v>3</v>
      </c>
      <c r="U22" s="5" t="n">
        <v>3</v>
      </c>
      <c r="V22" s="5" t="n">
        <v>5</v>
      </c>
      <c r="W22" s="8" t="n">
        <f aca="false">SUM(B22:V22)</f>
        <v>74</v>
      </c>
      <c r="X22" s="9" t="n">
        <f aca="false">(W22-$B$40)/W22</f>
        <v>0.102516309459459</v>
      </c>
    </row>
    <row r="23" customFormat="false" ht="15.75" hidden="false" customHeight="false" outlineLevel="0" collapsed="false">
      <c r="A23" s="10" t="s">
        <v>75</v>
      </c>
      <c r="B23" s="5" t="n">
        <v>1</v>
      </c>
      <c r="C23" s="5" t="n">
        <v>3</v>
      </c>
      <c r="D23" s="5" t="n">
        <v>4</v>
      </c>
      <c r="E23" s="5" t="n">
        <v>4</v>
      </c>
      <c r="F23" s="5" t="n">
        <v>3</v>
      </c>
      <c r="G23" s="5" t="n">
        <v>3</v>
      </c>
      <c r="H23" s="5" t="n">
        <v>3</v>
      </c>
      <c r="I23" s="5" t="n">
        <v>2</v>
      </c>
      <c r="J23" s="5" t="n">
        <v>2</v>
      </c>
      <c r="K23" s="5" t="n">
        <v>1</v>
      </c>
      <c r="L23" s="5" t="n">
        <v>1</v>
      </c>
      <c r="M23" s="5" t="n">
        <v>5</v>
      </c>
      <c r="N23" s="5" t="n">
        <v>3</v>
      </c>
      <c r="O23" s="5" t="n">
        <v>2</v>
      </c>
      <c r="P23" s="5" t="n">
        <v>1</v>
      </c>
      <c r="Q23" s="5" t="n">
        <v>3</v>
      </c>
      <c r="R23" s="5" t="n">
        <v>3</v>
      </c>
      <c r="S23" s="5" t="n">
        <v>2</v>
      </c>
      <c r="T23" s="5" t="n">
        <v>3</v>
      </c>
      <c r="U23" s="5" t="n">
        <v>2</v>
      </c>
      <c r="V23" s="5" t="n">
        <v>4</v>
      </c>
      <c r="W23" s="8" t="n">
        <f aca="false">SUM(B23:V23)</f>
        <v>55</v>
      </c>
      <c r="X23" s="9" t="n">
        <f aca="false">(W23-$B$40)/W23</f>
        <v>-0.207523510909091</v>
      </c>
    </row>
    <row r="24" customFormat="false" ht="15.75" hidden="false" customHeight="false" outlineLevel="0" collapsed="false">
      <c r="A24" s="5" t="s">
        <v>76</v>
      </c>
      <c r="B24" s="5" t="n">
        <v>3</v>
      </c>
      <c r="C24" s="5" t="n">
        <v>3</v>
      </c>
      <c r="D24" s="5" t="n">
        <v>3</v>
      </c>
      <c r="E24" s="5" t="n">
        <v>4</v>
      </c>
      <c r="F24" s="5" t="n">
        <v>4</v>
      </c>
      <c r="G24" s="5" t="n">
        <v>1</v>
      </c>
      <c r="H24" s="5" t="n">
        <v>5</v>
      </c>
      <c r="I24" s="5" t="n">
        <v>3</v>
      </c>
      <c r="J24" s="5" t="n">
        <v>3</v>
      </c>
      <c r="K24" s="5" t="n">
        <v>2</v>
      </c>
      <c r="L24" s="5" t="n">
        <v>3</v>
      </c>
      <c r="M24" s="5" t="n">
        <v>4</v>
      </c>
      <c r="N24" s="5" t="n">
        <v>3</v>
      </c>
      <c r="O24" s="5" t="n">
        <v>3</v>
      </c>
      <c r="P24" s="5" t="n">
        <v>2</v>
      </c>
      <c r="Q24" s="7" t="n">
        <v>1</v>
      </c>
      <c r="R24" s="5" t="n">
        <v>2</v>
      </c>
      <c r="S24" s="5" t="n">
        <v>1</v>
      </c>
      <c r="T24" s="5" t="n">
        <v>3</v>
      </c>
      <c r="U24" s="5" t="n">
        <v>3</v>
      </c>
      <c r="V24" s="5" t="n">
        <v>3</v>
      </c>
      <c r="W24" s="8" t="n">
        <f aca="false">SUM(B24:V24)</f>
        <v>59</v>
      </c>
      <c r="X24" s="9" t="n">
        <f aca="false">(W24-$B$40)/W24</f>
        <v>-0.125657510169492</v>
      </c>
    </row>
    <row r="25" customFormat="false" ht="15.75" hidden="false" customHeight="false" outlineLevel="0" collapsed="false">
      <c r="A25" s="5" t="s">
        <v>77</v>
      </c>
      <c r="B25" s="5" t="n">
        <v>4</v>
      </c>
      <c r="C25" s="5" t="n">
        <v>4</v>
      </c>
      <c r="D25" s="5" t="n">
        <v>3</v>
      </c>
      <c r="E25" s="5" t="n">
        <v>4</v>
      </c>
      <c r="F25" s="5" t="n">
        <v>3</v>
      </c>
      <c r="G25" s="5" t="n">
        <v>3</v>
      </c>
      <c r="H25" s="5" t="n">
        <v>5</v>
      </c>
      <c r="I25" s="5" t="n">
        <v>3</v>
      </c>
      <c r="J25" s="5" t="n">
        <v>4</v>
      </c>
      <c r="K25" s="5" t="n">
        <v>3</v>
      </c>
      <c r="L25" s="5" t="n">
        <v>3</v>
      </c>
      <c r="M25" s="5" t="n">
        <v>3</v>
      </c>
      <c r="N25" s="5" t="n">
        <v>4</v>
      </c>
      <c r="O25" s="5" t="n">
        <v>3</v>
      </c>
      <c r="P25" s="5" t="n">
        <v>3</v>
      </c>
      <c r="Q25" s="5" t="n">
        <v>3</v>
      </c>
      <c r="R25" s="7" t="n">
        <v>1</v>
      </c>
      <c r="S25" s="5" t="n">
        <v>3</v>
      </c>
      <c r="T25" s="5" t="n">
        <v>3</v>
      </c>
      <c r="U25" s="5" t="n">
        <v>3</v>
      </c>
      <c r="V25" s="5" t="n">
        <v>5</v>
      </c>
      <c r="W25" s="8" t="n">
        <f aca="false">SUM(B25:V25)</f>
        <v>70</v>
      </c>
      <c r="X25" s="9" t="n">
        <f aca="false">(W25-$B$40)/W25</f>
        <v>0.0512315271428571</v>
      </c>
    </row>
    <row r="26" customFormat="false" ht="15.75" hidden="false" customHeight="false" outlineLevel="0" collapsed="false">
      <c r="A26" s="5" t="s">
        <v>78</v>
      </c>
      <c r="B26" s="5" t="n">
        <v>2</v>
      </c>
      <c r="C26" s="5" t="n">
        <v>3</v>
      </c>
      <c r="D26" s="5" t="n">
        <v>2</v>
      </c>
      <c r="E26" s="5" t="n">
        <v>3</v>
      </c>
      <c r="F26" s="5" t="n">
        <v>4</v>
      </c>
      <c r="G26" s="5" t="n">
        <v>2</v>
      </c>
      <c r="H26" s="5" t="n">
        <v>4</v>
      </c>
      <c r="I26" s="5" t="n">
        <v>2</v>
      </c>
      <c r="J26" s="5" t="n">
        <v>3</v>
      </c>
      <c r="K26" s="5" t="n">
        <v>2</v>
      </c>
      <c r="L26" s="5" t="n">
        <v>1</v>
      </c>
      <c r="M26" s="5" t="n">
        <v>5</v>
      </c>
      <c r="N26" s="5" t="n">
        <v>3</v>
      </c>
      <c r="O26" s="5" t="n">
        <v>2</v>
      </c>
      <c r="P26" s="5" t="n">
        <v>2</v>
      </c>
      <c r="Q26" s="5" t="n">
        <v>3</v>
      </c>
      <c r="R26" s="5" t="n">
        <v>2</v>
      </c>
      <c r="S26" s="7" t="n">
        <v>1</v>
      </c>
      <c r="T26" s="5" t="n">
        <v>3</v>
      </c>
      <c r="U26" s="5" t="n">
        <v>4</v>
      </c>
      <c r="V26" s="5" t="n">
        <v>4</v>
      </c>
      <c r="W26" s="8" t="n">
        <f aca="false">SUM(B26:V26)</f>
        <v>57</v>
      </c>
      <c r="X26" s="9" t="n">
        <f aca="false">(W26-$B$40)/W26</f>
        <v>-0.165154264912281</v>
      </c>
    </row>
    <row r="27" customFormat="false" ht="15.75" hidden="false" customHeight="false" outlineLevel="0" collapsed="false">
      <c r="A27" s="5" t="s">
        <v>79</v>
      </c>
      <c r="B27" s="5" t="n">
        <v>2</v>
      </c>
      <c r="C27" s="5" t="n">
        <v>3</v>
      </c>
      <c r="D27" s="5" t="n">
        <v>3</v>
      </c>
      <c r="E27" s="5" t="n">
        <v>3</v>
      </c>
      <c r="F27" s="5" t="n">
        <v>5</v>
      </c>
      <c r="G27" s="5" t="n">
        <v>3</v>
      </c>
      <c r="H27" s="5" t="n">
        <v>4</v>
      </c>
      <c r="I27" s="5" t="n">
        <v>3</v>
      </c>
      <c r="J27" s="5" t="n">
        <v>3</v>
      </c>
      <c r="K27" s="5" t="n">
        <v>3</v>
      </c>
      <c r="L27" s="5" t="n">
        <v>2</v>
      </c>
      <c r="M27" s="5" t="n">
        <v>5</v>
      </c>
      <c r="N27" s="5" t="n">
        <v>4</v>
      </c>
      <c r="O27" s="5" t="n">
        <v>4</v>
      </c>
      <c r="P27" s="5" t="n">
        <v>2</v>
      </c>
      <c r="Q27" s="5" t="n">
        <v>5</v>
      </c>
      <c r="R27" s="5" t="n">
        <v>4</v>
      </c>
      <c r="S27" s="5" t="n">
        <v>3</v>
      </c>
      <c r="T27" s="7" t="n">
        <v>1</v>
      </c>
      <c r="U27" s="5" t="n">
        <v>3</v>
      </c>
      <c r="V27" s="5" t="n">
        <v>4</v>
      </c>
      <c r="W27" s="8" t="n">
        <f aca="false">SUM(B27:V27)</f>
        <v>69</v>
      </c>
      <c r="X27" s="9" t="n">
        <f aca="false">(W27-$B$40)/W27</f>
        <v>0.0374812594202898</v>
      </c>
    </row>
    <row r="28" customFormat="false" ht="15.75" hidden="false" customHeight="false" outlineLevel="0" collapsed="false">
      <c r="A28" s="10" t="s">
        <v>80</v>
      </c>
      <c r="B28" s="5" t="n">
        <v>2</v>
      </c>
      <c r="C28" s="5" t="n">
        <v>2</v>
      </c>
      <c r="D28" s="5" t="n">
        <v>4</v>
      </c>
      <c r="E28" s="5" t="n">
        <v>3</v>
      </c>
      <c r="F28" s="5" t="n">
        <v>4</v>
      </c>
      <c r="G28" s="5" t="n">
        <v>2</v>
      </c>
      <c r="H28" s="5" t="n">
        <v>4</v>
      </c>
      <c r="I28" s="5" t="n">
        <v>2</v>
      </c>
      <c r="J28" s="5" t="n">
        <v>3</v>
      </c>
      <c r="K28" s="5" t="n">
        <v>3</v>
      </c>
      <c r="L28" s="5" t="n">
        <v>2</v>
      </c>
      <c r="M28" s="5" t="n">
        <v>5</v>
      </c>
      <c r="N28" s="5" t="n">
        <v>4</v>
      </c>
      <c r="O28" s="5" t="n">
        <v>3</v>
      </c>
      <c r="P28" s="5" t="n">
        <v>2</v>
      </c>
      <c r="Q28" s="5" t="n">
        <v>2</v>
      </c>
      <c r="R28" s="5" t="n">
        <v>2</v>
      </c>
      <c r="S28" s="5" t="n">
        <v>2</v>
      </c>
      <c r="T28" s="5" t="n">
        <v>2</v>
      </c>
      <c r="U28" s="5" t="n">
        <v>4</v>
      </c>
      <c r="V28" s="5" t="n">
        <v>5</v>
      </c>
      <c r="W28" s="8" t="n">
        <f aca="false">SUM(B28:V28)</f>
        <v>62</v>
      </c>
      <c r="X28" s="9" t="n">
        <f aca="false">(W28-$B$40)/W28</f>
        <v>-0.0711902112903227</v>
      </c>
    </row>
    <row r="29" customFormat="false" ht="15.75" hidden="false" customHeight="false" outlineLevel="0" collapsed="false">
      <c r="A29" s="5" t="s">
        <v>81</v>
      </c>
      <c r="B29" s="5" t="n">
        <v>3</v>
      </c>
      <c r="C29" s="5" t="n">
        <v>3</v>
      </c>
      <c r="D29" s="5" t="n">
        <v>4</v>
      </c>
      <c r="E29" s="5" t="n">
        <v>5</v>
      </c>
      <c r="F29" s="5" t="n">
        <v>4</v>
      </c>
      <c r="G29" s="5" t="n">
        <v>3</v>
      </c>
      <c r="H29" s="5" t="n">
        <v>4</v>
      </c>
      <c r="I29" s="5" t="n">
        <v>3</v>
      </c>
      <c r="J29" s="5" t="n">
        <v>3</v>
      </c>
      <c r="K29" s="5" t="n">
        <v>3</v>
      </c>
      <c r="L29" s="5" t="n">
        <v>1</v>
      </c>
      <c r="M29" s="5" t="n">
        <v>3</v>
      </c>
      <c r="N29" s="5" t="n">
        <v>4</v>
      </c>
      <c r="O29" s="5" t="n">
        <v>2</v>
      </c>
      <c r="P29" s="5" t="n">
        <v>2</v>
      </c>
      <c r="Q29" s="5" t="n">
        <v>4</v>
      </c>
      <c r="R29" s="5" t="n">
        <v>4</v>
      </c>
      <c r="S29" s="5" t="n">
        <v>2</v>
      </c>
      <c r="T29" s="5" t="n">
        <v>3</v>
      </c>
      <c r="U29" s="7" t="n">
        <v>1</v>
      </c>
      <c r="V29" s="5" t="n">
        <v>5</v>
      </c>
      <c r="W29" s="8" t="n">
        <f aca="false">SUM(B29:V29)</f>
        <v>66</v>
      </c>
      <c r="X29" s="9" t="n">
        <f aca="false">(W29-$B$40)/W29</f>
        <v>-0.00626959242424252</v>
      </c>
    </row>
    <row r="30" customFormat="false" ht="15.75" hidden="false" customHeight="false" outlineLevel="0" collapsed="false">
      <c r="A30" s="5" t="s">
        <v>82</v>
      </c>
      <c r="B30" s="5" t="n">
        <v>3</v>
      </c>
      <c r="C30" s="5" t="n">
        <v>3</v>
      </c>
      <c r="D30" s="5" t="n">
        <v>4</v>
      </c>
      <c r="E30" s="5" t="n">
        <v>4</v>
      </c>
      <c r="F30" s="5" t="n">
        <v>3</v>
      </c>
      <c r="G30" s="5" t="n">
        <v>3</v>
      </c>
      <c r="H30" s="5" t="n">
        <v>2</v>
      </c>
      <c r="I30" s="5" t="n">
        <v>2</v>
      </c>
      <c r="J30" s="5" t="n">
        <v>3</v>
      </c>
      <c r="K30" s="5" t="n">
        <v>3</v>
      </c>
      <c r="L30" s="5" t="n">
        <v>2</v>
      </c>
      <c r="M30" s="5" t="n">
        <v>3</v>
      </c>
      <c r="N30" s="5" t="n">
        <v>2</v>
      </c>
      <c r="O30" s="5" t="n">
        <v>2</v>
      </c>
      <c r="P30" s="5" t="n">
        <v>2</v>
      </c>
      <c r="Q30" s="5" t="n">
        <v>3</v>
      </c>
      <c r="R30" s="5" t="n">
        <v>3</v>
      </c>
      <c r="S30" s="5" t="n">
        <v>2</v>
      </c>
      <c r="T30" s="5" t="n">
        <v>3</v>
      </c>
      <c r="U30" s="5" t="n">
        <v>3</v>
      </c>
      <c r="V30" s="7" t="n">
        <v>1</v>
      </c>
      <c r="W30" s="8" t="n">
        <f aca="false">SUM(B30:V30)</f>
        <v>56</v>
      </c>
      <c r="X30" s="9" t="n">
        <f aca="false">(W30-$B$40)/W30</f>
        <v>-0.185960591071429</v>
      </c>
    </row>
    <row r="31" customFormat="false" ht="15.75" hidden="false" customHeight="false" outlineLevel="0" collapsed="false">
      <c r="A31" s="11" t="s">
        <v>2</v>
      </c>
      <c r="B31" s="12" t="n">
        <f aca="false">SUM(B2:B30)</f>
        <v>70</v>
      </c>
      <c r="C31" s="12" t="n">
        <f aca="false">SUM(C2:C30)</f>
        <v>92</v>
      </c>
      <c r="D31" s="12" t="n">
        <f aca="false">SUM(D2:D30)</f>
        <v>101</v>
      </c>
      <c r="E31" s="12" t="n">
        <f aca="false">SUM(E2:E30)</f>
        <v>102</v>
      </c>
      <c r="F31" s="12" t="n">
        <f aca="false">SUM(F2:F30)</f>
        <v>108</v>
      </c>
      <c r="G31" s="12" t="n">
        <f aca="false">SUM(G2:G30)</f>
        <v>72</v>
      </c>
      <c r="H31" s="12" t="n">
        <f aca="false">SUM(H2:H30)</f>
        <v>116</v>
      </c>
      <c r="I31" s="12" t="n">
        <f aca="false">SUM(I2:I30)</f>
        <v>80</v>
      </c>
      <c r="J31" s="12" t="n">
        <f aca="false">SUM(J2:J30)</f>
        <v>85</v>
      </c>
      <c r="K31" s="12" t="n">
        <f aca="false">SUM(K2:K30)</f>
        <v>84</v>
      </c>
      <c r="L31" s="12" t="n">
        <f aca="false">SUM(L2:L30)</f>
        <v>59</v>
      </c>
      <c r="M31" s="12" t="n">
        <f aca="false">SUM(M2:M30)</f>
        <v>115</v>
      </c>
      <c r="N31" s="12" t="n">
        <f aca="false">SUM(N2:N30)</f>
        <v>107</v>
      </c>
      <c r="O31" s="12" t="n">
        <f aca="false">SUM(O2:O30)</f>
        <v>81</v>
      </c>
      <c r="P31" s="12" t="n">
        <f aca="false">SUM(P2:P30)</f>
        <v>69</v>
      </c>
      <c r="Q31" s="12" t="n">
        <f aca="false">SUM(Q2:Q30)</f>
        <v>107</v>
      </c>
      <c r="R31" s="12" t="n">
        <f aca="false">SUM(R2:R30)</f>
        <v>96</v>
      </c>
      <c r="S31" s="12" t="n">
        <f aca="false">SUM(S2:S30)</f>
        <v>67</v>
      </c>
      <c r="T31" s="12" t="n">
        <f aca="false">SUM(T2:T30)</f>
        <v>96</v>
      </c>
      <c r="U31" s="12" t="n">
        <f aca="false">SUM(U2:U30)</f>
        <v>97</v>
      </c>
      <c r="V31" s="12" t="n">
        <f aca="false">SUM(V2:V30)</f>
        <v>122</v>
      </c>
      <c r="W31" s="12"/>
      <c r="X31" s="12"/>
    </row>
    <row r="32" customFormat="false" ht="15.75" hidden="false" customHeight="false" outlineLevel="0" collapsed="false">
      <c r="A32" s="13" t="s">
        <v>83</v>
      </c>
      <c r="B32" s="14" t="n">
        <f aca="false">COUNTIF(B2:B30,5)</f>
        <v>0</v>
      </c>
      <c r="C32" s="14" t="n">
        <f aca="false">COUNTIF(C2:C30,5)</f>
        <v>0</v>
      </c>
      <c r="D32" s="14" t="n">
        <f aca="false">COUNTIF(D2:D30,5)</f>
        <v>2</v>
      </c>
      <c r="E32" s="14" t="n">
        <f aca="false">COUNTIF(E2:E30,5)</f>
        <v>5</v>
      </c>
      <c r="F32" s="14" t="n">
        <f aca="false">COUNTIF(F2:F30,5)</f>
        <v>7</v>
      </c>
      <c r="G32" s="14" t="n">
        <f aca="false">COUNTIF(G2:G30,5)</f>
        <v>0</v>
      </c>
      <c r="H32" s="14" t="n">
        <f aca="false">COUNTIF(H2:H30,5)</f>
        <v>11</v>
      </c>
      <c r="I32" s="14" t="n">
        <f aca="false">COUNTIF(I2:I30,5)</f>
        <v>0</v>
      </c>
      <c r="J32" s="14" t="n">
        <f aca="false">COUNTIF(J2:J30,5)</f>
        <v>1</v>
      </c>
      <c r="K32" s="14" t="n">
        <f aca="false">COUNTIF(K2:K30,5)</f>
        <v>1</v>
      </c>
      <c r="L32" s="14" t="n">
        <f aca="false">COUNTIF(L2:L30,5)</f>
        <v>0</v>
      </c>
      <c r="M32" s="14" t="n">
        <f aca="false">COUNTIF(M2:M30,5)</f>
        <v>10</v>
      </c>
      <c r="N32" s="14" t="n">
        <f aca="false">COUNTIF(N2:N30,5)</f>
        <v>4</v>
      </c>
      <c r="O32" s="14" t="n">
        <f aca="false">COUNTIF(O2:O30,5)</f>
        <v>1</v>
      </c>
      <c r="P32" s="14" t="n">
        <f aca="false">COUNTIF(P2:P30,5)</f>
        <v>0</v>
      </c>
      <c r="Q32" s="14" t="n">
        <f aca="false">COUNTIF(Q2:Q30,5)</f>
        <v>7</v>
      </c>
      <c r="R32" s="14" t="n">
        <f aca="false">COUNTIF(R2:R30,5)</f>
        <v>3</v>
      </c>
      <c r="S32" s="14" t="n">
        <f aca="false">COUNTIF(S2:S30,5)</f>
        <v>0</v>
      </c>
      <c r="T32" s="14" t="n">
        <f aca="false">COUNTIF(T2:T30,5)</f>
        <v>3</v>
      </c>
      <c r="U32" s="14" t="n">
        <f aca="false">COUNTIF(U2:U30,5)</f>
        <v>1</v>
      </c>
      <c r="V32" s="14" t="n">
        <f aca="false">COUNTIF(V2:V30,5)</f>
        <v>13</v>
      </c>
      <c r="W32" s="14"/>
      <c r="X32" s="14"/>
    </row>
    <row r="33" customFormat="false" ht="15.75" hidden="false" customHeight="false" outlineLevel="0" collapsed="false">
      <c r="A33" s="13" t="s">
        <v>84</v>
      </c>
      <c r="B33" s="15" t="n">
        <f aca="false">COUNTIF(B2:B30,4)</f>
        <v>1</v>
      </c>
      <c r="C33" s="15" t="n">
        <f aca="false">COUNTIF(C2:C30,4)</f>
        <v>9</v>
      </c>
      <c r="D33" s="15" t="n">
        <f aca="false">COUNTIF(D2:D30,4)</f>
        <v>14</v>
      </c>
      <c r="E33" s="15" t="n">
        <f aca="false">COUNTIF(E2:E30,4)</f>
        <v>10</v>
      </c>
      <c r="F33" s="15" t="n">
        <f aca="false">COUNTIF(F2:F30,4)</f>
        <v>11</v>
      </c>
      <c r="G33" s="15" t="n">
        <f aca="false">COUNTIF(G2:G30,4)</f>
        <v>3</v>
      </c>
      <c r="H33" s="15" t="n">
        <f aca="false">COUNTIF(H2:H30,4)</f>
        <v>11</v>
      </c>
      <c r="I33" s="15" t="n">
        <f aca="false">COUNTIF(I2:I30,4)</f>
        <v>3</v>
      </c>
      <c r="J33" s="15" t="n">
        <f aca="false">COUNTIF(J2:J30,4)</f>
        <v>6</v>
      </c>
      <c r="K33" s="15" t="n">
        <f aca="false">COUNTIF(K2:K30,4)</f>
        <v>3</v>
      </c>
      <c r="L33" s="15" t="n">
        <f aca="false">COUNTIF(L2:L30,4)</f>
        <v>2</v>
      </c>
      <c r="M33" s="15" t="n">
        <f aca="false">COUNTIF(M2:M30,4)</f>
        <v>11</v>
      </c>
      <c r="N33" s="15" t="n">
        <f aca="false">COUNTIF(N2:N30,4)</f>
        <v>15</v>
      </c>
      <c r="O33" s="15" t="n">
        <f aca="false">COUNTIF(O2:O30,4)</f>
        <v>5</v>
      </c>
      <c r="P33" s="15" t="n">
        <f aca="false">COUNTIF(P2:P30,4)</f>
        <v>2</v>
      </c>
      <c r="Q33" s="15" t="n">
        <f aca="false">COUNTIF(Q2:Q30,4)</f>
        <v>9</v>
      </c>
      <c r="R33" s="15" t="n">
        <f aca="false">COUNTIF(R2:R30,4)</f>
        <v>10</v>
      </c>
      <c r="S33" s="15" t="n">
        <f aca="false">COUNTIF(S2:S30,4)</f>
        <v>1</v>
      </c>
      <c r="T33" s="15" t="n">
        <f aca="false">COUNTIF(T2:T30,4)</f>
        <v>6</v>
      </c>
      <c r="U33" s="15" t="n">
        <f aca="false">COUNTIF(U2:U30,4)</f>
        <v>12</v>
      </c>
      <c r="V33" s="15" t="n">
        <f aca="false">COUNTIF(V2:V30,4)</f>
        <v>11</v>
      </c>
      <c r="W33" s="15"/>
      <c r="X33" s="15"/>
    </row>
    <row r="34" customFormat="false" ht="15.75" hidden="false" customHeight="false" outlineLevel="0" collapsed="false">
      <c r="A34" s="13" t="s">
        <v>85</v>
      </c>
      <c r="B34" s="15" t="n">
        <f aca="false">COUNTIF(B2:B30,3)</f>
        <v>13</v>
      </c>
      <c r="C34" s="15" t="n">
        <f aca="false">COUNTIF(C2:C30,3)</f>
        <v>17</v>
      </c>
      <c r="D34" s="15" t="n">
        <f aca="false">COUNTIF(D2:D30,3)</f>
        <v>10</v>
      </c>
      <c r="E34" s="15" t="n">
        <f aca="false">COUNTIF(E2:E30,3)</f>
        <v>10</v>
      </c>
      <c r="F34" s="15" t="n">
        <f aca="false">COUNTIF(F2:F30,3)</f>
        <v>9</v>
      </c>
      <c r="G34" s="15" t="n">
        <f aca="false">COUNTIF(G2:G30,3)</f>
        <v>13</v>
      </c>
      <c r="H34" s="15" t="n">
        <f aca="false">COUNTIF(H2:H30,3)</f>
        <v>4</v>
      </c>
      <c r="I34" s="15" t="n">
        <f aca="false">COUNTIF(I2:I30,3)</f>
        <v>18</v>
      </c>
      <c r="J34" s="15" t="n">
        <f aca="false">COUNTIF(J2:J30,3)</f>
        <v>13</v>
      </c>
      <c r="K34" s="15" t="n">
        <f aca="false">COUNTIF(K2:K30,3)</f>
        <v>19</v>
      </c>
      <c r="L34" s="15" t="n">
        <f aca="false">COUNTIF(L2:L30,3)</f>
        <v>6</v>
      </c>
      <c r="M34" s="15" t="n">
        <f aca="false">COUNTIF(M2:M30,3)</f>
        <v>6</v>
      </c>
      <c r="N34" s="15" t="n">
        <f aca="false">COUNTIF(N2:N30,3)</f>
        <v>8</v>
      </c>
      <c r="O34" s="15" t="n">
        <f aca="false">COUNTIF(O2:O30,3)</f>
        <v>12</v>
      </c>
      <c r="P34" s="15" t="n">
        <f aca="false">COUNTIF(P2:P30,3)</f>
        <v>11</v>
      </c>
      <c r="Q34" s="15" t="n">
        <f aca="false">COUNTIF(Q2:Q30,3)</f>
        <v>11</v>
      </c>
      <c r="R34" s="15" t="n">
        <f aca="false">COUNTIF(R2:R30,3)</f>
        <v>10</v>
      </c>
      <c r="S34" s="15" t="n">
        <f aca="false">COUNTIF(S2:S30,3)</f>
        <v>13</v>
      </c>
      <c r="T34" s="15" t="n">
        <f aca="false">COUNTIF(T2:T30,3)</f>
        <v>18</v>
      </c>
      <c r="U34" s="15" t="n">
        <f aca="false">COUNTIF(U2:U30,3)</f>
        <v>13</v>
      </c>
      <c r="V34" s="15" t="n">
        <f aca="false">COUNTIF(V2:V30,3)</f>
        <v>4</v>
      </c>
      <c r="W34" s="15"/>
      <c r="X34" s="15"/>
    </row>
    <row r="35" customFormat="false" ht="15.75" hidden="false" customHeight="false" outlineLevel="0" collapsed="false">
      <c r="A35" s="13" t="s">
        <v>86</v>
      </c>
      <c r="B35" s="15" t="n">
        <f aca="false">COUNTIF(B2:B30,2)</f>
        <v>12</v>
      </c>
      <c r="C35" s="15" t="n">
        <f aca="false">COUNTIF(C2:C30,2)</f>
        <v>2</v>
      </c>
      <c r="D35" s="15" t="n">
        <f aca="false">COUNTIF(D2:D30,2)</f>
        <v>2</v>
      </c>
      <c r="E35" s="15" t="n">
        <f aca="false">COUNTIF(E2:E30,2)</f>
        <v>3</v>
      </c>
      <c r="F35" s="15" t="n">
        <f aca="false">COUNTIF(F2:F30,2)</f>
        <v>0</v>
      </c>
      <c r="G35" s="15" t="n">
        <f aca="false">COUNTIF(G2:G30,2)</f>
        <v>8</v>
      </c>
      <c r="H35" s="15" t="n">
        <f aca="false">COUNTIF(H2:H30,2)</f>
        <v>2</v>
      </c>
      <c r="I35" s="15" t="n">
        <f aca="false">COUNTIF(I2:I30,2)</f>
        <v>6</v>
      </c>
      <c r="J35" s="15" t="n">
        <f aca="false">COUNTIF(J2:J30,2)</f>
        <v>8</v>
      </c>
      <c r="K35" s="15" t="n">
        <f aca="false">COUNTIF(K2:K30,2)</f>
        <v>4</v>
      </c>
      <c r="L35" s="15" t="n">
        <f aca="false">COUNTIF(L2:L30,2)</f>
        <v>12</v>
      </c>
      <c r="M35" s="15" t="n">
        <f aca="false">COUNTIF(M2:M30,2)</f>
        <v>1</v>
      </c>
      <c r="N35" s="15" t="n">
        <f aca="false">COUNTIF(N2:N30,2)</f>
        <v>1</v>
      </c>
      <c r="O35" s="15" t="n">
        <f aca="false">COUNTIF(O2:O30,2)</f>
        <v>9</v>
      </c>
      <c r="P35" s="15" t="n">
        <f aca="false">COUNTIF(P2:P30,2)</f>
        <v>12</v>
      </c>
      <c r="Q35" s="15" t="n">
        <f aca="false">COUNTIF(Q2:Q30,2)</f>
        <v>1</v>
      </c>
      <c r="R35" s="15" t="n">
        <f aca="false">COUNTIF(R2:R30,2)</f>
        <v>5</v>
      </c>
      <c r="S35" s="15" t="n">
        <f aca="false">COUNTIF(S2:S30,2)</f>
        <v>9</v>
      </c>
      <c r="T35" s="15" t="n">
        <f aca="false">COUNTIF(T2:T30,2)</f>
        <v>1</v>
      </c>
      <c r="U35" s="15" t="n">
        <f aca="false">COUNTIF(U2:U30,2)</f>
        <v>2</v>
      </c>
      <c r="V35" s="15" t="n">
        <f aca="false">COUNTIF(V2:V30,2)</f>
        <v>0</v>
      </c>
      <c r="W35" s="15"/>
      <c r="X35" s="15"/>
    </row>
    <row r="36" customFormat="false" ht="15.75" hidden="false" customHeight="false" outlineLevel="0" collapsed="false">
      <c r="A36" s="13" t="s">
        <v>87</v>
      </c>
      <c r="B36" s="15" t="n">
        <f aca="false">COUNTIF(B2:B30,1)</f>
        <v>3</v>
      </c>
      <c r="C36" s="15" t="n">
        <f aca="false">COUNTIF(C2:C30,1)</f>
        <v>1</v>
      </c>
      <c r="D36" s="15" t="n">
        <f aca="false">COUNTIF(D2:D30,1)</f>
        <v>1</v>
      </c>
      <c r="E36" s="15" t="n">
        <f aca="false">COUNTIF(E2:E30,1)</f>
        <v>1</v>
      </c>
      <c r="F36" s="15" t="n">
        <f aca="false">COUNTIF(F2:F30,1)</f>
        <v>2</v>
      </c>
      <c r="G36" s="15" t="n">
        <f aca="false">COUNTIF(G2:G30,1)</f>
        <v>5</v>
      </c>
      <c r="H36" s="15" t="n">
        <f aca="false">COUNTIF(H2:H30,1)</f>
        <v>1</v>
      </c>
      <c r="I36" s="15" t="n">
        <f aca="false">COUNTIF(I2:I30,1)</f>
        <v>2</v>
      </c>
      <c r="J36" s="15" t="n">
        <f aca="false">COUNTIF(J2:J30,1)</f>
        <v>1</v>
      </c>
      <c r="K36" s="15" t="n">
        <f aca="false">COUNTIF(K2:K30,1)</f>
        <v>2</v>
      </c>
      <c r="L36" s="15" t="n">
        <f aca="false">COUNTIF(L2:L30,1)</f>
        <v>9</v>
      </c>
      <c r="M36" s="15" t="n">
        <f aca="false">COUNTIF(M2:M30,1)</f>
        <v>1</v>
      </c>
      <c r="N36" s="15" t="n">
        <f aca="false">COUNTIF(N2:N30,1)</f>
        <v>1</v>
      </c>
      <c r="O36" s="15" t="n">
        <f aca="false">COUNTIF(O2:O30,1)</f>
        <v>2</v>
      </c>
      <c r="P36" s="15" t="n">
        <f aca="false">COUNTIF(P2:P30,1)</f>
        <v>4</v>
      </c>
      <c r="Q36" s="15" t="n">
        <f aca="false">COUNTIF(Q2:Q30,1)</f>
        <v>1</v>
      </c>
      <c r="R36" s="15" t="n">
        <f aca="false">COUNTIF(R2:R30,1)</f>
        <v>1</v>
      </c>
      <c r="S36" s="15" t="n">
        <f aca="false">COUNTIF(S2:S30,1)</f>
        <v>6</v>
      </c>
      <c r="T36" s="15" t="n">
        <f aca="false">COUNTIF(T2:T30,1)</f>
        <v>1</v>
      </c>
      <c r="U36" s="15" t="n">
        <f aca="false">COUNTIF(U2:U30,1)</f>
        <v>1</v>
      </c>
      <c r="V36" s="15" t="n">
        <f aca="false">COUNTIF(V2:V30,1)</f>
        <v>1</v>
      </c>
      <c r="W36" s="15"/>
      <c r="X36" s="15"/>
    </row>
    <row r="39" customFormat="false" ht="15.75" hidden="false" customHeight="false" outlineLevel="0" collapsed="false">
      <c r="A39" s="16" t="s">
        <v>88</v>
      </c>
      <c r="B39" s="3"/>
      <c r="C39" s="3"/>
      <c r="D39" s="3"/>
      <c r="E39" s="3"/>
      <c r="F39" s="3"/>
      <c r="G39" s="3"/>
    </row>
    <row r="40" customFormat="false" ht="15.75" hidden="false" customHeight="false" outlineLevel="0" collapsed="false">
      <c r="A40" s="17" t="s">
        <v>89</v>
      </c>
      <c r="B40" s="18" t="n">
        <f aca="false">AVERAGE(W2:W30)</f>
        <v>66.4137931</v>
      </c>
      <c r="C40" s="17" t="s">
        <v>90</v>
      </c>
      <c r="D40" s="3"/>
      <c r="E40" s="3"/>
      <c r="F40" s="3"/>
      <c r="G40" s="3"/>
    </row>
    <row r="41" customFormat="false" ht="15.75" hidden="false" customHeight="false" outlineLevel="0" collapsed="false">
      <c r="A41" s="3" t="s">
        <v>91</v>
      </c>
      <c r="B41" s="3"/>
      <c r="C41" s="3"/>
      <c r="D41" s="3"/>
      <c r="E41" s="3"/>
      <c r="F41" s="3"/>
      <c r="G41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2026-06-20T01:05:21Z</dcterms:modified>
  <cp:revision>1</cp:revision>
  <dc:subject/>
  <dc:title/>
</cp:coreProperties>
</file>
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Results!$A$1:$D$40</definedName>
  </definedNames>
  <calcPr/>
</workbook>
</file>

<file path=xl/sharedStrings.xml><?xml version="1.0" encoding="utf-8"?>
<sst xmlns="http://schemas.openxmlformats.org/spreadsheetml/2006/main" count="186" uniqueCount="103">
  <si>
    <t>Name</t>
  </si>
  <si>
    <t>Score</t>
  </si>
  <si>
    <t>jasinski - Of a Multitude In the Mountains</t>
  </si>
  <si>
    <t>pts</t>
  </si>
  <si>
    <t>exponent1 - Hope</t>
  </si>
  <si>
    <t>photonic - The Transit</t>
  </si>
  <si>
    <t>simanus - The Vicious Prayer</t>
  </si>
  <si>
    <t>schiing - Horizon Bound</t>
  </si>
  <si>
    <t>MorphedDreams - Centaurus Of Trisuns</t>
  </si>
  <si>
    <t>kraftraum - Rotation 30</t>
  </si>
  <si>
    <t>bh9090 - we need fixing</t>
  </si>
  <si>
    <t>zarf - cycle of dreams</t>
  </si>
  <si>
    <t>IrionDaRonin - My Angel</t>
  </si>
  <si>
    <t>ThePresent - EricDeNoorman</t>
  </si>
  <si>
    <t>ontrackp - Soxophone And Orch Opus 1</t>
  </si>
  <si>
    <t>functionform - Magenta Memory</t>
  </si>
  <si>
    <t>AirToast - Lost In Cyberspace</t>
  </si>
  <si>
    <t>Tensorman - Twilight Drive</t>
  </si>
  <si>
    <t>wireframewolves - Undergrowth</t>
  </si>
  <si>
    <t>Leonard Bowman - Elm</t>
  </si>
  <si>
    <t>redlegoman - Heurel</t>
  </si>
  <si>
    <t>Eauson - Tricent KVR OsC</t>
  </si>
  <si>
    <t>htohgrom - Critent</t>
  </si>
  <si>
    <t>doctorbob - Trident-a-saurous</t>
  </si>
  <si>
    <t>h.s.j.e. - Panaceant</t>
  </si>
  <si>
    <t>ELEX - Retrograde Orbit ( Inc. 'General Mayhem's Bar' &amp; 'Double Vision' )</t>
  </si>
  <si>
    <t>loris16148 - Miller's Planet</t>
  </si>
  <si>
    <t>dq</t>
  </si>
  <si>
    <t>toggleaudio - Bogota</t>
  </si>
  <si>
    <t>roribez - Tiroteio na Caatinga</t>
  </si>
  <si>
    <t>ElVincente - Hypnose</t>
  </si>
  <si>
    <t>MalTone - Breathe</t>
  </si>
  <si>
    <t>DarkSynth FX - We Will Rise</t>
  </si>
  <si>
    <t>nenneb - OneTricentOnly</t>
  </si>
  <si>
    <t>empphryio - Infinite Repository</t>
  </si>
  <si>
    <t>NikosKeyz - OST135</t>
  </si>
  <si>
    <t>petereke - Fading Away</t>
  </si>
  <si>
    <t>digitalxero - Sailing The Tricent Seas</t>
  </si>
  <si>
    <t>FrankH - Monsters Waltz</t>
  </si>
  <si>
    <t>davetbass - DaveTBassOSC135</t>
  </si>
  <si>
    <t>Solisine - Happy go lucky</t>
  </si>
  <si>
    <t>Identikit - Advanced Interrogation_Welcome to the Afterlife</t>
  </si>
  <si>
    <t>3lu5iv3 - Crazy Teddy Bear</t>
  </si>
  <si>
    <t>Voter Name (KVR nick)</t>
  </si>
  <si>
    <t>Gen. Score *</t>
  </si>
  <si>
    <t>Aro</t>
  </si>
  <si>
    <t>3lu5iv3</t>
  </si>
  <si>
    <t>AirToast</t>
  </si>
  <si>
    <t>bh9090</t>
  </si>
  <si>
    <t>Darksynth FX</t>
  </si>
  <si>
    <t>davetbass</t>
  </si>
  <si>
    <t>digitalxero</t>
  </si>
  <si>
    <t>doctorbob</t>
  </si>
  <si>
    <t>eausonne</t>
  </si>
  <si>
    <t>ELEX</t>
  </si>
  <si>
    <t>ElVincente</t>
  </si>
  <si>
    <t>empphryio1</t>
  </si>
  <si>
    <t>exponent1</t>
  </si>
  <si>
    <t>FrankH</t>
  </si>
  <si>
    <t>functionform</t>
  </si>
  <si>
    <t>h.s.j.e.</t>
  </si>
  <si>
    <t>htohgrom</t>
  </si>
  <si>
    <t>Identikit</t>
  </si>
  <si>
    <t>IrionDaRonin</t>
  </si>
  <si>
    <t>jasinski</t>
  </si>
  <si>
    <t>Kraftraum</t>
  </si>
  <si>
    <t>Leonard Bowman</t>
  </si>
  <si>
    <t>loris16148</t>
  </si>
  <si>
    <t>MalTone</t>
  </si>
  <si>
    <t>MorphedDreams</t>
  </si>
  <si>
    <t>nenneb</t>
  </si>
  <si>
    <t>NikosKeyz</t>
  </si>
  <si>
    <t>ontrackp</t>
  </si>
  <si>
    <t>petereke</t>
  </si>
  <si>
    <t>Photonic</t>
  </si>
  <si>
    <t>redlegoman</t>
  </si>
  <si>
    <t>roribez</t>
  </si>
  <si>
    <t>schiing</t>
  </si>
  <si>
    <t>simanus</t>
  </si>
  <si>
    <t>Solisine</t>
  </si>
  <si>
    <t>Tensorman</t>
  </si>
  <si>
    <t>ThePresent</t>
  </si>
  <si>
    <t>wireframewolves</t>
  </si>
  <si>
    <t>z.prime</t>
  </si>
  <si>
    <t>zarf</t>
  </si>
  <si>
    <t>Distribution:</t>
  </si>
  <si>
    <t>5's</t>
  </si>
  <si>
    <t>4's</t>
  </si>
  <si>
    <t>3's</t>
  </si>
  <si>
    <t>2's</t>
  </si>
  <si>
    <t>1's</t>
  </si>
  <si>
    <t>* Notes on 'Generosity Score'</t>
  </si>
  <si>
    <t>Average fairness is</t>
  </si>
  <si>
    <t>#</t>
  </si>
  <si>
    <t>Track</t>
  </si>
  <si>
    <t>Prize</t>
  </si>
  <si>
    <t>Secondary Prize</t>
  </si>
  <si>
    <t>Status</t>
  </si>
  <si>
    <t>Destruction of Covid19</t>
  </si>
  <si>
    <t>Sonimus Tuco Compressor</t>
  </si>
  <si>
    <t>destruction of worldwide plague</t>
  </si>
  <si>
    <t>Dmitry Sches : Tantra</t>
  </si>
  <si>
    <t>Destruction of Covid19, World Peace, Love and Understanding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</si>
</sst>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sz val="11.0"/>
      <color rgb="FF666666"/>
      <name val="Arial"/>
    </font>
    <font>
      <color theme="1"/>
      <name val="Arial"/>
      <scheme val="minor"/>
    </font>
    <font>
      <sz val="11.0"/>
      <color rgb="FFA61D4C"/>
      <name val="Inconsolata"/>
    </font>
    <font>
      <sz val="11.0"/>
      <color rgb="FF000000"/>
      <name val="Inconsolata"/>
    </font>
    <font>
      <u/>
      <color rgb="FF1155CC"/>
      <name val="Arial"/>
      <scheme val="minor"/>
    </font>
    <font>
      <color rgb="FF999999"/>
      <name val="Arial"/>
    </font>
    <font>
      <sz val="11.0"/>
      <color rgb="FF000000"/>
      <name val="Calibri"/>
    </font>
    <font>
      <sz val="11.0"/>
      <color rgb="FF999999"/>
      <name val="Inconsolata"/>
    </font>
    <font>
      <i/>
      <sz val="11.0"/>
      <color rgb="FF666666"/>
      <name val="Arial"/>
    </font>
    <font>
      <color rgb="FF666666"/>
      <name val="Calibri"/>
    </font>
    <font>
      <b/>
      <color rgb="FF999999"/>
      <name val="Arial"/>
    </font>
    <font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sz val="12.0"/>
      <color rgb="FF666666"/>
      <name val="Arial"/>
    </font>
    <font>
      <sz val="11.0"/>
      <color rgb="FF333333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E7EEF8"/>
        <bgColor rgb="FFE7EEF8"/>
      </patternFill>
    </fill>
  </fills>
  <borders count="1">
    <border/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left" readingOrder="0"/>
    </xf>
    <xf borderId="0" fillId="0" fontId="1" numFmtId="0" xfId="0" applyAlignment="1" applyFont="1">
      <alignment shrinkToFit="0" vertical="bottom" wrapText="0"/>
    </xf>
    <xf borderId="0" fillId="2" fontId="5" numFmtId="0" xfId="0" applyAlignment="1" applyFill="1" applyFont="1">
      <alignment shrinkToFit="0" vertical="bottom" wrapText="0"/>
    </xf>
    <xf borderId="0" fillId="2" fontId="6" numFmtId="0" xfId="0" applyAlignment="1" applyFont="1">
      <alignment shrinkToFit="0" vertical="bottom" wrapText="0"/>
    </xf>
    <xf borderId="0" fillId="0" fontId="7" numFmtId="0" xfId="0" applyAlignment="1" applyFont="1">
      <alignment readingOrder="0"/>
    </xf>
    <xf borderId="0" fillId="0" fontId="1" numFmtId="0" xfId="0" applyAlignment="1" applyFont="1">
      <alignment vertical="bottom"/>
    </xf>
    <xf borderId="0" fillId="3" fontId="1" numFmtId="0" xfId="0" applyAlignment="1" applyFill="1" applyFont="1">
      <alignment vertical="bottom"/>
    </xf>
    <xf borderId="0" fillId="0" fontId="8" numFmtId="0" xfId="0" applyAlignment="1" applyFont="1">
      <alignment shrinkToFit="0" vertical="bottom" wrapText="0"/>
    </xf>
    <xf borderId="0" fillId="0" fontId="1" numFmtId="9" xfId="0" applyAlignment="1" applyFont="1" applyNumberFormat="1">
      <alignment vertical="bottom"/>
    </xf>
    <xf borderId="0" fillId="4" fontId="9" numFmtId="0" xfId="0" applyAlignment="1" applyFill="1" applyFont="1">
      <alignment vertical="bottom"/>
    </xf>
    <xf borderId="0" fillId="0" fontId="9" numFmtId="0" xfId="0" applyAlignment="1" applyFont="1">
      <alignment horizontal="right" vertical="bottom"/>
    </xf>
    <xf borderId="0" fillId="0" fontId="8" numFmtId="0" xfId="0" applyAlignment="1" applyFont="1">
      <alignment horizontal="right" vertical="bottom"/>
    </xf>
    <xf borderId="0" fillId="2" fontId="10" numFmtId="9" xfId="0" applyAlignment="1" applyFont="1" applyNumberFormat="1">
      <alignment horizontal="right" vertical="bottom"/>
    </xf>
    <xf borderId="0" fillId="5" fontId="1" numFmtId="0" xfId="0" applyAlignment="1" applyFill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4" fontId="1" numFmtId="0" xfId="0" applyAlignment="1" applyFont="1">
      <alignment vertical="bottom"/>
    </xf>
    <xf borderId="0" fillId="5" fontId="1" numFmtId="0" xfId="0" applyAlignment="1" applyFont="1">
      <alignment horizontal="right" vertical="bottom"/>
    </xf>
    <xf borderId="0" fillId="0" fontId="11" numFmtId="0" xfId="0" applyAlignment="1" applyFont="1">
      <alignment vertical="bottom"/>
    </xf>
    <xf borderId="0" fillId="0" fontId="12" numFmtId="0" xfId="0" applyAlignment="1" applyFont="1">
      <alignment horizontal="right" vertical="bottom"/>
    </xf>
    <xf borderId="0" fillId="0" fontId="13" numFmtId="0" xfId="0" applyAlignment="1" applyFont="1">
      <alignment shrinkToFit="0" vertical="bottom" wrapText="0"/>
    </xf>
    <xf borderId="0" fillId="0" fontId="14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16" numFmtId="0" xfId="0" applyAlignment="1" applyFont="1">
      <alignment horizontal="right" vertical="bottom"/>
    </xf>
    <xf borderId="0" fillId="0" fontId="16" numFmtId="9" xfId="0" applyAlignment="1" applyFont="1" applyNumberFormat="1">
      <alignment horizontal="right" vertical="bottom"/>
    </xf>
    <xf borderId="0" fillId="0" fontId="16" numFmtId="0" xfId="0" applyAlignment="1" applyFont="1">
      <alignment vertical="bottom"/>
    </xf>
    <xf borderId="0" fillId="0" fontId="16" numFmtId="4" xfId="0" applyAlignment="1" applyFont="1" applyNumberFormat="1">
      <alignment horizontal="right" vertical="bottom"/>
    </xf>
    <xf borderId="0" fillId="0" fontId="17" numFmtId="0" xfId="0" applyAlignment="1" applyFont="1">
      <alignment horizontal="center" vertical="bottom"/>
    </xf>
    <xf borderId="0" fillId="0" fontId="17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8" numFmtId="0" xfId="0" applyAlignment="1" applyFont="1">
      <alignment readingOrder="0" vertical="bottom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180975</xdr:colOff>
      <xdr:row>49</xdr:row>
      <xdr:rowOff>152400</xdr:rowOff>
    </xdr:from>
    <xdr:ext cx="2533650" cy="2533650"/>
    <xdr:pic>
      <xdr:nvPicPr>
        <xdr:cNvPr id="2059691078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56.75"/>
    <col customWidth="1" min="3" max="3" width="9.75"/>
    <col customWidth="1" min="4" max="4" width="4.75"/>
  </cols>
  <sheetData>
    <row r="1">
      <c r="A1" s="1"/>
      <c r="B1" s="2" t="s">
        <v>0</v>
      </c>
      <c r="C1" s="3" t="s">
        <v>1</v>
      </c>
    </row>
    <row r="2">
      <c r="A2" s="4">
        <v>1.0</v>
      </c>
      <c r="B2" s="1" t="s">
        <v>2</v>
      </c>
      <c r="C2" s="5">
        <v>184.0</v>
      </c>
      <c r="D2" s="6" t="s">
        <v>3</v>
      </c>
      <c r="F2" s="1"/>
      <c r="G2" s="7"/>
    </row>
    <row r="3">
      <c r="A3" s="4">
        <v>2.0</v>
      </c>
      <c r="B3" s="1" t="s">
        <v>4</v>
      </c>
      <c r="C3" s="5">
        <v>173.0</v>
      </c>
      <c r="D3" s="6" t="s">
        <v>3</v>
      </c>
      <c r="F3" s="1"/>
      <c r="G3" s="7"/>
    </row>
    <row r="4">
      <c r="A4" s="4">
        <v>3.0</v>
      </c>
      <c r="B4" s="1" t="s">
        <v>5</v>
      </c>
      <c r="C4" s="5">
        <v>171.0</v>
      </c>
      <c r="D4" s="6" t="s">
        <v>3</v>
      </c>
      <c r="F4" s="1"/>
      <c r="G4" s="7"/>
    </row>
    <row r="5">
      <c r="A5" s="4">
        <v>4.0</v>
      </c>
      <c r="B5" s="1" t="s">
        <v>6</v>
      </c>
      <c r="C5" s="5">
        <v>170.0</v>
      </c>
      <c r="D5" s="6" t="s">
        <v>3</v>
      </c>
      <c r="F5" s="1"/>
      <c r="G5" s="7"/>
    </row>
    <row r="6">
      <c r="A6" s="4">
        <v>5.0</v>
      </c>
      <c r="B6" s="1" t="s">
        <v>7</v>
      </c>
      <c r="C6" s="5">
        <v>169.0</v>
      </c>
      <c r="D6" s="6" t="s">
        <v>3</v>
      </c>
      <c r="F6" s="1"/>
      <c r="G6" s="7"/>
    </row>
    <row r="7">
      <c r="A7" s="4">
        <v>6.0</v>
      </c>
      <c r="B7" s="1" t="s">
        <v>8</v>
      </c>
      <c r="C7" s="5">
        <v>167.0</v>
      </c>
      <c r="D7" s="6" t="s">
        <v>3</v>
      </c>
      <c r="F7" s="1"/>
      <c r="G7" s="7"/>
    </row>
    <row r="8">
      <c r="A8" s="4">
        <v>7.0</v>
      </c>
      <c r="B8" s="1" t="s">
        <v>9</v>
      </c>
      <c r="C8" s="5">
        <v>165.0</v>
      </c>
      <c r="D8" s="6" t="s">
        <v>3</v>
      </c>
      <c r="F8" s="1"/>
      <c r="G8" s="7"/>
    </row>
    <row r="9">
      <c r="A9" s="4">
        <v>8.0</v>
      </c>
      <c r="B9" s="1" t="s">
        <v>10</v>
      </c>
      <c r="C9" s="8">
        <v>161.0</v>
      </c>
      <c r="D9" s="6" t="s">
        <v>3</v>
      </c>
      <c r="F9" s="1"/>
      <c r="G9" s="7"/>
    </row>
    <row r="10">
      <c r="A10" s="4">
        <v>9.0</v>
      </c>
      <c r="B10" s="1" t="s">
        <v>11</v>
      </c>
      <c r="C10" s="8">
        <v>160.0</v>
      </c>
      <c r="D10" s="6" t="s">
        <v>3</v>
      </c>
      <c r="F10" s="1"/>
      <c r="G10" s="7"/>
    </row>
    <row r="11">
      <c r="A11" s="4">
        <v>10.0</v>
      </c>
      <c r="B11" s="1" t="s">
        <v>12</v>
      </c>
      <c r="C11" s="5">
        <v>160.0</v>
      </c>
      <c r="D11" s="6" t="s">
        <v>3</v>
      </c>
      <c r="F11" s="1"/>
      <c r="G11" s="7"/>
    </row>
    <row r="12">
      <c r="A12" s="4">
        <v>11.0</v>
      </c>
      <c r="B12" s="1" t="s">
        <v>13</v>
      </c>
      <c r="C12" s="5">
        <v>158.0</v>
      </c>
      <c r="D12" s="6" t="s">
        <v>3</v>
      </c>
      <c r="F12" s="1"/>
      <c r="G12" s="7"/>
    </row>
    <row r="13">
      <c r="A13" s="8">
        <v>12.0</v>
      </c>
      <c r="B13" s="1" t="s">
        <v>14</v>
      </c>
      <c r="C13" s="5">
        <v>150.0</v>
      </c>
      <c r="D13" s="6" t="s">
        <v>3</v>
      </c>
      <c r="F13" s="1"/>
      <c r="G13" s="7"/>
    </row>
    <row r="14">
      <c r="A14" s="8">
        <v>13.0</v>
      </c>
      <c r="B14" s="1" t="s">
        <v>15</v>
      </c>
      <c r="C14" s="5">
        <v>150.0</v>
      </c>
      <c r="D14" s="6" t="s">
        <v>3</v>
      </c>
      <c r="F14" s="1"/>
      <c r="G14" s="7"/>
    </row>
    <row r="15">
      <c r="A15" s="4">
        <v>14.0</v>
      </c>
      <c r="B15" s="1" t="s">
        <v>16</v>
      </c>
      <c r="C15" s="8">
        <v>149.0</v>
      </c>
      <c r="D15" s="6" t="s">
        <v>3</v>
      </c>
      <c r="F15" s="1"/>
      <c r="G15" s="7"/>
    </row>
    <row r="16">
      <c r="A16" s="4">
        <v>15.0</v>
      </c>
      <c r="B16" s="1" t="s">
        <v>17</v>
      </c>
      <c r="C16" s="5">
        <v>144.0</v>
      </c>
      <c r="D16" s="6" t="s">
        <v>3</v>
      </c>
      <c r="F16" s="1"/>
      <c r="G16" s="7"/>
    </row>
    <row r="17">
      <c r="A17" s="4">
        <v>16.0</v>
      </c>
      <c r="B17" s="1" t="s">
        <v>18</v>
      </c>
      <c r="C17" s="5">
        <v>143.0</v>
      </c>
      <c r="D17" s="6" t="s">
        <v>3</v>
      </c>
      <c r="F17" s="1"/>
      <c r="G17" s="7"/>
    </row>
    <row r="18">
      <c r="A18" s="4">
        <v>17.0</v>
      </c>
      <c r="B18" s="1" t="s">
        <v>19</v>
      </c>
      <c r="C18" s="5">
        <v>142.0</v>
      </c>
      <c r="D18" s="6" t="s">
        <v>3</v>
      </c>
      <c r="F18" s="1"/>
      <c r="G18" s="7"/>
    </row>
    <row r="19">
      <c r="A19" s="4">
        <v>18.0</v>
      </c>
      <c r="B19" s="1" t="s">
        <v>20</v>
      </c>
      <c r="C19" s="5">
        <v>139.0</v>
      </c>
      <c r="D19" s="6" t="s">
        <v>3</v>
      </c>
      <c r="F19" s="1"/>
      <c r="G19" s="7"/>
    </row>
    <row r="20">
      <c r="A20" s="4">
        <v>19.0</v>
      </c>
      <c r="B20" s="1" t="s">
        <v>21</v>
      </c>
      <c r="C20" s="5">
        <v>136.0</v>
      </c>
      <c r="D20" s="6" t="s">
        <v>3</v>
      </c>
      <c r="F20" s="1"/>
      <c r="G20" s="7"/>
    </row>
    <row r="21">
      <c r="A21" s="4">
        <v>20.0</v>
      </c>
      <c r="B21" s="1" t="s">
        <v>22</v>
      </c>
      <c r="C21" s="5">
        <v>135.0</v>
      </c>
      <c r="D21" s="6" t="s">
        <v>3</v>
      </c>
      <c r="F21" s="1"/>
      <c r="G21" s="7"/>
    </row>
    <row r="22">
      <c r="A22" s="4">
        <v>21.0</v>
      </c>
      <c r="B22" s="1" t="s">
        <v>23</v>
      </c>
      <c r="C22" s="5">
        <v>133.0</v>
      </c>
      <c r="D22" s="6" t="s">
        <v>3</v>
      </c>
      <c r="F22" s="1"/>
      <c r="G22" s="7"/>
    </row>
    <row r="23">
      <c r="A23" s="4">
        <v>22.0</v>
      </c>
      <c r="B23" s="1" t="s">
        <v>24</v>
      </c>
      <c r="C23" s="5">
        <v>132.0</v>
      </c>
      <c r="D23" s="6" t="s">
        <v>3</v>
      </c>
      <c r="F23" s="1"/>
      <c r="G23" s="7"/>
    </row>
    <row r="24">
      <c r="A24" s="4">
        <v>23.0</v>
      </c>
      <c r="B24" s="1" t="s">
        <v>25</v>
      </c>
      <c r="C24" s="5">
        <v>131.0</v>
      </c>
      <c r="D24" s="6" t="s">
        <v>3</v>
      </c>
      <c r="F24" s="1"/>
      <c r="G24" s="7"/>
    </row>
    <row r="25">
      <c r="A25" s="4">
        <v>24.0</v>
      </c>
      <c r="B25" s="1" t="s">
        <v>26</v>
      </c>
      <c r="C25" s="5">
        <v>131.0</v>
      </c>
      <c r="D25" s="6" t="s">
        <v>3</v>
      </c>
      <c r="F25" s="1"/>
      <c r="G25" s="7"/>
    </row>
    <row r="26">
      <c r="A26" s="4" t="s">
        <v>27</v>
      </c>
      <c r="B26" s="1" t="s">
        <v>28</v>
      </c>
      <c r="C26" s="5">
        <v>129.0</v>
      </c>
      <c r="D26" s="6" t="s">
        <v>3</v>
      </c>
      <c r="F26" s="1"/>
      <c r="G26" s="7"/>
    </row>
    <row r="27">
      <c r="A27" s="4">
        <v>25.0</v>
      </c>
      <c r="B27" s="1" t="s">
        <v>29</v>
      </c>
      <c r="C27" s="5">
        <v>127.0</v>
      </c>
      <c r="D27" s="6" t="s">
        <v>3</v>
      </c>
      <c r="F27" s="1"/>
      <c r="G27" s="7"/>
    </row>
    <row r="28">
      <c r="A28" s="9">
        <v>26.0</v>
      </c>
      <c r="B28" s="1" t="s">
        <v>30</v>
      </c>
      <c r="C28" s="5">
        <v>126.0</v>
      </c>
      <c r="D28" s="6" t="s">
        <v>3</v>
      </c>
      <c r="F28" s="1"/>
      <c r="G28" s="7"/>
    </row>
    <row r="29">
      <c r="A29" s="4">
        <v>27.0</v>
      </c>
      <c r="B29" s="1" t="s">
        <v>31</v>
      </c>
      <c r="C29" s="5">
        <v>122.0</v>
      </c>
      <c r="D29" s="6" t="s">
        <v>3</v>
      </c>
      <c r="F29" s="1"/>
      <c r="G29" s="7"/>
    </row>
    <row r="30">
      <c r="A30" s="4">
        <v>28.0</v>
      </c>
      <c r="B30" s="1" t="s">
        <v>32</v>
      </c>
      <c r="C30" s="8">
        <v>121.0</v>
      </c>
      <c r="D30" s="6" t="s">
        <v>3</v>
      </c>
      <c r="F30" s="1"/>
      <c r="G30" s="7"/>
    </row>
    <row r="31">
      <c r="A31" s="9">
        <v>29.0</v>
      </c>
      <c r="B31" s="1" t="s">
        <v>33</v>
      </c>
      <c r="C31" s="5">
        <v>120.0</v>
      </c>
      <c r="D31" s="6" t="s">
        <v>3</v>
      </c>
      <c r="F31" s="1"/>
      <c r="G31" s="7"/>
    </row>
    <row r="32">
      <c r="A32" s="9">
        <v>30.0</v>
      </c>
      <c r="B32" s="1" t="s">
        <v>34</v>
      </c>
      <c r="C32" s="5">
        <v>120.0</v>
      </c>
      <c r="D32" s="6" t="s">
        <v>3</v>
      </c>
      <c r="F32" s="1"/>
      <c r="G32" s="7"/>
    </row>
    <row r="33">
      <c r="A33" s="9">
        <v>31.0</v>
      </c>
      <c r="B33" s="1" t="s">
        <v>35</v>
      </c>
      <c r="C33" s="5">
        <v>120.0</v>
      </c>
      <c r="D33" s="6" t="s">
        <v>3</v>
      </c>
      <c r="F33" s="1"/>
      <c r="G33" s="7"/>
    </row>
    <row r="34">
      <c r="A34" s="4">
        <v>32.0</v>
      </c>
      <c r="B34" s="1" t="s">
        <v>36</v>
      </c>
      <c r="C34" s="5">
        <v>119.0</v>
      </c>
      <c r="D34" s="6" t="s">
        <v>3</v>
      </c>
      <c r="F34" s="1"/>
      <c r="G34" s="7"/>
    </row>
    <row r="35">
      <c r="A35" s="4">
        <v>33.0</v>
      </c>
      <c r="B35" s="1" t="s">
        <v>37</v>
      </c>
      <c r="C35" s="5">
        <v>119.0</v>
      </c>
      <c r="D35" s="6" t="s">
        <v>3</v>
      </c>
      <c r="F35" s="1"/>
      <c r="G35" s="7"/>
    </row>
    <row r="36">
      <c r="A36" s="9">
        <v>34.0</v>
      </c>
      <c r="B36" s="1" t="s">
        <v>38</v>
      </c>
      <c r="C36" s="5">
        <v>111.0</v>
      </c>
      <c r="D36" s="6" t="s">
        <v>3</v>
      </c>
      <c r="F36" s="1"/>
      <c r="G36" s="7"/>
    </row>
    <row r="37">
      <c r="A37" s="4">
        <v>35.0</v>
      </c>
      <c r="B37" s="1" t="s">
        <v>39</v>
      </c>
      <c r="C37" s="8">
        <v>108.0</v>
      </c>
      <c r="D37" s="6" t="s">
        <v>3</v>
      </c>
      <c r="F37" s="1"/>
      <c r="G37" s="7"/>
    </row>
    <row r="38">
      <c r="A38" s="9">
        <v>36.0</v>
      </c>
      <c r="B38" s="1" t="s">
        <v>40</v>
      </c>
      <c r="C38" s="5">
        <v>108.0</v>
      </c>
      <c r="D38" s="6" t="s">
        <v>3</v>
      </c>
      <c r="F38" s="1"/>
      <c r="G38" s="7"/>
    </row>
    <row r="39">
      <c r="A39" s="4">
        <v>37.0</v>
      </c>
      <c r="B39" s="1" t="s">
        <v>41</v>
      </c>
      <c r="C39" s="5">
        <v>106.0</v>
      </c>
      <c r="D39" s="6" t="s">
        <v>3</v>
      </c>
      <c r="F39" s="1"/>
      <c r="G39" s="7"/>
    </row>
    <row r="40">
      <c r="A40" s="9">
        <v>38.0</v>
      </c>
      <c r="B40" s="1" t="s">
        <v>42</v>
      </c>
      <c r="C40" s="8">
        <v>104.0</v>
      </c>
      <c r="D40" s="6" t="s">
        <v>3</v>
      </c>
      <c r="F40" s="1"/>
      <c r="G40" s="7"/>
    </row>
    <row r="41">
      <c r="A41" s="10"/>
      <c r="B41" s="11"/>
      <c r="C41" s="10"/>
    </row>
    <row r="42">
      <c r="A42" s="10"/>
      <c r="B42" s="11"/>
      <c r="C42" s="10"/>
    </row>
    <row r="43">
      <c r="A43" s="10"/>
      <c r="B43" s="11"/>
      <c r="C43" s="10"/>
    </row>
    <row r="44">
      <c r="A44" s="10"/>
      <c r="B44" s="11"/>
      <c r="C44" s="10"/>
    </row>
    <row r="45">
      <c r="A45" s="10"/>
      <c r="B45" s="11"/>
      <c r="C45" s="10"/>
    </row>
    <row r="46">
      <c r="A46" s="10"/>
      <c r="B46" s="11"/>
      <c r="C46" s="10"/>
    </row>
    <row r="47">
      <c r="A47" s="10"/>
      <c r="B47" s="11"/>
      <c r="C47" s="10"/>
    </row>
    <row r="48">
      <c r="A48" s="10"/>
      <c r="B48" s="11"/>
      <c r="C48" s="10"/>
    </row>
    <row r="49">
      <c r="A49" s="10"/>
      <c r="B49" s="11"/>
      <c r="C49" s="10"/>
    </row>
    <row r="50">
      <c r="A50" s="10"/>
      <c r="B50" s="11"/>
      <c r="C50" s="10"/>
    </row>
    <row r="51">
      <c r="A51" s="10"/>
      <c r="B51" s="11"/>
      <c r="C51" s="10"/>
    </row>
    <row r="52">
      <c r="A52" s="12"/>
      <c r="B52" s="11"/>
      <c r="C52" s="10"/>
    </row>
    <row r="53">
      <c r="A53" s="13"/>
      <c r="B53" s="11"/>
      <c r="C53" s="10"/>
    </row>
    <row r="54">
      <c r="A54" s="12"/>
      <c r="B54" s="11"/>
      <c r="C54" s="10"/>
    </row>
    <row r="55">
      <c r="B55" s="11"/>
      <c r="C55" s="10"/>
    </row>
    <row r="56">
      <c r="B56" s="11"/>
      <c r="C56" s="10"/>
    </row>
    <row r="57">
      <c r="B57" s="11"/>
      <c r="C57" s="10"/>
    </row>
    <row r="58">
      <c r="B58" s="11"/>
      <c r="C58" s="10"/>
    </row>
    <row r="59">
      <c r="B59" s="11"/>
      <c r="C59" s="10"/>
    </row>
    <row r="60">
      <c r="B60" s="11"/>
      <c r="C60" s="10"/>
    </row>
    <row r="61">
      <c r="B61" s="11"/>
      <c r="C61" s="10"/>
    </row>
    <row r="62">
      <c r="B62" s="11"/>
      <c r="C62" s="10"/>
    </row>
    <row r="63">
      <c r="B63" s="11"/>
      <c r="C63" s="10"/>
    </row>
    <row r="64">
      <c r="B64" s="11"/>
      <c r="C64" s="10"/>
    </row>
    <row r="65">
      <c r="B65" s="11"/>
      <c r="C65" s="10"/>
    </row>
    <row r="66">
      <c r="B66" s="11"/>
      <c r="C66" s="10"/>
    </row>
    <row r="67">
      <c r="B67" s="11"/>
      <c r="C67" s="10"/>
    </row>
    <row r="68">
      <c r="B68" s="11"/>
      <c r="C68" s="10"/>
    </row>
    <row r="69">
      <c r="B69" s="11"/>
      <c r="C69" s="10"/>
    </row>
    <row r="70">
      <c r="B70" s="11"/>
      <c r="C70" s="10"/>
    </row>
    <row r="71">
      <c r="B71" s="11"/>
      <c r="C71" s="10"/>
    </row>
    <row r="72">
      <c r="B72" s="11"/>
      <c r="C72" s="10"/>
    </row>
    <row r="73">
      <c r="B73" s="11"/>
      <c r="C73" s="10"/>
    </row>
    <row r="74">
      <c r="B74" s="11"/>
      <c r="C74" s="10"/>
    </row>
    <row r="75">
      <c r="B75" s="11"/>
      <c r="C75" s="10"/>
    </row>
    <row r="76">
      <c r="B76" s="11"/>
      <c r="C76" s="10"/>
    </row>
    <row r="77">
      <c r="B77" s="11"/>
      <c r="C77" s="10"/>
    </row>
    <row r="78">
      <c r="B78" s="11"/>
      <c r="C78" s="10"/>
    </row>
    <row r="79">
      <c r="B79" s="11"/>
      <c r="C79" s="10"/>
    </row>
    <row r="80">
      <c r="B80" s="11"/>
      <c r="C80" s="10"/>
    </row>
    <row r="81">
      <c r="B81" s="11"/>
      <c r="C81" s="10"/>
    </row>
    <row r="82">
      <c r="B82" s="11"/>
      <c r="C82" s="10"/>
    </row>
    <row r="83">
      <c r="B83" s="11"/>
      <c r="C83" s="10"/>
    </row>
    <row r="84">
      <c r="B84" s="11"/>
      <c r="C84" s="10"/>
    </row>
    <row r="85">
      <c r="B85" s="11"/>
      <c r="C85" s="10"/>
    </row>
    <row r="86">
      <c r="B86" s="11"/>
      <c r="C86" s="10"/>
    </row>
    <row r="87">
      <c r="B87" s="11"/>
      <c r="C87" s="10"/>
    </row>
    <row r="88">
      <c r="B88" s="11"/>
      <c r="C88" s="10"/>
    </row>
    <row r="89">
      <c r="B89" s="11"/>
      <c r="C89" s="10"/>
    </row>
    <row r="90">
      <c r="B90" s="11"/>
      <c r="C90" s="10"/>
    </row>
    <row r="91">
      <c r="A91" s="10"/>
      <c r="B91" s="11"/>
      <c r="C91" s="10"/>
    </row>
    <row r="92">
      <c r="A92" s="10"/>
      <c r="B92" s="11"/>
      <c r="C92" s="10"/>
    </row>
    <row r="93">
      <c r="A93" s="10"/>
      <c r="B93" s="11"/>
      <c r="C93" s="10"/>
    </row>
    <row r="94">
      <c r="A94" s="10"/>
      <c r="B94" s="11"/>
      <c r="C94" s="10"/>
    </row>
    <row r="95">
      <c r="A95" s="10"/>
      <c r="B95" s="11"/>
      <c r="C95" s="10"/>
    </row>
    <row r="96">
      <c r="A96" s="10"/>
      <c r="B96" s="11"/>
      <c r="C96" s="10"/>
    </row>
    <row r="97">
      <c r="A97" s="10"/>
      <c r="B97" s="11"/>
      <c r="C97" s="10"/>
    </row>
    <row r="98">
      <c r="A98" s="10"/>
      <c r="B98" s="11"/>
      <c r="C98" s="10"/>
    </row>
    <row r="99">
      <c r="A99" s="10"/>
      <c r="B99" s="11"/>
      <c r="C99" s="10"/>
    </row>
    <row r="100">
      <c r="A100" s="10"/>
      <c r="B100" s="11"/>
      <c r="C100" s="10"/>
    </row>
    <row r="101">
      <c r="A101" s="10"/>
      <c r="B101" s="11"/>
      <c r="C101" s="10"/>
    </row>
    <row r="102">
      <c r="A102" s="10"/>
      <c r="B102" s="11"/>
      <c r="C102" s="10"/>
    </row>
    <row r="103">
      <c r="A103" s="10"/>
      <c r="B103" s="11"/>
      <c r="C103" s="10"/>
    </row>
    <row r="104">
      <c r="A104" s="10"/>
      <c r="B104" s="11"/>
      <c r="C104" s="10"/>
    </row>
    <row r="105">
      <c r="A105" s="10"/>
      <c r="B105" s="11"/>
      <c r="C105" s="10"/>
    </row>
    <row r="106">
      <c r="A106" s="10"/>
      <c r="B106" s="11"/>
      <c r="C106" s="10"/>
    </row>
    <row r="107">
      <c r="A107" s="10"/>
      <c r="B107" s="11"/>
      <c r="C107" s="10"/>
    </row>
    <row r="108">
      <c r="A108" s="10"/>
      <c r="B108" s="11"/>
      <c r="C108" s="10"/>
    </row>
    <row r="109">
      <c r="A109" s="10"/>
      <c r="B109" s="11"/>
      <c r="C109" s="10"/>
    </row>
    <row r="110">
      <c r="A110" s="10"/>
      <c r="B110" s="11"/>
      <c r="C110" s="10"/>
    </row>
    <row r="111">
      <c r="A111" s="10"/>
      <c r="B111" s="11"/>
      <c r="C111" s="10"/>
    </row>
    <row r="112">
      <c r="A112" s="10"/>
      <c r="B112" s="11"/>
      <c r="C112" s="10"/>
    </row>
    <row r="113">
      <c r="A113" s="10"/>
      <c r="B113" s="11"/>
      <c r="C113" s="10"/>
    </row>
    <row r="114">
      <c r="A114" s="10"/>
      <c r="B114" s="11"/>
      <c r="C114" s="10"/>
    </row>
    <row r="115">
      <c r="A115" s="10"/>
      <c r="B115" s="11"/>
      <c r="C115" s="10"/>
    </row>
    <row r="116">
      <c r="A116" s="10"/>
      <c r="B116" s="11"/>
      <c r="C116" s="10"/>
    </row>
    <row r="117">
      <c r="A117" s="10"/>
      <c r="B117" s="11"/>
      <c r="C117" s="10"/>
    </row>
    <row r="118">
      <c r="A118" s="10"/>
      <c r="B118" s="11"/>
      <c r="C118" s="10"/>
    </row>
    <row r="119">
      <c r="A119" s="10"/>
      <c r="B119" s="11"/>
      <c r="C119" s="10"/>
    </row>
    <row r="120">
      <c r="A120" s="10"/>
      <c r="B120" s="11"/>
      <c r="C120" s="10"/>
    </row>
    <row r="121">
      <c r="A121" s="10"/>
      <c r="B121" s="11"/>
      <c r="C121" s="10"/>
    </row>
    <row r="122">
      <c r="A122" s="10"/>
      <c r="B122" s="11"/>
      <c r="C122" s="10"/>
    </row>
    <row r="123">
      <c r="A123" s="10"/>
      <c r="B123" s="11"/>
      <c r="C123" s="10"/>
    </row>
    <row r="124">
      <c r="A124" s="10"/>
      <c r="B124" s="11"/>
      <c r="C124" s="10"/>
    </row>
    <row r="125">
      <c r="A125" s="10"/>
      <c r="B125" s="11"/>
      <c r="C125" s="10"/>
    </row>
    <row r="126">
      <c r="A126" s="10"/>
      <c r="B126" s="11"/>
      <c r="C126" s="10"/>
    </row>
    <row r="127">
      <c r="A127" s="10"/>
      <c r="B127" s="11"/>
      <c r="C127" s="10"/>
    </row>
    <row r="128">
      <c r="A128" s="10"/>
      <c r="B128" s="11"/>
      <c r="C128" s="10"/>
    </row>
    <row r="129">
      <c r="A129" s="10"/>
      <c r="B129" s="11"/>
      <c r="C129" s="10"/>
    </row>
    <row r="130">
      <c r="A130" s="10"/>
      <c r="B130" s="11"/>
      <c r="C130" s="10"/>
    </row>
    <row r="131">
      <c r="A131" s="10"/>
      <c r="B131" s="11"/>
      <c r="C131" s="10"/>
    </row>
    <row r="132">
      <c r="A132" s="10"/>
      <c r="B132" s="11"/>
      <c r="C132" s="10"/>
    </row>
    <row r="133">
      <c r="A133" s="10"/>
      <c r="B133" s="11"/>
      <c r="C133" s="10"/>
    </row>
    <row r="134">
      <c r="A134" s="10"/>
      <c r="B134" s="11"/>
      <c r="C134" s="10"/>
    </row>
    <row r="135">
      <c r="A135" s="10"/>
      <c r="B135" s="11"/>
      <c r="C135" s="10"/>
    </row>
    <row r="136">
      <c r="A136" s="10"/>
      <c r="B136" s="11"/>
      <c r="C136" s="10"/>
    </row>
    <row r="137">
      <c r="A137" s="10"/>
      <c r="B137" s="11"/>
      <c r="C137" s="10"/>
    </row>
    <row r="138">
      <c r="A138" s="10"/>
      <c r="B138" s="11"/>
      <c r="C138" s="10"/>
      <c r="F138" s="14"/>
      <c r="G138" s="1"/>
      <c r="H138" s="1"/>
      <c r="I138" s="1"/>
      <c r="J138" s="1"/>
      <c r="K138" s="1"/>
      <c r="L138" s="1"/>
      <c r="M138" s="1"/>
      <c r="N138" s="1"/>
    </row>
    <row r="139">
      <c r="A139" s="10"/>
      <c r="B139" s="11"/>
      <c r="C139" s="10"/>
      <c r="F139" s="1"/>
      <c r="G139" s="1"/>
      <c r="H139" s="1"/>
      <c r="I139" s="1"/>
      <c r="J139" s="1"/>
      <c r="K139" s="1"/>
      <c r="L139" s="1"/>
      <c r="M139" s="1"/>
      <c r="N139" s="1"/>
    </row>
    <row r="140">
      <c r="A140" s="10"/>
      <c r="B140" s="11"/>
      <c r="C140" s="10"/>
      <c r="F140" s="14"/>
      <c r="G140" s="1"/>
      <c r="H140" s="1"/>
      <c r="I140" s="1"/>
      <c r="J140" s="1"/>
      <c r="K140" s="1"/>
      <c r="L140" s="1"/>
      <c r="M140" s="1"/>
      <c r="N140" s="1"/>
    </row>
    <row r="141">
      <c r="A141" s="10"/>
      <c r="B141" s="11"/>
      <c r="C141" s="10"/>
      <c r="F141" s="14"/>
      <c r="G141" s="1"/>
      <c r="H141" s="1"/>
      <c r="I141" s="1"/>
      <c r="J141" s="1"/>
      <c r="K141" s="1"/>
      <c r="L141" s="1"/>
      <c r="M141" s="1"/>
      <c r="N141" s="1"/>
    </row>
    <row r="142">
      <c r="A142" s="10"/>
      <c r="B142" s="11"/>
      <c r="C142" s="10"/>
      <c r="F142" s="14"/>
      <c r="G142" s="1"/>
      <c r="H142" s="1"/>
      <c r="I142" s="1"/>
      <c r="J142" s="1"/>
      <c r="K142" s="1"/>
      <c r="L142" s="1"/>
      <c r="M142" s="1"/>
      <c r="N142" s="1"/>
    </row>
    <row r="143">
      <c r="A143" s="10"/>
      <c r="B143" s="11"/>
      <c r="C143" s="10"/>
      <c r="F143" s="14"/>
      <c r="G143" s="1"/>
      <c r="H143" s="1"/>
      <c r="I143" s="1"/>
      <c r="J143" s="1"/>
      <c r="K143" s="1"/>
      <c r="L143" s="1"/>
      <c r="M143" s="1"/>
      <c r="N143" s="1"/>
    </row>
    <row r="144">
      <c r="A144" s="10"/>
      <c r="B144" s="11"/>
      <c r="C144" s="10"/>
      <c r="F144" s="14"/>
      <c r="G144" s="1"/>
      <c r="H144" s="1"/>
      <c r="I144" s="1"/>
      <c r="J144" s="1"/>
      <c r="K144" s="1"/>
      <c r="L144" s="1"/>
      <c r="M144" s="1"/>
      <c r="N144" s="1"/>
    </row>
    <row r="145">
      <c r="A145" s="10"/>
      <c r="B145" s="11"/>
      <c r="C145" s="10"/>
      <c r="F145" s="1"/>
      <c r="G145" s="1"/>
      <c r="H145" s="1"/>
      <c r="I145" s="1"/>
      <c r="J145" s="1"/>
      <c r="K145" s="1"/>
      <c r="L145" s="1"/>
      <c r="M145" s="1"/>
      <c r="N145" s="1"/>
    </row>
    <row r="146">
      <c r="A146" s="10"/>
      <c r="B146" s="11"/>
      <c r="C146" s="10"/>
      <c r="F146" s="15"/>
      <c r="G146" s="1"/>
      <c r="H146" s="1"/>
      <c r="I146" s="1"/>
      <c r="J146" s="1"/>
      <c r="K146" s="1"/>
      <c r="L146" s="1"/>
      <c r="M146" s="1"/>
      <c r="N146" s="1"/>
    </row>
    <row r="147">
      <c r="A147" s="10"/>
      <c r="B147" s="11"/>
      <c r="C147" s="10"/>
      <c r="F147" s="15"/>
      <c r="G147" s="1"/>
      <c r="H147" s="1"/>
      <c r="I147" s="1"/>
      <c r="J147" s="1"/>
      <c r="K147" s="1"/>
      <c r="L147" s="1"/>
      <c r="M147" s="1"/>
      <c r="N147" s="1"/>
    </row>
    <row r="148">
      <c r="A148" s="10"/>
      <c r="B148" s="11"/>
      <c r="C148" s="10"/>
      <c r="F148" s="15"/>
      <c r="G148" s="1"/>
      <c r="H148" s="1"/>
      <c r="I148" s="1"/>
      <c r="J148" s="1"/>
      <c r="K148" s="1"/>
      <c r="L148" s="1"/>
      <c r="M148" s="1"/>
      <c r="N148" s="1"/>
    </row>
    <row r="149">
      <c r="A149" s="10"/>
      <c r="B149" s="11"/>
      <c r="C149" s="10"/>
      <c r="F149" s="15"/>
      <c r="G149" s="1"/>
      <c r="H149" s="1"/>
      <c r="I149" s="1"/>
      <c r="J149" s="1"/>
      <c r="K149" s="1"/>
      <c r="L149" s="1"/>
      <c r="M149" s="1"/>
      <c r="N149" s="1"/>
    </row>
    <row r="150">
      <c r="A150" s="10"/>
      <c r="B150" s="11"/>
      <c r="C150" s="10"/>
      <c r="F150" s="15"/>
      <c r="G150" s="1"/>
      <c r="H150" s="1"/>
      <c r="I150" s="1"/>
      <c r="J150" s="1"/>
      <c r="K150" s="1"/>
      <c r="L150" s="1"/>
      <c r="M150" s="1"/>
      <c r="N150" s="1"/>
    </row>
    <row r="151">
      <c r="A151" s="10"/>
      <c r="B151" s="11"/>
      <c r="C151" s="10"/>
      <c r="F151" s="15"/>
      <c r="G151" s="1"/>
      <c r="H151" s="1"/>
      <c r="I151" s="1"/>
      <c r="J151" s="1"/>
      <c r="K151" s="1"/>
      <c r="L151" s="1"/>
      <c r="M151" s="1"/>
      <c r="N151" s="1"/>
    </row>
    <row r="152">
      <c r="A152" s="10"/>
      <c r="B152" s="11"/>
      <c r="C152" s="10"/>
      <c r="F152" s="15"/>
      <c r="G152" s="1"/>
      <c r="H152" s="1"/>
      <c r="I152" s="1"/>
      <c r="J152" s="1"/>
      <c r="K152" s="1"/>
      <c r="L152" s="1"/>
      <c r="M152" s="1"/>
      <c r="N152" s="1"/>
    </row>
    <row r="153">
      <c r="A153" s="10"/>
      <c r="B153" s="11"/>
      <c r="C153" s="10"/>
      <c r="F153" s="15"/>
      <c r="G153" s="1"/>
      <c r="H153" s="1"/>
      <c r="I153" s="1"/>
      <c r="J153" s="1"/>
      <c r="K153" s="1"/>
      <c r="L153" s="1"/>
      <c r="M153" s="1"/>
      <c r="N153" s="1"/>
    </row>
    <row r="154">
      <c r="A154" s="10"/>
      <c r="B154" s="11"/>
      <c r="C154" s="10"/>
      <c r="F154" s="15"/>
      <c r="G154" s="1"/>
      <c r="H154" s="1"/>
      <c r="I154" s="1"/>
      <c r="J154" s="1"/>
      <c r="K154" s="1"/>
      <c r="L154" s="1"/>
      <c r="M154" s="1"/>
      <c r="N154" s="1"/>
    </row>
    <row r="155">
      <c r="A155" s="10"/>
      <c r="B155" s="11"/>
      <c r="C155" s="10"/>
      <c r="F155" s="15"/>
      <c r="G155" s="1"/>
      <c r="H155" s="1"/>
      <c r="I155" s="1"/>
      <c r="J155" s="1"/>
      <c r="K155" s="1"/>
      <c r="L155" s="1"/>
      <c r="M155" s="1"/>
      <c r="N155" s="1"/>
    </row>
    <row r="156">
      <c r="A156" s="10"/>
      <c r="B156" s="11"/>
      <c r="C156" s="10"/>
      <c r="F156" s="15"/>
      <c r="G156" s="1"/>
      <c r="H156" s="1"/>
      <c r="I156" s="1"/>
      <c r="J156" s="1"/>
      <c r="K156" s="1"/>
      <c r="L156" s="1"/>
      <c r="M156" s="1"/>
      <c r="N156" s="1"/>
    </row>
    <row r="157">
      <c r="A157" s="10"/>
      <c r="B157" s="11"/>
      <c r="C157" s="10"/>
      <c r="F157" s="15"/>
      <c r="G157" s="1"/>
      <c r="H157" s="1"/>
      <c r="I157" s="1"/>
      <c r="J157" s="1"/>
      <c r="K157" s="1"/>
      <c r="L157" s="1"/>
      <c r="M157" s="1"/>
      <c r="N157" s="1"/>
    </row>
    <row r="158">
      <c r="A158" s="10"/>
      <c r="B158" s="11"/>
      <c r="C158" s="10"/>
      <c r="F158" s="15"/>
      <c r="G158" s="1"/>
      <c r="H158" s="1"/>
      <c r="I158" s="1"/>
      <c r="J158" s="1"/>
      <c r="K158" s="1"/>
      <c r="L158" s="1"/>
      <c r="M158" s="1"/>
      <c r="N158" s="1"/>
    </row>
    <row r="159">
      <c r="A159" s="10"/>
      <c r="B159" s="11"/>
      <c r="C159" s="10"/>
      <c r="F159" s="15"/>
      <c r="G159" s="1"/>
      <c r="H159" s="1"/>
      <c r="I159" s="1"/>
      <c r="J159" s="1"/>
      <c r="K159" s="1"/>
      <c r="L159" s="1"/>
      <c r="M159" s="1"/>
      <c r="N159" s="1"/>
    </row>
    <row r="160">
      <c r="A160" s="10"/>
      <c r="B160" s="11"/>
      <c r="C160" s="10"/>
      <c r="F160" s="15"/>
      <c r="G160" s="1"/>
      <c r="H160" s="1"/>
      <c r="I160" s="1"/>
      <c r="J160" s="1"/>
      <c r="K160" s="1"/>
      <c r="L160" s="1"/>
      <c r="M160" s="1"/>
      <c r="N160" s="1"/>
    </row>
    <row r="161">
      <c r="A161" s="10"/>
      <c r="B161" s="11"/>
      <c r="C161" s="10"/>
      <c r="F161" s="15"/>
      <c r="G161" s="1"/>
      <c r="H161" s="1"/>
      <c r="I161" s="1"/>
      <c r="J161" s="1"/>
      <c r="K161" s="1"/>
      <c r="L161" s="1"/>
      <c r="M161" s="1"/>
      <c r="N161" s="1"/>
    </row>
    <row r="162">
      <c r="A162" s="10"/>
      <c r="B162" s="11"/>
      <c r="C162" s="10"/>
      <c r="F162" s="15"/>
      <c r="G162" s="1"/>
      <c r="H162" s="1"/>
      <c r="I162" s="1"/>
      <c r="J162" s="1"/>
      <c r="K162" s="1"/>
      <c r="L162" s="1"/>
      <c r="M162" s="1"/>
      <c r="N162" s="1"/>
    </row>
    <row r="163">
      <c r="A163" s="10"/>
      <c r="B163" s="11"/>
      <c r="C163" s="10"/>
      <c r="F163" s="15"/>
      <c r="G163" s="1"/>
      <c r="H163" s="1"/>
      <c r="I163" s="1"/>
      <c r="J163" s="1"/>
      <c r="K163" s="1"/>
      <c r="L163" s="1"/>
      <c r="M163" s="1"/>
      <c r="N163" s="1"/>
    </row>
    <row r="164">
      <c r="A164" s="10"/>
      <c r="B164" s="11"/>
      <c r="C164" s="10"/>
      <c r="F164" s="15"/>
      <c r="G164" s="1"/>
      <c r="H164" s="1"/>
      <c r="I164" s="1"/>
      <c r="J164" s="1"/>
      <c r="K164" s="1"/>
      <c r="L164" s="1"/>
      <c r="M164" s="1"/>
      <c r="N164" s="1"/>
    </row>
    <row r="165">
      <c r="A165" s="10"/>
      <c r="B165" s="11"/>
      <c r="C165" s="10"/>
      <c r="F165" s="15"/>
      <c r="M165" s="1"/>
      <c r="N165" s="1"/>
    </row>
    <row r="166">
      <c r="A166" s="10"/>
      <c r="B166" s="11"/>
      <c r="C166" s="10"/>
      <c r="F166" s="15"/>
      <c r="M166" s="1"/>
      <c r="N166" s="1"/>
    </row>
    <row r="167">
      <c r="A167" s="10"/>
      <c r="B167" s="11"/>
      <c r="C167" s="10"/>
      <c r="F167" s="15"/>
      <c r="M167" s="1"/>
      <c r="N167" s="1"/>
    </row>
    <row r="168">
      <c r="A168" s="10"/>
      <c r="B168" s="11"/>
      <c r="C168" s="10"/>
      <c r="F168" s="15"/>
      <c r="M168" s="1"/>
      <c r="N168" s="1"/>
    </row>
    <row r="169">
      <c r="A169" s="10"/>
      <c r="B169" s="11"/>
      <c r="C169" s="10"/>
      <c r="F169" s="15"/>
      <c r="M169" s="1"/>
      <c r="N169" s="1"/>
    </row>
    <row r="170">
      <c r="A170" s="10"/>
      <c r="B170" s="11"/>
      <c r="C170" s="10"/>
      <c r="F170" s="15"/>
      <c r="L170" s="1"/>
      <c r="M170" s="1"/>
      <c r="N170" s="1"/>
    </row>
    <row r="171">
      <c r="A171" s="10"/>
      <c r="B171" s="11"/>
      <c r="C171" s="10"/>
      <c r="F171" s="15"/>
      <c r="L171" s="1"/>
      <c r="M171" s="1"/>
      <c r="N171" s="1"/>
    </row>
    <row r="172">
      <c r="A172" s="10"/>
      <c r="B172" s="11"/>
      <c r="C172" s="10"/>
      <c r="F172" s="15"/>
      <c r="L172" s="1"/>
    </row>
    <row r="173">
      <c r="A173" s="10"/>
      <c r="B173" s="11"/>
      <c r="C173" s="10"/>
      <c r="F173" s="15"/>
      <c r="L173" s="1"/>
    </row>
    <row r="174">
      <c r="A174" s="10"/>
      <c r="B174" s="11"/>
      <c r="C174" s="10"/>
      <c r="F174" s="15"/>
      <c r="L174" s="1"/>
    </row>
    <row r="175">
      <c r="A175" s="10"/>
      <c r="B175" s="11"/>
      <c r="C175" s="10"/>
      <c r="F175" s="15"/>
      <c r="L175" s="1"/>
    </row>
    <row r="176">
      <c r="A176" s="10"/>
      <c r="B176" s="11"/>
      <c r="C176" s="10"/>
      <c r="F176" s="15"/>
      <c r="L176" s="1"/>
    </row>
    <row r="177">
      <c r="A177" s="10"/>
      <c r="B177" s="11"/>
      <c r="C177" s="10"/>
      <c r="F177" s="15"/>
    </row>
    <row r="178">
      <c r="A178" s="10"/>
      <c r="B178" s="11"/>
      <c r="C178" s="10"/>
      <c r="F178" s="15"/>
    </row>
    <row r="179">
      <c r="A179" s="10"/>
      <c r="B179" s="11"/>
      <c r="C179" s="10"/>
      <c r="F179" s="15"/>
    </row>
    <row r="180">
      <c r="A180" s="10"/>
      <c r="B180" s="11"/>
      <c r="C180" s="10"/>
      <c r="F180" s="15"/>
    </row>
    <row r="181">
      <c r="A181" s="10"/>
      <c r="B181" s="11"/>
      <c r="C181" s="10"/>
    </row>
    <row r="182">
      <c r="A182" s="10"/>
      <c r="B182" s="11"/>
      <c r="C182" s="10"/>
      <c r="F182" s="14"/>
      <c r="G182" s="1"/>
      <c r="H182" s="1"/>
      <c r="I182" s="1"/>
      <c r="J182" s="1"/>
      <c r="K182" s="1"/>
    </row>
    <row r="183">
      <c r="A183" s="10"/>
      <c r="B183" s="11"/>
      <c r="C183" s="10"/>
      <c r="F183" s="14"/>
      <c r="G183" s="1"/>
      <c r="H183" s="1"/>
      <c r="I183" s="1"/>
      <c r="J183" s="1"/>
      <c r="K183" s="1"/>
    </row>
    <row r="184">
      <c r="A184" s="10"/>
      <c r="B184" s="11"/>
      <c r="C184" s="10"/>
      <c r="F184" s="1"/>
      <c r="G184" s="1"/>
      <c r="H184" s="1"/>
      <c r="I184" s="1"/>
      <c r="J184" s="1"/>
      <c r="K184" s="1"/>
    </row>
    <row r="185">
      <c r="A185" s="10"/>
      <c r="B185" s="11"/>
      <c r="C185" s="10"/>
      <c r="F185" s="14"/>
      <c r="G185" s="1"/>
      <c r="H185" s="1"/>
      <c r="I185" s="1"/>
      <c r="J185" s="1"/>
      <c r="K185" s="1"/>
    </row>
    <row r="186">
      <c r="A186" s="10"/>
      <c r="B186" s="11"/>
      <c r="C186" s="10"/>
      <c r="F186" s="1"/>
      <c r="G186" s="1"/>
      <c r="H186" s="1"/>
      <c r="I186" s="1"/>
      <c r="J186" s="1"/>
      <c r="K186" s="1"/>
    </row>
    <row r="187">
      <c r="A187" s="10"/>
      <c r="B187" s="11"/>
      <c r="C187" s="10"/>
      <c r="F187" s="16"/>
      <c r="G187" s="1"/>
      <c r="H187" s="1"/>
      <c r="I187" s="1"/>
      <c r="J187" s="1"/>
      <c r="K187" s="1"/>
    </row>
    <row r="188">
      <c r="A188" s="10"/>
      <c r="B188" s="11"/>
      <c r="C188" s="10"/>
      <c r="F188" s="17"/>
      <c r="G188" s="1"/>
      <c r="H188" s="1"/>
      <c r="I188" s="1"/>
      <c r="J188" s="1"/>
      <c r="K188" s="1"/>
    </row>
    <row r="189">
      <c r="A189" s="10"/>
      <c r="B189" s="11"/>
      <c r="C189" s="10"/>
    </row>
    <row r="190">
      <c r="A190" s="10"/>
      <c r="B190" s="11"/>
      <c r="C190" s="10"/>
    </row>
    <row r="191">
      <c r="A191" s="10"/>
      <c r="B191" s="11"/>
      <c r="C191" s="10"/>
    </row>
    <row r="192">
      <c r="A192" s="10"/>
      <c r="B192" s="11"/>
      <c r="C192" s="10"/>
    </row>
    <row r="193">
      <c r="A193" s="10"/>
      <c r="B193" s="11"/>
      <c r="C193" s="10"/>
    </row>
    <row r="194">
      <c r="A194" s="10"/>
      <c r="B194" s="11"/>
      <c r="C194" s="10"/>
    </row>
    <row r="195">
      <c r="A195" s="10"/>
      <c r="B195" s="11"/>
      <c r="C195" s="10"/>
    </row>
    <row r="196">
      <c r="A196" s="10"/>
      <c r="B196" s="11"/>
      <c r="C196" s="10"/>
    </row>
    <row r="197">
      <c r="A197" s="10"/>
      <c r="B197" s="11"/>
      <c r="C197" s="10"/>
    </row>
    <row r="198">
      <c r="A198" s="10"/>
      <c r="B198" s="11"/>
      <c r="C198" s="10"/>
    </row>
    <row r="199">
      <c r="A199" s="10"/>
      <c r="B199" s="11"/>
      <c r="C199" s="10"/>
    </row>
    <row r="200">
      <c r="A200" s="10"/>
      <c r="B200" s="11"/>
      <c r="C200" s="10"/>
    </row>
    <row r="201">
      <c r="A201" s="10"/>
      <c r="B201" s="11"/>
      <c r="C201" s="10"/>
    </row>
    <row r="202">
      <c r="A202" s="10"/>
      <c r="B202" s="11"/>
      <c r="C202" s="10"/>
    </row>
    <row r="203">
      <c r="A203" s="10"/>
      <c r="B203" s="11"/>
      <c r="C203" s="10"/>
    </row>
    <row r="204">
      <c r="A204" s="10"/>
      <c r="B204" s="11"/>
      <c r="C204" s="10"/>
    </row>
    <row r="205">
      <c r="A205" s="10"/>
      <c r="B205" s="11"/>
      <c r="C205" s="10"/>
    </row>
    <row r="206">
      <c r="A206" s="10"/>
      <c r="B206" s="11"/>
      <c r="C206" s="10"/>
    </row>
    <row r="207">
      <c r="A207" s="10"/>
      <c r="B207" s="11"/>
      <c r="C207" s="10"/>
    </row>
    <row r="208">
      <c r="A208" s="10"/>
      <c r="B208" s="11"/>
      <c r="C208" s="10"/>
    </row>
    <row r="209">
      <c r="A209" s="10"/>
      <c r="B209" s="11"/>
      <c r="C209" s="10"/>
    </row>
    <row r="210">
      <c r="A210" s="10"/>
      <c r="B210" s="11"/>
      <c r="C210" s="10"/>
    </row>
    <row r="211">
      <c r="A211" s="10"/>
      <c r="B211" s="11"/>
      <c r="C211" s="10"/>
    </row>
    <row r="212">
      <c r="A212" s="10"/>
      <c r="B212" s="11"/>
      <c r="C212" s="10"/>
    </row>
    <row r="213">
      <c r="A213" s="10"/>
      <c r="B213" s="11"/>
      <c r="C213" s="10"/>
    </row>
    <row r="214">
      <c r="A214" s="10"/>
      <c r="B214" s="11"/>
      <c r="C214" s="10"/>
    </row>
    <row r="215">
      <c r="A215" s="10"/>
      <c r="B215" s="11"/>
      <c r="C215" s="10"/>
    </row>
    <row r="216">
      <c r="A216" s="10"/>
      <c r="B216" s="11"/>
      <c r="C216" s="10"/>
    </row>
    <row r="217">
      <c r="A217" s="10"/>
      <c r="B217" s="11"/>
      <c r="C217" s="10"/>
    </row>
    <row r="218">
      <c r="A218" s="10"/>
      <c r="B218" s="11"/>
      <c r="C218" s="10"/>
    </row>
    <row r="219">
      <c r="A219" s="10"/>
      <c r="B219" s="11"/>
      <c r="C219" s="10"/>
    </row>
    <row r="220">
      <c r="A220" s="10"/>
      <c r="B220" s="11"/>
      <c r="C220" s="10"/>
    </row>
    <row r="221">
      <c r="A221" s="10"/>
      <c r="B221" s="11"/>
      <c r="C221" s="10"/>
    </row>
    <row r="222">
      <c r="A222" s="10"/>
      <c r="B222" s="11"/>
      <c r="C222" s="10"/>
    </row>
    <row r="223">
      <c r="A223" s="10"/>
      <c r="B223" s="11"/>
      <c r="C223" s="10"/>
    </row>
    <row r="224">
      <c r="A224" s="10"/>
      <c r="B224" s="11"/>
      <c r="C224" s="10"/>
    </row>
    <row r="225">
      <c r="A225" s="10"/>
      <c r="B225" s="11"/>
      <c r="C225" s="10"/>
    </row>
    <row r="226">
      <c r="A226" s="10"/>
      <c r="B226" s="11"/>
      <c r="C226" s="10"/>
    </row>
    <row r="227">
      <c r="A227" s="10"/>
      <c r="B227" s="11"/>
      <c r="C227" s="10"/>
    </row>
    <row r="228">
      <c r="A228" s="10"/>
      <c r="B228" s="11"/>
      <c r="C228" s="10"/>
    </row>
    <row r="229">
      <c r="A229" s="10"/>
      <c r="B229" s="11"/>
      <c r="C229" s="10"/>
    </row>
    <row r="230">
      <c r="A230" s="10"/>
      <c r="B230" s="11"/>
      <c r="C230" s="10"/>
    </row>
    <row r="231">
      <c r="A231" s="10"/>
      <c r="B231" s="11"/>
      <c r="C231" s="10"/>
    </row>
    <row r="232">
      <c r="A232" s="10"/>
      <c r="B232" s="11"/>
      <c r="C232" s="10"/>
    </row>
    <row r="233">
      <c r="A233" s="10"/>
      <c r="B233" s="11"/>
      <c r="C233" s="10"/>
    </row>
    <row r="234">
      <c r="A234" s="10"/>
      <c r="B234" s="11"/>
      <c r="C234" s="10"/>
    </row>
    <row r="235">
      <c r="A235" s="10"/>
      <c r="B235" s="11"/>
      <c r="C235" s="10"/>
    </row>
    <row r="236">
      <c r="A236" s="10"/>
      <c r="B236" s="11"/>
      <c r="C236" s="10"/>
    </row>
    <row r="237">
      <c r="A237" s="10"/>
      <c r="B237" s="11"/>
      <c r="C237" s="10"/>
    </row>
    <row r="238">
      <c r="A238" s="10"/>
      <c r="B238" s="11"/>
      <c r="C238" s="10"/>
    </row>
    <row r="239">
      <c r="A239" s="10"/>
      <c r="B239" s="11"/>
      <c r="C239" s="10"/>
    </row>
    <row r="240">
      <c r="A240" s="10"/>
      <c r="B240" s="11"/>
      <c r="C240" s="10"/>
    </row>
    <row r="241">
      <c r="A241" s="10"/>
      <c r="B241" s="11"/>
      <c r="C241" s="10"/>
    </row>
    <row r="242">
      <c r="A242" s="10"/>
      <c r="B242" s="11"/>
      <c r="C242" s="10"/>
    </row>
    <row r="243">
      <c r="A243" s="10"/>
      <c r="B243" s="11"/>
      <c r="C243" s="10"/>
    </row>
    <row r="244">
      <c r="A244" s="10"/>
      <c r="B244" s="11"/>
      <c r="C244" s="10"/>
    </row>
    <row r="245">
      <c r="A245" s="10"/>
      <c r="B245" s="11"/>
      <c r="C245" s="10"/>
    </row>
    <row r="246">
      <c r="A246" s="10"/>
      <c r="B246" s="11"/>
      <c r="C246" s="10"/>
    </row>
    <row r="247">
      <c r="A247" s="10"/>
      <c r="B247" s="11"/>
      <c r="C247" s="10"/>
    </row>
    <row r="248">
      <c r="A248" s="10"/>
      <c r="B248" s="11"/>
      <c r="C248" s="10"/>
    </row>
    <row r="249">
      <c r="A249" s="10"/>
      <c r="B249" s="11"/>
      <c r="C249" s="10"/>
    </row>
    <row r="250">
      <c r="A250" s="10"/>
      <c r="B250" s="11"/>
      <c r="C250" s="10"/>
    </row>
    <row r="251">
      <c r="A251" s="10"/>
      <c r="B251" s="11"/>
      <c r="C251" s="10"/>
    </row>
    <row r="252">
      <c r="A252" s="10"/>
      <c r="B252" s="11"/>
      <c r="C252" s="10"/>
    </row>
    <row r="253">
      <c r="A253" s="10"/>
      <c r="B253" s="11"/>
      <c r="C253" s="10"/>
    </row>
    <row r="254">
      <c r="A254" s="10"/>
      <c r="B254" s="11"/>
      <c r="C254" s="10"/>
    </row>
    <row r="255">
      <c r="A255" s="10"/>
      <c r="B255" s="11"/>
      <c r="C255" s="10"/>
    </row>
    <row r="256">
      <c r="A256" s="10"/>
      <c r="B256" s="11"/>
      <c r="C256" s="10"/>
    </row>
    <row r="257">
      <c r="A257" s="10"/>
      <c r="B257" s="11"/>
      <c r="C257" s="10"/>
    </row>
    <row r="258">
      <c r="A258" s="10"/>
      <c r="B258" s="11"/>
      <c r="C258" s="10"/>
    </row>
    <row r="259">
      <c r="A259" s="10"/>
      <c r="B259" s="11"/>
      <c r="C259" s="10"/>
    </row>
    <row r="260">
      <c r="A260" s="10"/>
      <c r="B260" s="11"/>
      <c r="C260" s="10"/>
    </row>
    <row r="261">
      <c r="A261" s="10"/>
      <c r="B261" s="11"/>
      <c r="C261" s="10"/>
    </row>
    <row r="262">
      <c r="A262" s="10"/>
      <c r="B262" s="11"/>
      <c r="C262" s="10"/>
    </row>
    <row r="263">
      <c r="A263" s="10"/>
      <c r="B263" s="11"/>
      <c r="C263" s="10"/>
    </row>
    <row r="264">
      <c r="A264" s="10"/>
      <c r="B264" s="11"/>
      <c r="C264" s="10"/>
    </row>
    <row r="265">
      <c r="A265" s="10"/>
      <c r="B265" s="11"/>
      <c r="C265" s="10"/>
    </row>
    <row r="266">
      <c r="A266" s="10"/>
      <c r="B266" s="11"/>
      <c r="C266" s="10"/>
    </row>
    <row r="267">
      <c r="A267" s="10"/>
      <c r="B267" s="11"/>
      <c r="C267" s="10"/>
    </row>
    <row r="268">
      <c r="A268" s="10"/>
      <c r="B268" s="11"/>
      <c r="C268" s="10"/>
    </row>
    <row r="269">
      <c r="A269" s="10"/>
      <c r="B269" s="11"/>
      <c r="C269" s="10"/>
    </row>
    <row r="270">
      <c r="A270" s="10"/>
      <c r="B270" s="11"/>
      <c r="C270" s="10"/>
    </row>
    <row r="271">
      <c r="A271" s="10"/>
      <c r="B271" s="11"/>
      <c r="C271" s="10"/>
    </row>
    <row r="272">
      <c r="A272" s="10"/>
      <c r="B272" s="11"/>
      <c r="C272" s="10"/>
    </row>
    <row r="273">
      <c r="A273" s="10"/>
      <c r="B273" s="11"/>
      <c r="C273" s="10"/>
    </row>
    <row r="274">
      <c r="A274" s="10"/>
      <c r="B274" s="11"/>
      <c r="C274" s="10"/>
    </row>
    <row r="275">
      <c r="A275" s="10"/>
      <c r="B275" s="11"/>
      <c r="C275" s="10"/>
    </row>
    <row r="276">
      <c r="A276" s="10"/>
      <c r="B276" s="11"/>
      <c r="C276" s="10"/>
    </row>
    <row r="277">
      <c r="A277" s="10"/>
      <c r="B277" s="11"/>
      <c r="C277" s="10"/>
    </row>
    <row r="278">
      <c r="A278" s="10"/>
      <c r="B278" s="11"/>
      <c r="C278" s="10"/>
    </row>
    <row r="279">
      <c r="A279" s="10"/>
      <c r="B279" s="11"/>
      <c r="C279" s="10"/>
    </row>
    <row r="280">
      <c r="A280" s="10"/>
      <c r="B280" s="11"/>
      <c r="C280" s="10"/>
    </row>
    <row r="281">
      <c r="A281" s="10"/>
      <c r="B281" s="11"/>
      <c r="C281" s="10"/>
    </row>
    <row r="282">
      <c r="A282" s="10"/>
      <c r="B282" s="11"/>
      <c r="C282" s="10"/>
    </row>
    <row r="283">
      <c r="A283" s="10"/>
      <c r="B283" s="11"/>
      <c r="C283" s="10"/>
    </row>
    <row r="284">
      <c r="A284" s="10"/>
      <c r="B284" s="11"/>
      <c r="C284" s="10"/>
    </row>
    <row r="285">
      <c r="A285" s="10"/>
      <c r="B285" s="11"/>
      <c r="C285" s="10"/>
    </row>
    <row r="286">
      <c r="A286" s="10"/>
      <c r="B286" s="11"/>
      <c r="C286" s="10"/>
    </row>
    <row r="287">
      <c r="A287" s="10"/>
      <c r="B287" s="11"/>
      <c r="C287" s="10"/>
    </row>
    <row r="288">
      <c r="A288" s="10"/>
      <c r="B288" s="11"/>
      <c r="C288" s="10"/>
    </row>
    <row r="289">
      <c r="A289" s="10"/>
      <c r="B289" s="11"/>
      <c r="C289" s="10"/>
    </row>
    <row r="290">
      <c r="A290" s="10"/>
      <c r="B290" s="11"/>
      <c r="C290" s="10"/>
    </row>
    <row r="291">
      <c r="A291" s="10"/>
      <c r="B291" s="11"/>
      <c r="C291" s="10"/>
    </row>
    <row r="292">
      <c r="A292" s="10"/>
      <c r="B292" s="11"/>
      <c r="C292" s="10"/>
    </row>
    <row r="293">
      <c r="A293" s="10"/>
      <c r="B293" s="11"/>
      <c r="C293" s="10"/>
    </row>
    <row r="294">
      <c r="A294" s="10"/>
      <c r="B294" s="11"/>
      <c r="C294" s="10"/>
    </row>
    <row r="295">
      <c r="A295" s="10"/>
      <c r="B295" s="11"/>
      <c r="C295" s="10"/>
    </row>
    <row r="296">
      <c r="A296" s="10"/>
      <c r="B296" s="11"/>
      <c r="C296" s="10"/>
    </row>
    <row r="297">
      <c r="A297" s="10"/>
      <c r="B297" s="11"/>
      <c r="C297" s="10"/>
    </row>
    <row r="298">
      <c r="A298" s="10"/>
      <c r="B298" s="11"/>
      <c r="C298" s="10"/>
    </row>
    <row r="299">
      <c r="A299" s="10"/>
      <c r="B299" s="11"/>
      <c r="C299" s="10"/>
    </row>
    <row r="300">
      <c r="A300" s="10"/>
      <c r="B300" s="11"/>
      <c r="C300" s="10"/>
    </row>
    <row r="301">
      <c r="A301" s="10"/>
      <c r="B301" s="11"/>
      <c r="C301" s="10"/>
    </row>
    <row r="302">
      <c r="A302" s="10"/>
      <c r="B302" s="11"/>
      <c r="C302" s="10"/>
    </row>
    <row r="303">
      <c r="A303" s="10"/>
      <c r="B303" s="11"/>
      <c r="C303" s="10"/>
    </row>
    <row r="304">
      <c r="A304" s="10"/>
      <c r="B304" s="11"/>
      <c r="C304" s="10"/>
    </row>
    <row r="305">
      <c r="A305" s="10"/>
      <c r="B305" s="11"/>
      <c r="C305" s="10"/>
    </row>
    <row r="306">
      <c r="A306" s="10"/>
      <c r="B306" s="11"/>
      <c r="C306" s="10"/>
    </row>
    <row r="307">
      <c r="A307" s="10"/>
      <c r="B307" s="11"/>
      <c r="C307" s="10"/>
    </row>
    <row r="308">
      <c r="A308" s="10"/>
      <c r="B308" s="11"/>
      <c r="C308" s="10"/>
    </row>
    <row r="309">
      <c r="A309" s="10"/>
      <c r="B309" s="11"/>
      <c r="C309" s="10"/>
    </row>
    <row r="310">
      <c r="A310" s="10"/>
      <c r="B310" s="11"/>
      <c r="C310" s="10"/>
    </row>
    <row r="311">
      <c r="A311" s="10"/>
      <c r="B311" s="11"/>
      <c r="C311" s="10"/>
    </row>
    <row r="312">
      <c r="A312" s="10"/>
      <c r="B312" s="11"/>
      <c r="C312" s="10"/>
    </row>
    <row r="313">
      <c r="A313" s="10"/>
      <c r="B313" s="11"/>
      <c r="C313" s="10"/>
    </row>
    <row r="314">
      <c r="A314" s="10"/>
      <c r="B314" s="11"/>
      <c r="C314" s="10"/>
    </row>
    <row r="315">
      <c r="A315" s="10"/>
      <c r="B315" s="11"/>
      <c r="C315" s="10"/>
    </row>
    <row r="316">
      <c r="A316" s="10"/>
      <c r="B316" s="11"/>
      <c r="C316" s="10"/>
    </row>
    <row r="317">
      <c r="A317" s="10"/>
      <c r="B317" s="11"/>
      <c r="C317" s="10"/>
    </row>
    <row r="318">
      <c r="A318" s="10"/>
      <c r="B318" s="11"/>
      <c r="C318" s="10"/>
    </row>
    <row r="319">
      <c r="A319" s="10"/>
      <c r="B319" s="11"/>
      <c r="C319" s="10"/>
    </row>
    <row r="320">
      <c r="A320" s="10"/>
      <c r="B320" s="11"/>
      <c r="C320" s="10"/>
    </row>
    <row r="321">
      <c r="A321" s="10"/>
      <c r="B321" s="11"/>
      <c r="C321" s="10"/>
    </row>
    <row r="322">
      <c r="A322" s="10"/>
      <c r="B322" s="11"/>
      <c r="C322" s="10"/>
    </row>
    <row r="323">
      <c r="A323" s="10"/>
      <c r="B323" s="11"/>
      <c r="C323" s="10"/>
    </row>
    <row r="324">
      <c r="A324" s="10"/>
      <c r="B324" s="11"/>
      <c r="C324" s="10"/>
    </row>
    <row r="325">
      <c r="A325" s="10"/>
      <c r="B325" s="11"/>
      <c r="C325" s="10"/>
    </row>
    <row r="326">
      <c r="A326" s="10"/>
      <c r="B326" s="11"/>
      <c r="C326" s="10"/>
    </row>
    <row r="327">
      <c r="A327" s="10"/>
      <c r="B327" s="11"/>
      <c r="C327" s="10"/>
    </row>
    <row r="328">
      <c r="A328" s="10"/>
      <c r="B328" s="11"/>
      <c r="C328" s="10"/>
    </row>
    <row r="329">
      <c r="A329" s="10"/>
      <c r="B329" s="11"/>
      <c r="C329" s="10"/>
    </row>
    <row r="330">
      <c r="A330" s="10"/>
      <c r="B330" s="11"/>
      <c r="C330" s="10"/>
    </row>
    <row r="331">
      <c r="A331" s="10"/>
      <c r="B331" s="11"/>
      <c r="C331" s="10"/>
    </row>
    <row r="332">
      <c r="A332" s="10"/>
      <c r="B332" s="11"/>
      <c r="C332" s="10"/>
    </row>
    <row r="333">
      <c r="A333" s="10"/>
      <c r="B333" s="11"/>
      <c r="C333" s="10"/>
    </row>
    <row r="334">
      <c r="A334" s="10"/>
      <c r="B334" s="11"/>
      <c r="C334" s="10"/>
    </row>
    <row r="335">
      <c r="A335" s="10"/>
      <c r="B335" s="11"/>
      <c r="C335" s="10"/>
    </row>
    <row r="336">
      <c r="A336" s="10"/>
      <c r="B336" s="11"/>
      <c r="C336" s="10"/>
    </row>
    <row r="337">
      <c r="A337" s="10"/>
      <c r="B337" s="11"/>
      <c r="C337" s="10"/>
    </row>
    <row r="338">
      <c r="A338" s="10"/>
      <c r="B338" s="11"/>
      <c r="C338" s="10"/>
    </row>
    <row r="339">
      <c r="A339" s="10"/>
      <c r="B339" s="11"/>
      <c r="C339" s="10"/>
    </row>
    <row r="340">
      <c r="A340" s="10"/>
      <c r="B340" s="11"/>
      <c r="C340" s="10"/>
    </row>
    <row r="341">
      <c r="A341" s="10"/>
      <c r="B341" s="11"/>
      <c r="C341" s="10"/>
    </row>
    <row r="342">
      <c r="A342" s="10"/>
      <c r="B342" s="11"/>
      <c r="C342" s="10"/>
    </row>
    <row r="343">
      <c r="A343" s="10"/>
      <c r="B343" s="11"/>
      <c r="C343" s="10"/>
    </row>
    <row r="344">
      <c r="A344" s="10"/>
      <c r="B344" s="11"/>
      <c r="C344" s="10"/>
    </row>
    <row r="345">
      <c r="A345" s="10"/>
      <c r="B345" s="11"/>
      <c r="C345" s="10"/>
    </row>
    <row r="346">
      <c r="A346" s="10"/>
      <c r="B346" s="11"/>
      <c r="C346" s="10"/>
    </row>
    <row r="347">
      <c r="A347" s="10"/>
      <c r="B347" s="11"/>
      <c r="C347" s="10"/>
    </row>
    <row r="348">
      <c r="A348" s="10"/>
      <c r="B348" s="11"/>
      <c r="C348" s="10"/>
    </row>
    <row r="349">
      <c r="A349" s="10"/>
      <c r="B349" s="11"/>
      <c r="C349" s="10"/>
    </row>
    <row r="350">
      <c r="A350" s="10"/>
      <c r="B350" s="11"/>
      <c r="C350" s="10"/>
    </row>
    <row r="351">
      <c r="A351" s="10"/>
      <c r="B351" s="11"/>
      <c r="C351" s="10"/>
    </row>
    <row r="352">
      <c r="A352" s="10"/>
      <c r="B352" s="11"/>
      <c r="C352" s="10"/>
    </row>
    <row r="353">
      <c r="A353" s="10"/>
      <c r="B353" s="11"/>
      <c r="C353" s="10"/>
    </row>
    <row r="354">
      <c r="A354" s="10"/>
      <c r="B354" s="11"/>
      <c r="C354" s="10"/>
    </row>
    <row r="355">
      <c r="A355" s="10"/>
      <c r="B355" s="11"/>
      <c r="C355" s="10"/>
    </row>
    <row r="356">
      <c r="A356" s="10"/>
      <c r="B356" s="11"/>
      <c r="C356" s="10"/>
    </row>
    <row r="357">
      <c r="A357" s="10"/>
      <c r="B357" s="11"/>
      <c r="C357" s="10"/>
    </row>
    <row r="358">
      <c r="A358" s="10"/>
      <c r="B358" s="11"/>
      <c r="C358" s="10"/>
    </row>
    <row r="359">
      <c r="A359" s="10"/>
      <c r="B359" s="11"/>
      <c r="C359" s="10"/>
    </row>
    <row r="360">
      <c r="A360" s="10"/>
      <c r="B360" s="11"/>
      <c r="C360" s="10"/>
    </row>
    <row r="361">
      <c r="A361" s="10"/>
      <c r="B361" s="11"/>
      <c r="C361" s="10"/>
      <c r="F361" s="11"/>
      <c r="G361" s="11"/>
    </row>
    <row r="362">
      <c r="A362" s="10"/>
      <c r="B362" s="11"/>
      <c r="C362" s="10"/>
      <c r="F362" s="11"/>
      <c r="G362" s="11"/>
    </row>
    <row r="363">
      <c r="A363" s="10"/>
      <c r="B363" s="11"/>
      <c r="C363" s="10"/>
      <c r="F363" s="11"/>
      <c r="G363" s="11"/>
    </row>
    <row r="364">
      <c r="A364" s="10"/>
      <c r="B364" s="11"/>
      <c r="C364" s="10"/>
      <c r="F364" s="11"/>
      <c r="G364" s="11"/>
    </row>
    <row r="365">
      <c r="A365" s="10"/>
      <c r="B365" s="11"/>
      <c r="C365" s="10"/>
      <c r="F365" s="11"/>
      <c r="G365" s="11"/>
    </row>
    <row r="366">
      <c r="A366" s="10"/>
      <c r="B366" s="11"/>
      <c r="C366" s="10"/>
      <c r="F366" s="11"/>
      <c r="G366" s="11"/>
    </row>
    <row r="367">
      <c r="A367" s="10"/>
      <c r="B367" s="11"/>
      <c r="C367" s="10"/>
      <c r="F367" s="11"/>
      <c r="G367" s="11"/>
    </row>
    <row r="368">
      <c r="A368" s="10"/>
      <c r="B368" s="11"/>
      <c r="C368" s="10"/>
      <c r="F368" s="11"/>
      <c r="G368" s="11"/>
    </row>
    <row r="369">
      <c r="A369" s="10"/>
      <c r="B369" s="11"/>
      <c r="C369" s="10"/>
      <c r="F369" s="11"/>
      <c r="G369" s="11"/>
    </row>
    <row r="370">
      <c r="A370" s="10"/>
      <c r="B370" s="11"/>
      <c r="C370" s="10"/>
      <c r="F370" s="11"/>
      <c r="G370" s="11"/>
    </row>
    <row r="371">
      <c r="A371" s="10"/>
      <c r="B371" s="11"/>
      <c r="C371" s="10"/>
      <c r="F371" s="11"/>
      <c r="G371" s="11"/>
    </row>
    <row r="372">
      <c r="A372" s="10"/>
      <c r="B372" s="11"/>
      <c r="C372" s="10"/>
      <c r="F372" s="11"/>
      <c r="G372" s="11"/>
    </row>
    <row r="373">
      <c r="A373" s="10"/>
      <c r="B373" s="11"/>
      <c r="C373" s="10"/>
      <c r="F373" s="11"/>
      <c r="G373" s="11"/>
    </row>
    <row r="374">
      <c r="A374" s="10"/>
      <c r="B374" s="11"/>
      <c r="C374" s="10"/>
      <c r="F374" s="11"/>
      <c r="G374" s="11"/>
    </row>
    <row r="375">
      <c r="A375" s="10"/>
      <c r="B375" s="11"/>
      <c r="C375" s="10"/>
      <c r="F375" s="11"/>
      <c r="G375" s="11"/>
    </row>
    <row r="376">
      <c r="A376" s="10"/>
      <c r="B376" s="11"/>
      <c r="C376" s="10"/>
      <c r="F376" s="11"/>
      <c r="G376" s="11"/>
    </row>
    <row r="377">
      <c r="A377" s="10"/>
      <c r="B377" s="11"/>
      <c r="C377" s="10"/>
      <c r="F377" s="11"/>
      <c r="G377" s="11"/>
    </row>
    <row r="378">
      <c r="A378" s="10"/>
      <c r="B378" s="11"/>
      <c r="C378" s="10"/>
      <c r="F378" s="11"/>
      <c r="G378" s="11"/>
    </row>
    <row r="379">
      <c r="A379" s="10"/>
      <c r="B379" s="11"/>
      <c r="C379" s="10"/>
      <c r="F379" s="11"/>
      <c r="G379" s="11"/>
    </row>
    <row r="380">
      <c r="A380" s="10"/>
      <c r="B380" s="11"/>
      <c r="C380" s="10"/>
      <c r="F380" s="11"/>
      <c r="G380" s="11"/>
    </row>
    <row r="381">
      <c r="A381" s="10"/>
      <c r="B381" s="11"/>
      <c r="C381" s="10"/>
      <c r="F381" s="11"/>
      <c r="G381" s="11"/>
    </row>
    <row r="382">
      <c r="A382" s="10"/>
      <c r="B382" s="11"/>
      <c r="C382" s="10"/>
      <c r="F382" s="11"/>
      <c r="G382" s="11"/>
    </row>
    <row r="383">
      <c r="A383" s="10"/>
      <c r="B383" s="11"/>
      <c r="C383" s="10"/>
      <c r="F383" s="11"/>
      <c r="G383" s="11"/>
    </row>
    <row r="384">
      <c r="A384" s="10"/>
      <c r="B384" s="11"/>
      <c r="C384" s="10"/>
      <c r="F384" s="11"/>
      <c r="G384" s="11"/>
    </row>
    <row r="385">
      <c r="A385" s="10"/>
      <c r="B385" s="11"/>
      <c r="C385" s="10"/>
      <c r="F385" s="11"/>
      <c r="G385" s="11"/>
    </row>
    <row r="386">
      <c r="A386" s="10"/>
      <c r="B386" s="11"/>
      <c r="C386" s="10"/>
      <c r="F386" s="11"/>
      <c r="G386" s="11"/>
    </row>
    <row r="387">
      <c r="A387" s="10"/>
      <c r="B387" s="11"/>
      <c r="C387" s="10"/>
      <c r="F387" s="11"/>
      <c r="G387" s="11"/>
    </row>
    <row r="388">
      <c r="A388" s="10"/>
      <c r="B388" s="11"/>
      <c r="C388" s="10"/>
      <c r="F388" s="11"/>
      <c r="G388" s="11"/>
    </row>
    <row r="389">
      <c r="A389" s="10"/>
      <c r="B389" s="11"/>
      <c r="C389" s="10"/>
      <c r="F389" s="11"/>
      <c r="G389" s="11"/>
    </row>
    <row r="390">
      <c r="A390" s="10"/>
      <c r="B390" s="11"/>
      <c r="C390" s="10"/>
      <c r="F390" s="11"/>
      <c r="G390" s="11"/>
    </row>
    <row r="391">
      <c r="A391" s="10"/>
      <c r="B391" s="11"/>
      <c r="C391" s="10"/>
      <c r="F391" s="11"/>
      <c r="G391" s="11"/>
    </row>
    <row r="392">
      <c r="A392" s="10"/>
      <c r="B392" s="11"/>
      <c r="C392" s="10"/>
      <c r="F392" s="11"/>
      <c r="G392" s="11"/>
    </row>
    <row r="393">
      <c r="A393" s="10"/>
      <c r="B393" s="11"/>
      <c r="C393" s="10"/>
      <c r="F393" s="11"/>
      <c r="G393" s="11"/>
    </row>
    <row r="394">
      <c r="A394" s="10"/>
      <c r="B394" s="11"/>
      <c r="C394" s="10"/>
      <c r="F394" s="11"/>
      <c r="G394" s="11"/>
    </row>
    <row r="395">
      <c r="A395" s="10"/>
      <c r="B395" s="11"/>
      <c r="C395" s="10"/>
      <c r="F395" s="11"/>
      <c r="G395" s="11"/>
    </row>
    <row r="396">
      <c r="A396" s="10"/>
      <c r="B396" s="11"/>
      <c r="C396" s="10"/>
      <c r="F396" s="11"/>
      <c r="G396" s="11"/>
    </row>
    <row r="397">
      <c r="A397" s="10"/>
      <c r="B397" s="11"/>
      <c r="C397" s="10"/>
      <c r="F397" s="11"/>
      <c r="G397" s="11"/>
    </row>
    <row r="398">
      <c r="A398" s="10"/>
      <c r="B398" s="11"/>
      <c r="C398" s="10"/>
      <c r="F398" s="11"/>
      <c r="G398" s="11"/>
    </row>
    <row r="399">
      <c r="A399" s="10"/>
      <c r="B399" s="11"/>
      <c r="C399" s="10"/>
      <c r="F399" s="11"/>
      <c r="G399" s="11"/>
    </row>
    <row r="400">
      <c r="A400" s="10"/>
      <c r="B400" s="11"/>
      <c r="C400" s="10"/>
    </row>
    <row r="401">
      <c r="A401" s="10"/>
      <c r="B401" s="11"/>
      <c r="C401" s="10"/>
    </row>
    <row r="402">
      <c r="A402" s="10"/>
      <c r="B402" s="11"/>
      <c r="C402" s="10"/>
    </row>
    <row r="403">
      <c r="A403" s="10"/>
      <c r="B403" s="11"/>
      <c r="C403" s="10"/>
    </row>
    <row r="404">
      <c r="A404" s="10"/>
      <c r="B404" s="11"/>
      <c r="C404" s="10"/>
    </row>
    <row r="405">
      <c r="C405" s="10"/>
    </row>
    <row r="406">
      <c r="C406" s="10"/>
    </row>
    <row r="407">
      <c r="C407" s="10"/>
    </row>
    <row r="408">
      <c r="C408" s="10"/>
    </row>
    <row r="409">
      <c r="C409" s="10"/>
    </row>
    <row r="410">
      <c r="C410" s="10"/>
    </row>
    <row r="411">
      <c r="C411" s="10"/>
    </row>
    <row r="412">
      <c r="C412" s="10"/>
    </row>
    <row r="413">
      <c r="C413" s="10"/>
    </row>
    <row r="414">
      <c r="C414" s="10"/>
    </row>
    <row r="415">
      <c r="C415" s="10"/>
    </row>
    <row r="416">
      <c r="C416" s="10"/>
    </row>
    <row r="417">
      <c r="C417" s="10"/>
    </row>
    <row r="418">
      <c r="C418" s="10"/>
    </row>
    <row r="419">
      <c r="C419" s="10"/>
    </row>
    <row r="420">
      <c r="C420" s="10"/>
    </row>
    <row r="421">
      <c r="C421" s="10"/>
    </row>
    <row r="422">
      <c r="C422" s="10"/>
    </row>
    <row r="423">
      <c r="C423" s="10"/>
    </row>
    <row r="424">
      <c r="C424" s="10"/>
    </row>
    <row r="425">
      <c r="C425" s="10"/>
    </row>
    <row r="426">
      <c r="C426" s="10"/>
    </row>
    <row r="427">
      <c r="C427" s="10"/>
    </row>
    <row r="428">
      <c r="C428" s="10"/>
    </row>
    <row r="429">
      <c r="C429" s="10"/>
    </row>
    <row r="430">
      <c r="C430" s="10"/>
    </row>
    <row r="431">
      <c r="C431" s="10"/>
    </row>
    <row r="432">
      <c r="C432" s="10"/>
    </row>
    <row r="433">
      <c r="C433" s="10"/>
    </row>
    <row r="434">
      <c r="C434" s="10"/>
    </row>
    <row r="435">
      <c r="C435" s="10"/>
    </row>
    <row r="436">
      <c r="C436" s="10"/>
    </row>
    <row r="437">
      <c r="C437" s="10"/>
    </row>
    <row r="438">
      <c r="C438" s="10"/>
    </row>
    <row r="439">
      <c r="C439" s="10"/>
    </row>
    <row r="440">
      <c r="C440" s="10"/>
    </row>
    <row r="441">
      <c r="C441" s="10"/>
    </row>
    <row r="442">
      <c r="C442" s="10"/>
    </row>
    <row r="443">
      <c r="C443" s="10"/>
    </row>
    <row r="444">
      <c r="A444" s="10"/>
      <c r="B444" s="11"/>
      <c r="C444" s="10"/>
    </row>
    <row r="445">
      <c r="A445" s="10"/>
      <c r="B445" s="11"/>
      <c r="C445" s="10"/>
    </row>
    <row r="446">
      <c r="A446" s="10"/>
      <c r="B446" s="11"/>
      <c r="C446" s="10"/>
    </row>
    <row r="447">
      <c r="A447" s="10"/>
      <c r="B447" s="11"/>
      <c r="C447" s="10"/>
    </row>
    <row r="448">
      <c r="A448" s="10"/>
      <c r="B448" s="11"/>
      <c r="C448" s="10"/>
    </row>
    <row r="449">
      <c r="A449" s="10"/>
      <c r="B449" s="11"/>
      <c r="C449" s="10"/>
    </row>
    <row r="450">
      <c r="A450" s="10"/>
      <c r="B450" s="11"/>
      <c r="C450" s="10"/>
    </row>
    <row r="451">
      <c r="A451" s="10"/>
      <c r="B451" s="11"/>
      <c r="C451" s="10"/>
    </row>
    <row r="452">
      <c r="A452" s="10"/>
      <c r="B452" s="11"/>
      <c r="C452" s="10"/>
    </row>
    <row r="453">
      <c r="A453" s="10"/>
      <c r="B453" s="11"/>
      <c r="C453" s="10"/>
    </row>
    <row r="454">
      <c r="A454" s="10"/>
      <c r="B454" s="11"/>
      <c r="C454" s="10"/>
    </row>
    <row r="455">
      <c r="A455" s="10"/>
      <c r="B455" s="11"/>
      <c r="C455" s="10"/>
    </row>
    <row r="456">
      <c r="A456" s="10"/>
      <c r="B456" s="11"/>
      <c r="C456" s="10"/>
    </row>
    <row r="457">
      <c r="A457" s="10"/>
      <c r="B457" s="11"/>
      <c r="C457" s="10"/>
    </row>
    <row r="458">
      <c r="A458" s="10"/>
      <c r="B458" s="11"/>
      <c r="C458" s="10"/>
    </row>
    <row r="459">
      <c r="A459" s="10"/>
      <c r="B459" s="11"/>
      <c r="C459" s="10"/>
    </row>
    <row r="460">
      <c r="A460" s="10"/>
      <c r="B460" s="11"/>
      <c r="C460" s="10"/>
    </row>
    <row r="461">
      <c r="A461" s="10"/>
      <c r="B461" s="11"/>
      <c r="C461" s="10"/>
    </row>
    <row r="462">
      <c r="A462" s="10"/>
      <c r="B462" s="11"/>
      <c r="C462" s="10"/>
    </row>
    <row r="463">
      <c r="A463" s="10"/>
      <c r="B463" s="11"/>
      <c r="C463" s="10"/>
    </row>
    <row r="464">
      <c r="A464" s="10"/>
      <c r="B464" s="11"/>
      <c r="C464" s="10"/>
    </row>
    <row r="465">
      <c r="A465" s="10"/>
      <c r="B465" s="11"/>
      <c r="C465" s="10"/>
    </row>
    <row r="466">
      <c r="A466" s="10"/>
      <c r="B466" s="11"/>
      <c r="C466" s="10"/>
    </row>
    <row r="467">
      <c r="A467" s="10"/>
      <c r="B467" s="11"/>
      <c r="C467" s="10"/>
    </row>
    <row r="468">
      <c r="A468" s="10"/>
      <c r="B468" s="11"/>
      <c r="C468" s="10"/>
    </row>
    <row r="469">
      <c r="A469" s="10"/>
      <c r="B469" s="11"/>
      <c r="C469" s="10"/>
    </row>
    <row r="470">
      <c r="A470" s="10"/>
      <c r="B470" s="11"/>
      <c r="C470" s="10"/>
    </row>
    <row r="471">
      <c r="A471" s="10"/>
      <c r="B471" s="11"/>
      <c r="C471" s="10"/>
    </row>
    <row r="472">
      <c r="A472" s="10"/>
      <c r="B472" s="11"/>
      <c r="C472" s="10"/>
    </row>
    <row r="473">
      <c r="A473" s="10"/>
      <c r="B473" s="11"/>
      <c r="C473" s="10"/>
    </row>
    <row r="474">
      <c r="A474" s="10"/>
      <c r="B474" s="11"/>
      <c r="C474" s="10"/>
    </row>
    <row r="475">
      <c r="A475" s="10"/>
      <c r="B475" s="11"/>
      <c r="C475" s="10"/>
    </row>
    <row r="476">
      <c r="A476" s="10"/>
      <c r="B476" s="11"/>
      <c r="C476" s="10"/>
    </row>
    <row r="477">
      <c r="A477" s="10"/>
      <c r="B477" s="11"/>
      <c r="C477" s="10"/>
    </row>
    <row r="478">
      <c r="A478" s="10"/>
      <c r="B478" s="11"/>
      <c r="C478" s="10"/>
    </row>
    <row r="479">
      <c r="A479" s="10"/>
      <c r="B479" s="11"/>
      <c r="C479" s="10"/>
    </row>
    <row r="480">
      <c r="A480" s="10"/>
      <c r="B480" s="11"/>
      <c r="C480" s="10"/>
    </row>
    <row r="481">
      <c r="A481" s="10"/>
      <c r="B481" s="11"/>
      <c r="C481" s="10"/>
    </row>
    <row r="482">
      <c r="A482" s="10"/>
      <c r="B482" s="11"/>
      <c r="C482" s="10"/>
    </row>
    <row r="483">
      <c r="A483" s="10"/>
      <c r="B483" s="11"/>
      <c r="C483" s="10"/>
    </row>
    <row r="484">
      <c r="A484" s="10"/>
      <c r="B484" s="11"/>
      <c r="C484" s="10"/>
    </row>
    <row r="485">
      <c r="A485" s="10"/>
      <c r="B485" s="11"/>
      <c r="C485" s="10"/>
    </row>
    <row r="486">
      <c r="A486" s="10"/>
      <c r="B486" s="11"/>
      <c r="C486" s="10"/>
    </row>
    <row r="487">
      <c r="A487" s="10"/>
      <c r="B487" s="11"/>
      <c r="C487" s="10"/>
    </row>
    <row r="488">
      <c r="A488" s="10"/>
      <c r="B488" s="11"/>
      <c r="C488" s="10"/>
    </row>
    <row r="489">
      <c r="A489" s="10"/>
      <c r="B489" s="11"/>
      <c r="C489" s="10"/>
    </row>
    <row r="490">
      <c r="A490" s="10"/>
      <c r="B490" s="11"/>
      <c r="C490" s="10"/>
    </row>
    <row r="491">
      <c r="A491" s="10"/>
      <c r="B491" s="11"/>
      <c r="C491" s="10"/>
    </row>
    <row r="492">
      <c r="A492" s="10"/>
      <c r="B492" s="11"/>
      <c r="C492" s="10"/>
    </row>
    <row r="493">
      <c r="A493" s="10"/>
      <c r="B493" s="11"/>
      <c r="C493" s="10"/>
    </row>
    <row r="494">
      <c r="A494" s="10"/>
      <c r="B494" s="11"/>
      <c r="C494" s="10"/>
    </row>
    <row r="495">
      <c r="A495" s="10"/>
      <c r="B495" s="11"/>
      <c r="C495" s="10"/>
    </row>
    <row r="496">
      <c r="A496" s="10"/>
      <c r="B496" s="11"/>
      <c r="C496" s="10"/>
    </row>
    <row r="497">
      <c r="A497" s="10"/>
      <c r="B497" s="11"/>
      <c r="C497" s="10"/>
    </row>
    <row r="498">
      <c r="A498" s="10"/>
      <c r="B498" s="11"/>
      <c r="C498" s="10"/>
    </row>
    <row r="499">
      <c r="A499" s="10"/>
      <c r="B499" s="11"/>
      <c r="C499" s="10"/>
    </row>
    <row r="500">
      <c r="A500" s="10"/>
      <c r="B500" s="11"/>
      <c r="C500" s="10"/>
    </row>
    <row r="501">
      <c r="A501" s="10"/>
      <c r="B501" s="11"/>
      <c r="C501" s="10"/>
    </row>
    <row r="502">
      <c r="A502" s="10"/>
      <c r="B502" s="11"/>
      <c r="C502" s="10"/>
    </row>
    <row r="503">
      <c r="A503" s="10"/>
      <c r="B503" s="11"/>
      <c r="C503" s="10"/>
    </row>
    <row r="504">
      <c r="A504" s="10"/>
      <c r="B504" s="11"/>
      <c r="C504" s="10"/>
    </row>
    <row r="505">
      <c r="A505" s="10"/>
      <c r="B505" s="11"/>
      <c r="C505" s="10"/>
    </row>
    <row r="506">
      <c r="A506" s="10"/>
      <c r="B506" s="11"/>
      <c r="C506" s="10"/>
    </row>
    <row r="507">
      <c r="A507" s="10"/>
      <c r="B507" s="11"/>
      <c r="C507" s="10"/>
    </row>
    <row r="508">
      <c r="A508" s="10"/>
      <c r="B508" s="11"/>
      <c r="C508" s="10"/>
    </row>
    <row r="509">
      <c r="A509" s="10"/>
      <c r="B509" s="11"/>
      <c r="C509" s="10"/>
    </row>
    <row r="510">
      <c r="A510" s="10"/>
      <c r="B510" s="11"/>
      <c r="C510" s="10"/>
    </row>
    <row r="511">
      <c r="A511" s="10"/>
      <c r="B511" s="11"/>
      <c r="C511" s="10"/>
    </row>
    <row r="512">
      <c r="A512" s="10"/>
      <c r="B512" s="11"/>
      <c r="C512" s="10"/>
    </row>
    <row r="513">
      <c r="A513" s="10"/>
      <c r="B513" s="11"/>
      <c r="C513" s="10"/>
    </row>
    <row r="514">
      <c r="A514" s="10"/>
      <c r="B514" s="11"/>
      <c r="C514" s="10"/>
    </row>
    <row r="515">
      <c r="A515" s="10"/>
      <c r="B515" s="11"/>
      <c r="C515" s="10"/>
    </row>
    <row r="516">
      <c r="A516" s="10"/>
      <c r="B516" s="11"/>
      <c r="C516" s="10"/>
    </row>
    <row r="517">
      <c r="A517" s="10"/>
      <c r="B517" s="11"/>
      <c r="C517" s="10"/>
    </row>
    <row r="518">
      <c r="A518" s="10"/>
      <c r="B518" s="11"/>
      <c r="C518" s="10"/>
    </row>
    <row r="519">
      <c r="A519" s="10"/>
      <c r="B519" s="11"/>
      <c r="C519" s="10"/>
    </row>
    <row r="520">
      <c r="A520" s="10"/>
      <c r="B520" s="11"/>
      <c r="C520" s="10"/>
    </row>
    <row r="521">
      <c r="A521" s="10"/>
      <c r="B521" s="11"/>
      <c r="C521" s="10"/>
    </row>
    <row r="522">
      <c r="A522" s="10"/>
      <c r="B522" s="11"/>
      <c r="C522" s="10"/>
    </row>
    <row r="523">
      <c r="A523" s="10"/>
      <c r="B523" s="11"/>
      <c r="C523" s="10"/>
    </row>
    <row r="524">
      <c r="A524" s="10"/>
      <c r="B524" s="11"/>
      <c r="C524" s="10"/>
    </row>
    <row r="525">
      <c r="A525" s="10"/>
      <c r="B525" s="11"/>
      <c r="C525" s="10"/>
    </row>
    <row r="526">
      <c r="A526" s="10"/>
      <c r="B526" s="11"/>
      <c r="C526" s="10"/>
    </row>
    <row r="527">
      <c r="A527" s="10"/>
      <c r="B527" s="11"/>
      <c r="C527" s="10"/>
    </row>
    <row r="528">
      <c r="A528" s="10"/>
      <c r="B528" s="11"/>
      <c r="C528" s="10"/>
    </row>
    <row r="529">
      <c r="A529" s="10"/>
      <c r="B529" s="11"/>
      <c r="C529" s="10"/>
    </row>
    <row r="530">
      <c r="A530" s="10"/>
      <c r="B530" s="11"/>
      <c r="C530" s="10"/>
    </row>
    <row r="531">
      <c r="A531" s="10"/>
      <c r="B531" s="11"/>
      <c r="C531" s="10"/>
    </row>
    <row r="532">
      <c r="A532" s="10"/>
      <c r="B532" s="11"/>
      <c r="C532" s="10"/>
    </row>
    <row r="533">
      <c r="A533" s="10"/>
      <c r="B533" s="11"/>
      <c r="C533" s="10"/>
    </row>
    <row r="534">
      <c r="A534" s="10"/>
      <c r="B534" s="11"/>
      <c r="C534" s="10"/>
    </row>
    <row r="535">
      <c r="A535" s="10"/>
      <c r="B535" s="11"/>
      <c r="C535" s="10"/>
    </row>
    <row r="536">
      <c r="A536" s="10"/>
      <c r="B536" s="11"/>
      <c r="C536" s="10"/>
    </row>
    <row r="537">
      <c r="A537" s="10"/>
      <c r="B537" s="11"/>
      <c r="C537" s="10"/>
    </row>
    <row r="538">
      <c r="A538" s="10"/>
      <c r="B538" s="11"/>
      <c r="C538" s="10"/>
    </row>
    <row r="539">
      <c r="A539" s="10"/>
      <c r="B539" s="11"/>
      <c r="C539" s="10"/>
    </row>
    <row r="540">
      <c r="A540" s="10"/>
      <c r="B540" s="11"/>
      <c r="C540" s="10"/>
    </row>
    <row r="541">
      <c r="A541" s="10"/>
      <c r="B541" s="11"/>
      <c r="C541" s="10"/>
    </row>
    <row r="542">
      <c r="A542" s="10"/>
      <c r="B542" s="11"/>
      <c r="C542" s="10"/>
    </row>
    <row r="543">
      <c r="A543" s="10"/>
      <c r="B543" s="11"/>
      <c r="C543" s="10"/>
    </row>
    <row r="544">
      <c r="A544" s="10"/>
      <c r="B544" s="11"/>
      <c r="C544" s="10"/>
    </row>
    <row r="545">
      <c r="A545" s="10"/>
      <c r="B545" s="11"/>
      <c r="C545" s="10"/>
    </row>
    <row r="546">
      <c r="A546" s="10"/>
      <c r="B546" s="11"/>
      <c r="C546" s="10"/>
    </row>
    <row r="547">
      <c r="A547" s="10"/>
      <c r="B547" s="11"/>
      <c r="C547" s="10"/>
    </row>
    <row r="548">
      <c r="A548" s="10"/>
      <c r="B548" s="11"/>
      <c r="C548" s="10"/>
    </row>
    <row r="549">
      <c r="A549" s="10"/>
      <c r="B549" s="11"/>
      <c r="C549" s="10"/>
    </row>
    <row r="550">
      <c r="A550" s="10"/>
      <c r="B550" s="11"/>
      <c r="C550" s="10"/>
    </row>
    <row r="551">
      <c r="A551" s="10"/>
      <c r="B551" s="11"/>
      <c r="C551" s="10"/>
    </row>
    <row r="552">
      <c r="A552" s="10"/>
      <c r="B552" s="11"/>
      <c r="C552" s="10"/>
    </row>
    <row r="553">
      <c r="A553" s="10"/>
      <c r="B553" s="11"/>
      <c r="C553" s="10"/>
    </row>
    <row r="554">
      <c r="A554" s="10"/>
      <c r="B554" s="11"/>
      <c r="C554" s="10"/>
    </row>
    <row r="555">
      <c r="A555" s="10"/>
      <c r="B555" s="11"/>
      <c r="C555" s="10"/>
    </row>
    <row r="556">
      <c r="A556" s="10"/>
      <c r="B556" s="11"/>
      <c r="C556" s="10"/>
    </row>
    <row r="557">
      <c r="A557" s="10"/>
      <c r="B557" s="11"/>
      <c r="C557" s="10"/>
    </row>
    <row r="558">
      <c r="A558" s="10"/>
      <c r="B558" s="11"/>
      <c r="C558" s="10"/>
    </row>
    <row r="559">
      <c r="A559" s="10"/>
      <c r="B559" s="11"/>
      <c r="C559" s="10"/>
    </row>
    <row r="560">
      <c r="A560" s="10"/>
      <c r="B560" s="11"/>
      <c r="C560" s="10"/>
    </row>
    <row r="561">
      <c r="A561" s="10"/>
      <c r="B561" s="11"/>
      <c r="C561" s="10"/>
    </row>
    <row r="562">
      <c r="A562" s="10"/>
      <c r="B562" s="11"/>
      <c r="C562" s="10"/>
    </row>
    <row r="563">
      <c r="A563" s="10"/>
      <c r="B563" s="11"/>
      <c r="C563" s="10"/>
    </row>
    <row r="564">
      <c r="A564" s="10"/>
      <c r="B564" s="11"/>
      <c r="C564" s="10"/>
    </row>
    <row r="565">
      <c r="A565" s="10"/>
      <c r="B565" s="11"/>
      <c r="C565" s="10"/>
    </row>
    <row r="566">
      <c r="A566" s="10"/>
      <c r="B566" s="11"/>
      <c r="C566" s="10"/>
    </row>
    <row r="567">
      <c r="A567" s="10"/>
      <c r="B567" s="11"/>
      <c r="C567" s="10"/>
    </row>
    <row r="568">
      <c r="A568" s="10"/>
      <c r="B568" s="11"/>
      <c r="C568" s="10"/>
    </row>
    <row r="569">
      <c r="A569" s="10"/>
      <c r="B569" s="11"/>
      <c r="C569" s="10"/>
    </row>
    <row r="570">
      <c r="A570" s="10"/>
      <c r="B570" s="11"/>
      <c r="C570" s="10"/>
    </row>
    <row r="571">
      <c r="A571" s="10"/>
      <c r="B571" s="11"/>
      <c r="C571" s="10"/>
    </row>
    <row r="572">
      <c r="A572" s="10"/>
      <c r="B572" s="11"/>
      <c r="C572" s="10"/>
    </row>
    <row r="573">
      <c r="A573" s="10"/>
      <c r="B573" s="11"/>
      <c r="C573" s="10"/>
    </row>
    <row r="574">
      <c r="A574" s="10"/>
      <c r="B574" s="11"/>
      <c r="C574" s="10"/>
    </row>
    <row r="575">
      <c r="A575" s="10"/>
      <c r="B575" s="11"/>
      <c r="C575" s="10"/>
    </row>
    <row r="576">
      <c r="A576" s="10"/>
      <c r="B576" s="11"/>
      <c r="C576" s="10"/>
    </row>
    <row r="577">
      <c r="A577" s="10"/>
      <c r="B577" s="11"/>
      <c r="C577" s="10"/>
    </row>
    <row r="578">
      <c r="A578" s="10"/>
      <c r="B578" s="11"/>
      <c r="C578" s="10"/>
    </row>
    <row r="579">
      <c r="A579" s="10"/>
      <c r="B579" s="11"/>
      <c r="C579" s="10"/>
    </row>
    <row r="580">
      <c r="A580" s="10"/>
      <c r="B580" s="11"/>
      <c r="C580" s="10"/>
    </row>
    <row r="581">
      <c r="A581" s="10"/>
      <c r="B581" s="11"/>
      <c r="C581" s="10"/>
    </row>
    <row r="582">
      <c r="A582" s="10"/>
      <c r="B582" s="11"/>
      <c r="C582" s="10"/>
    </row>
    <row r="583">
      <c r="A583" s="10"/>
      <c r="B583" s="11"/>
      <c r="C583" s="10"/>
    </row>
    <row r="584">
      <c r="A584" s="10"/>
      <c r="B584" s="11"/>
      <c r="C584" s="10"/>
    </row>
    <row r="585">
      <c r="A585" s="10"/>
      <c r="B585" s="11"/>
      <c r="C585" s="10"/>
    </row>
    <row r="586">
      <c r="A586" s="10"/>
      <c r="B586" s="11"/>
      <c r="C586" s="10"/>
    </row>
    <row r="587">
      <c r="A587" s="10"/>
      <c r="B587" s="11"/>
      <c r="C587" s="10"/>
    </row>
    <row r="588">
      <c r="A588" s="10"/>
      <c r="B588" s="11"/>
      <c r="C588" s="10"/>
    </row>
    <row r="589">
      <c r="A589" s="10"/>
      <c r="B589" s="11"/>
      <c r="C589" s="10"/>
    </row>
    <row r="590">
      <c r="A590" s="10"/>
      <c r="B590" s="11"/>
      <c r="C590" s="10"/>
    </row>
    <row r="591">
      <c r="A591" s="10"/>
      <c r="B591" s="11"/>
      <c r="C591" s="10"/>
    </row>
    <row r="592">
      <c r="A592" s="10"/>
      <c r="B592" s="11"/>
      <c r="C592" s="10"/>
    </row>
    <row r="593">
      <c r="A593" s="10"/>
      <c r="B593" s="11"/>
      <c r="C593" s="10"/>
    </row>
    <row r="594">
      <c r="A594" s="10"/>
      <c r="B594" s="11"/>
      <c r="C594" s="10"/>
    </row>
    <row r="595">
      <c r="A595" s="10"/>
      <c r="B595" s="11"/>
      <c r="C595" s="10"/>
    </row>
    <row r="596">
      <c r="A596" s="10"/>
      <c r="B596" s="11"/>
      <c r="C596" s="10"/>
    </row>
    <row r="597">
      <c r="A597" s="10"/>
      <c r="B597" s="11"/>
      <c r="C597" s="10"/>
    </row>
    <row r="598">
      <c r="A598" s="10"/>
      <c r="B598" s="11"/>
      <c r="C598" s="10"/>
    </row>
    <row r="599">
      <c r="A599" s="10"/>
      <c r="B599" s="11"/>
      <c r="C599" s="10"/>
    </row>
    <row r="600">
      <c r="A600" s="10"/>
      <c r="B600" s="11"/>
      <c r="C600" s="10"/>
    </row>
    <row r="601">
      <c r="A601" s="10"/>
      <c r="B601" s="11"/>
      <c r="C601" s="10"/>
    </row>
    <row r="602">
      <c r="A602" s="10"/>
      <c r="B602" s="11"/>
      <c r="C602" s="10"/>
    </row>
    <row r="603">
      <c r="A603" s="10"/>
      <c r="B603" s="11"/>
      <c r="C603" s="10"/>
    </row>
    <row r="604">
      <c r="A604" s="10"/>
      <c r="B604" s="11"/>
      <c r="C604" s="10"/>
    </row>
    <row r="605">
      <c r="A605" s="10"/>
      <c r="B605" s="11"/>
      <c r="C605" s="10"/>
    </row>
    <row r="606">
      <c r="A606" s="10"/>
      <c r="B606" s="11"/>
      <c r="C606" s="10"/>
    </row>
    <row r="607">
      <c r="A607" s="10"/>
      <c r="B607" s="11"/>
      <c r="C607" s="10"/>
    </row>
    <row r="608">
      <c r="A608" s="10"/>
      <c r="B608" s="11"/>
      <c r="C608" s="10"/>
    </row>
    <row r="609">
      <c r="A609" s="10"/>
      <c r="B609" s="11"/>
      <c r="C609" s="10"/>
    </row>
    <row r="610">
      <c r="A610" s="10"/>
      <c r="B610" s="11"/>
      <c r="C610" s="10"/>
    </row>
    <row r="611">
      <c r="A611" s="10"/>
      <c r="B611" s="11"/>
      <c r="C611" s="10"/>
    </row>
    <row r="612">
      <c r="A612" s="10"/>
      <c r="B612" s="11"/>
      <c r="C612" s="10"/>
    </row>
    <row r="613">
      <c r="A613" s="10"/>
      <c r="B613" s="11"/>
      <c r="C613" s="10"/>
    </row>
    <row r="614">
      <c r="A614" s="10"/>
      <c r="B614" s="11"/>
      <c r="C614" s="10"/>
    </row>
    <row r="615">
      <c r="A615" s="10"/>
      <c r="B615" s="11"/>
      <c r="C615" s="10"/>
    </row>
    <row r="616">
      <c r="A616" s="10"/>
      <c r="B616" s="11"/>
      <c r="C616" s="10"/>
    </row>
    <row r="617">
      <c r="A617" s="10"/>
      <c r="B617" s="11"/>
      <c r="C617" s="10"/>
    </row>
    <row r="618">
      <c r="A618" s="10"/>
      <c r="B618" s="11"/>
      <c r="C618" s="10"/>
    </row>
    <row r="619">
      <c r="A619" s="10"/>
      <c r="B619" s="11"/>
      <c r="C619" s="10"/>
    </row>
    <row r="620">
      <c r="A620" s="10"/>
      <c r="B620" s="11"/>
      <c r="C620" s="10"/>
    </row>
    <row r="621">
      <c r="A621" s="10"/>
      <c r="B621" s="11"/>
      <c r="C621" s="10"/>
    </row>
    <row r="622">
      <c r="A622" s="10"/>
      <c r="B622" s="11"/>
      <c r="C622" s="10"/>
    </row>
    <row r="623">
      <c r="A623" s="10"/>
      <c r="B623" s="11"/>
      <c r="C623" s="10"/>
    </row>
    <row r="624">
      <c r="A624" s="10"/>
      <c r="B624" s="11"/>
      <c r="C624" s="10"/>
    </row>
    <row r="625">
      <c r="A625" s="10"/>
      <c r="B625" s="11"/>
      <c r="C625" s="10"/>
    </row>
    <row r="626">
      <c r="A626" s="10"/>
      <c r="B626" s="11"/>
      <c r="C626" s="10"/>
    </row>
    <row r="627">
      <c r="A627" s="10"/>
      <c r="B627" s="11"/>
      <c r="C627" s="10"/>
    </row>
    <row r="628">
      <c r="A628" s="10"/>
      <c r="B628" s="11"/>
      <c r="C628" s="10"/>
    </row>
    <row r="629">
      <c r="A629" s="10"/>
      <c r="B629" s="11"/>
      <c r="C629" s="10"/>
    </row>
    <row r="630">
      <c r="A630" s="10"/>
      <c r="B630" s="11"/>
      <c r="C630" s="10"/>
    </row>
    <row r="631">
      <c r="A631" s="10"/>
      <c r="B631" s="11"/>
      <c r="C631" s="10"/>
    </row>
    <row r="632">
      <c r="A632" s="10"/>
      <c r="B632" s="11"/>
      <c r="C632" s="10"/>
    </row>
    <row r="633">
      <c r="A633" s="10"/>
      <c r="B633" s="11"/>
      <c r="C633" s="10"/>
    </row>
    <row r="634">
      <c r="A634" s="10"/>
      <c r="B634" s="11"/>
      <c r="C634" s="10"/>
    </row>
    <row r="635">
      <c r="A635" s="10"/>
      <c r="B635" s="11"/>
      <c r="C635" s="10"/>
    </row>
    <row r="636">
      <c r="A636" s="10"/>
      <c r="B636" s="11"/>
      <c r="C636" s="10"/>
    </row>
    <row r="637">
      <c r="A637" s="10"/>
      <c r="B637" s="11"/>
      <c r="C637" s="10"/>
    </row>
    <row r="638">
      <c r="A638" s="10"/>
      <c r="B638" s="11"/>
      <c r="C638" s="10"/>
    </row>
    <row r="639">
      <c r="A639" s="10"/>
      <c r="B639" s="11"/>
      <c r="C639" s="10"/>
    </row>
    <row r="640">
      <c r="A640" s="10"/>
      <c r="B640" s="11"/>
      <c r="C640" s="10"/>
    </row>
    <row r="641">
      <c r="A641" s="10"/>
      <c r="B641" s="11"/>
      <c r="C641" s="10"/>
    </row>
    <row r="642">
      <c r="A642" s="10"/>
      <c r="B642" s="11"/>
      <c r="C642" s="10"/>
    </row>
    <row r="643">
      <c r="A643" s="10"/>
      <c r="B643" s="11"/>
      <c r="C643" s="10"/>
    </row>
    <row r="644">
      <c r="A644" s="10"/>
      <c r="B644" s="11"/>
      <c r="C644" s="10"/>
    </row>
    <row r="645">
      <c r="A645" s="10"/>
      <c r="B645" s="11"/>
      <c r="C645" s="10"/>
    </row>
    <row r="646">
      <c r="A646" s="10"/>
      <c r="B646" s="11"/>
      <c r="C646" s="10"/>
    </row>
    <row r="647">
      <c r="A647" s="10"/>
      <c r="B647" s="11"/>
      <c r="C647" s="10"/>
    </row>
    <row r="648">
      <c r="A648" s="10"/>
      <c r="B648" s="11"/>
      <c r="C648" s="10"/>
    </row>
    <row r="649">
      <c r="A649" s="10"/>
      <c r="B649" s="11"/>
      <c r="C649" s="10"/>
    </row>
    <row r="650">
      <c r="A650" s="10"/>
      <c r="B650" s="11"/>
      <c r="C650" s="10"/>
    </row>
    <row r="651">
      <c r="A651" s="10"/>
      <c r="B651" s="11"/>
      <c r="C651" s="10"/>
    </row>
    <row r="652">
      <c r="A652" s="10"/>
      <c r="B652" s="11"/>
      <c r="C652" s="10"/>
    </row>
    <row r="653">
      <c r="A653" s="10"/>
      <c r="B653" s="11"/>
      <c r="C653" s="10"/>
    </row>
    <row r="654">
      <c r="A654" s="10"/>
      <c r="B654" s="11"/>
      <c r="C654" s="10"/>
    </row>
    <row r="655">
      <c r="A655" s="10"/>
      <c r="B655" s="11"/>
      <c r="C655" s="10"/>
    </row>
    <row r="656">
      <c r="A656" s="10"/>
      <c r="B656" s="11"/>
      <c r="C656" s="10"/>
    </row>
    <row r="657">
      <c r="A657" s="10"/>
      <c r="B657" s="11"/>
      <c r="C657" s="10"/>
    </row>
    <row r="658">
      <c r="A658" s="10"/>
      <c r="B658" s="11"/>
      <c r="C658" s="10"/>
    </row>
    <row r="659">
      <c r="A659" s="10"/>
      <c r="B659" s="11"/>
      <c r="C659" s="10"/>
    </row>
    <row r="660">
      <c r="A660" s="10"/>
      <c r="B660" s="11"/>
      <c r="C660" s="10"/>
    </row>
    <row r="661">
      <c r="A661" s="10"/>
      <c r="B661" s="11"/>
      <c r="C661" s="10"/>
    </row>
    <row r="662">
      <c r="A662" s="10"/>
      <c r="B662" s="11"/>
      <c r="C662" s="10"/>
    </row>
    <row r="663">
      <c r="A663" s="10"/>
      <c r="B663" s="11"/>
      <c r="C663" s="10"/>
    </row>
    <row r="664">
      <c r="A664" s="10"/>
      <c r="B664" s="11"/>
      <c r="C664" s="10"/>
    </row>
    <row r="665">
      <c r="A665" s="10"/>
      <c r="B665" s="11"/>
      <c r="C665" s="10"/>
    </row>
    <row r="666">
      <c r="A666" s="10"/>
      <c r="B666" s="11"/>
      <c r="C666" s="10"/>
    </row>
    <row r="667">
      <c r="A667" s="10"/>
      <c r="B667" s="11"/>
      <c r="C667" s="10"/>
    </row>
    <row r="668">
      <c r="A668" s="10"/>
      <c r="B668" s="11"/>
      <c r="C668" s="10"/>
    </row>
    <row r="669">
      <c r="A669" s="10"/>
      <c r="B669" s="11"/>
      <c r="C669" s="10"/>
    </row>
    <row r="670">
      <c r="A670" s="10"/>
      <c r="B670" s="11"/>
      <c r="C670" s="10"/>
    </row>
    <row r="671">
      <c r="A671" s="10"/>
      <c r="B671" s="11"/>
      <c r="C671" s="10"/>
    </row>
    <row r="672">
      <c r="A672" s="10"/>
      <c r="B672" s="11"/>
      <c r="C672" s="10"/>
    </row>
    <row r="673">
      <c r="A673" s="10"/>
      <c r="B673" s="11"/>
      <c r="C673" s="10"/>
    </row>
    <row r="674">
      <c r="A674" s="10"/>
      <c r="B674" s="11"/>
      <c r="C674" s="10"/>
    </row>
    <row r="675">
      <c r="A675" s="10"/>
      <c r="B675" s="11"/>
      <c r="C675" s="10"/>
    </row>
    <row r="676">
      <c r="A676" s="10"/>
      <c r="B676" s="11"/>
      <c r="C676" s="10"/>
    </row>
    <row r="677">
      <c r="A677" s="10"/>
      <c r="B677" s="11"/>
      <c r="C677" s="10"/>
    </row>
    <row r="678">
      <c r="A678" s="10"/>
      <c r="B678" s="11"/>
      <c r="C678" s="10"/>
    </row>
    <row r="679">
      <c r="A679" s="10"/>
      <c r="B679" s="11"/>
      <c r="C679" s="10"/>
    </row>
    <row r="680">
      <c r="A680" s="10"/>
      <c r="B680" s="11"/>
      <c r="C680" s="10"/>
    </row>
    <row r="681">
      <c r="A681" s="10"/>
      <c r="B681" s="11"/>
      <c r="C681" s="10"/>
    </row>
    <row r="682">
      <c r="A682" s="10"/>
      <c r="B682" s="11"/>
      <c r="C682" s="10"/>
    </row>
    <row r="683">
      <c r="A683" s="10"/>
      <c r="B683" s="11"/>
      <c r="C683" s="10"/>
    </row>
    <row r="684">
      <c r="A684" s="10"/>
      <c r="B684" s="11"/>
      <c r="C684" s="10"/>
    </row>
    <row r="685">
      <c r="A685" s="10"/>
      <c r="B685" s="11"/>
      <c r="C685" s="10"/>
    </row>
    <row r="686">
      <c r="A686" s="10"/>
      <c r="B686" s="11"/>
      <c r="C686" s="10"/>
    </row>
    <row r="687">
      <c r="A687" s="10"/>
      <c r="B687" s="11"/>
      <c r="C687" s="10"/>
    </row>
    <row r="688">
      <c r="A688" s="10"/>
      <c r="B688" s="11"/>
      <c r="C688" s="10"/>
    </row>
    <row r="689">
      <c r="A689" s="10"/>
      <c r="B689" s="11"/>
      <c r="C689" s="10"/>
    </row>
    <row r="690">
      <c r="A690" s="10"/>
      <c r="B690" s="11"/>
      <c r="C690" s="10"/>
    </row>
    <row r="691">
      <c r="A691" s="10"/>
      <c r="B691" s="11"/>
      <c r="C691" s="10"/>
    </row>
    <row r="692">
      <c r="A692" s="10"/>
      <c r="B692" s="11"/>
      <c r="C692" s="10"/>
    </row>
    <row r="693">
      <c r="A693" s="10"/>
      <c r="B693" s="11"/>
      <c r="C693" s="10"/>
    </row>
    <row r="694">
      <c r="A694" s="10"/>
      <c r="B694" s="11"/>
      <c r="C694" s="10"/>
    </row>
    <row r="695">
      <c r="A695" s="10"/>
      <c r="B695" s="11"/>
      <c r="C695" s="10"/>
    </row>
    <row r="696">
      <c r="A696" s="10"/>
      <c r="B696" s="11"/>
      <c r="C696" s="10"/>
    </row>
    <row r="697">
      <c r="A697" s="10"/>
      <c r="B697" s="11"/>
      <c r="C697" s="10"/>
    </row>
    <row r="698">
      <c r="A698" s="10"/>
      <c r="B698" s="11"/>
      <c r="C698" s="10"/>
    </row>
    <row r="699">
      <c r="A699" s="10"/>
      <c r="B699" s="11"/>
      <c r="C699" s="10"/>
    </row>
    <row r="700">
      <c r="A700" s="10"/>
      <c r="B700" s="11"/>
      <c r="C700" s="10"/>
    </row>
    <row r="701">
      <c r="A701" s="10"/>
      <c r="B701" s="11"/>
      <c r="C701" s="10"/>
    </row>
    <row r="702">
      <c r="A702" s="10"/>
      <c r="B702" s="11"/>
      <c r="C702" s="10"/>
    </row>
    <row r="703">
      <c r="A703" s="10"/>
      <c r="B703" s="11"/>
      <c r="C703" s="10"/>
    </row>
    <row r="704">
      <c r="A704" s="10"/>
      <c r="B704" s="11"/>
      <c r="C704" s="10"/>
    </row>
    <row r="705">
      <c r="A705" s="10"/>
      <c r="B705" s="11"/>
      <c r="C705" s="10"/>
    </row>
    <row r="706">
      <c r="A706" s="10"/>
      <c r="B706" s="11"/>
      <c r="C706" s="10"/>
    </row>
    <row r="707">
      <c r="A707" s="10"/>
      <c r="B707" s="11"/>
      <c r="C707" s="10"/>
    </row>
    <row r="708">
      <c r="A708" s="10"/>
      <c r="B708" s="11"/>
      <c r="C708" s="10"/>
    </row>
    <row r="709">
      <c r="A709" s="10"/>
      <c r="B709" s="11"/>
      <c r="C709" s="10"/>
    </row>
    <row r="710">
      <c r="A710" s="10"/>
      <c r="B710" s="11"/>
      <c r="C710" s="10"/>
    </row>
    <row r="711">
      <c r="A711" s="10"/>
      <c r="B711" s="11"/>
      <c r="C711" s="10"/>
    </row>
    <row r="712">
      <c r="A712" s="10"/>
      <c r="B712" s="11"/>
      <c r="C712" s="10"/>
    </row>
    <row r="713">
      <c r="A713" s="10"/>
      <c r="B713" s="11"/>
      <c r="C713" s="10"/>
    </row>
    <row r="714">
      <c r="A714" s="10"/>
      <c r="B714" s="11"/>
      <c r="C714" s="10"/>
    </row>
    <row r="715">
      <c r="A715" s="10"/>
      <c r="B715" s="11"/>
      <c r="C715" s="10"/>
    </row>
    <row r="716">
      <c r="A716" s="10"/>
      <c r="B716" s="11"/>
      <c r="C716" s="10"/>
    </row>
    <row r="717">
      <c r="A717" s="10"/>
      <c r="B717" s="11"/>
      <c r="C717" s="10"/>
    </row>
    <row r="718">
      <c r="A718" s="10"/>
      <c r="B718" s="11"/>
      <c r="C718" s="10"/>
    </row>
    <row r="719">
      <c r="A719" s="10"/>
      <c r="B719" s="11"/>
      <c r="C719" s="10"/>
    </row>
    <row r="720">
      <c r="A720" s="10"/>
      <c r="B720" s="11"/>
      <c r="C720" s="10"/>
    </row>
    <row r="721">
      <c r="A721" s="10"/>
      <c r="B721" s="11"/>
      <c r="C721" s="10"/>
    </row>
    <row r="722">
      <c r="A722" s="10"/>
      <c r="B722" s="11"/>
      <c r="C722" s="10"/>
    </row>
    <row r="723">
      <c r="A723" s="10"/>
      <c r="B723" s="11"/>
      <c r="C723" s="10"/>
    </row>
    <row r="724">
      <c r="A724" s="10"/>
      <c r="B724" s="11"/>
      <c r="C724" s="10"/>
    </row>
    <row r="725">
      <c r="A725" s="10"/>
      <c r="B725" s="11"/>
      <c r="C725" s="10"/>
    </row>
    <row r="726">
      <c r="A726" s="10"/>
      <c r="B726" s="11"/>
      <c r="C726" s="10"/>
    </row>
    <row r="727">
      <c r="A727" s="10"/>
      <c r="B727" s="11"/>
      <c r="C727" s="10"/>
    </row>
    <row r="728">
      <c r="A728" s="10"/>
      <c r="B728" s="11"/>
      <c r="C728" s="10"/>
    </row>
    <row r="729">
      <c r="A729" s="10"/>
      <c r="B729" s="11"/>
      <c r="C729" s="10"/>
    </row>
    <row r="730">
      <c r="A730" s="10"/>
      <c r="B730" s="11"/>
      <c r="C730" s="10"/>
    </row>
    <row r="731">
      <c r="A731" s="10"/>
      <c r="B731" s="11"/>
      <c r="C731" s="10"/>
    </row>
    <row r="732">
      <c r="A732" s="10"/>
      <c r="B732" s="11"/>
      <c r="C732" s="10"/>
    </row>
    <row r="733">
      <c r="A733" s="10"/>
      <c r="B733" s="11"/>
      <c r="C733" s="10"/>
    </row>
    <row r="734">
      <c r="A734" s="10"/>
      <c r="B734" s="11"/>
      <c r="C734" s="10"/>
    </row>
    <row r="735">
      <c r="A735" s="10"/>
      <c r="B735" s="11"/>
      <c r="C735" s="10"/>
    </row>
    <row r="736">
      <c r="A736" s="10"/>
      <c r="B736" s="11"/>
      <c r="C736" s="10"/>
    </row>
    <row r="737">
      <c r="A737" s="10"/>
      <c r="B737" s="11"/>
      <c r="C737" s="10"/>
    </row>
    <row r="738">
      <c r="A738" s="10"/>
      <c r="B738" s="11"/>
      <c r="C738" s="10"/>
    </row>
    <row r="739">
      <c r="A739" s="10"/>
      <c r="B739" s="11"/>
      <c r="C739" s="10"/>
    </row>
    <row r="740">
      <c r="A740" s="10"/>
      <c r="B740" s="11"/>
      <c r="C740" s="10"/>
    </row>
    <row r="741">
      <c r="A741" s="10"/>
      <c r="B741" s="11"/>
      <c r="C741" s="10"/>
    </row>
    <row r="742">
      <c r="A742" s="10"/>
      <c r="B742" s="11"/>
      <c r="C742" s="10"/>
    </row>
    <row r="743">
      <c r="A743" s="10"/>
      <c r="B743" s="11"/>
      <c r="C743" s="10"/>
    </row>
    <row r="744">
      <c r="A744" s="10"/>
      <c r="B744" s="11"/>
      <c r="C744" s="10"/>
    </row>
    <row r="745">
      <c r="A745" s="10"/>
      <c r="B745" s="11"/>
      <c r="C745" s="10"/>
    </row>
    <row r="746">
      <c r="A746" s="10"/>
      <c r="B746" s="11"/>
      <c r="C746" s="10"/>
    </row>
    <row r="747">
      <c r="A747" s="10"/>
      <c r="B747" s="11"/>
      <c r="C747" s="10"/>
    </row>
    <row r="748">
      <c r="A748" s="10"/>
      <c r="B748" s="11"/>
      <c r="C748" s="10"/>
    </row>
    <row r="749">
      <c r="A749" s="10"/>
      <c r="B749" s="11"/>
      <c r="C749" s="10"/>
    </row>
    <row r="750">
      <c r="A750" s="10"/>
      <c r="B750" s="11"/>
      <c r="C750" s="10"/>
    </row>
    <row r="751">
      <c r="A751" s="10"/>
      <c r="B751" s="11"/>
      <c r="C751" s="10"/>
    </row>
    <row r="752">
      <c r="A752" s="10"/>
      <c r="B752" s="11"/>
      <c r="C752" s="10"/>
    </row>
    <row r="753">
      <c r="A753" s="10"/>
      <c r="B753" s="11"/>
      <c r="C753" s="10"/>
    </row>
    <row r="754">
      <c r="A754" s="10"/>
      <c r="B754" s="11"/>
      <c r="C754" s="10"/>
    </row>
    <row r="755">
      <c r="A755" s="10"/>
      <c r="B755" s="11"/>
      <c r="C755" s="10"/>
    </row>
    <row r="756">
      <c r="A756" s="10"/>
      <c r="B756" s="11"/>
      <c r="C756" s="10"/>
    </row>
    <row r="757">
      <c r="A757" s="10"/>
      <c r="B757" s="11"/>
      <c r="C757" s="10"/>
    </row>
    <row r="758">
      <c r="A758" s="10"/>
      <c r="B758" s="11"/>
      <c r="C758" s="10"/>
    </row>
    <row r="759">
      <c r="A759" s="10"/>
      <c r="B759" s="11"/>
      <c r="C759" s="10"/>
    </row>
    <row r="760">
      <c r="A760" s="10"/>
      <c r="B760" s="11"/>
      <c r="C760" s="10"/>
    </row>
    <row r="761">
      <c r="A761" s="10"/>
      <c r="B761" s="11"/>
      <c r="C761" s="10"/>
    </row>
    <row r="762">
      <c r="A762" s="10"/>
      <c r="B762" s="11"/>
      <c r="C762" s="10"/>
    </row>
    <row r="763">
      <c r="A763" s="10"/>
      <c r="B763" s="11"/>
      <c r="C763" s="10"/>
    </row>
    <row r="764">
      <c r="A764" s="10"/>
      <c r="B764" s="11"/>
      <c r="C764" s="10"/>
    </row>
    <row r="765">
      <c r="A765" s="10"/>
      <c r="B765" s="11"/>
      <c r="C765" s="10"/>
    </row>
    <row r="766">
      <c r="A766" s="10"/>
      <c r="B766" s="11"/>
      <c r="C766" s="10"/>
    </row>
    <row r="767">
      <c r="A767" s="10"/>
      <c r="B767" s="11"/>
      <c r="C767" s="10"/>
    </row>
    <row r="768">
      <c r="A768" s="10"/>
      <c r="B768" s="11"/>
      <c r="C768" s="10"/>
    </row>
    <row r="769">
      <c r="A769" s="10"/>
      <c r="B769" s="11"/>
      <c r="C769" s="10"/>
    </row>
    <row r="770">
      <c r="A770" s="10"/>
      <c r="B770" s="11"/>
      <c r="C770" s="10"/>
    </row>
    <row r="771">
      <c r="A771" s="10"/>
      <c r="B771" s="11"/>
      <c r="C771" s="10"/>
    </row>
    <row r="772">
      <c r="A772" s="10"/>
      <c r="B772" s="11"/>
      <c r="C772" s="10"/>
    </row>
    <row r="773">
      <c r="A773" s="10"/>
      <c r="B773" s="11"/>
      <c r="C773" s="10"/>
    </row>
    <row r="774">
      <c r="A774" s="10"/>
      <c r="B774" s="11"/>
      <c r="C774" s="10"/>
    </row>
    <row r="775">
      <c r="A775" s="10"/>
      <c r="B775" s="11"/>
      <c r="C775" s="10"/>
    </row>
    <row r="776">
      <c r="A776" s="10"/>
      <c r="B776" s="11"/>
      <c r="C776" s="10"/>
    </row>
    <row r="777">
      <c r="A777" s="10"/>
      <c r="B777" s="11"/>
      <c r="C777" s="10"/>
    </row>
    <row r="778">
      <c r="A778" s="10"/>
      <c r="B778" s="11"/>
      <c r="C778" s="10"/>
    </row>
    <row r="779">
      <c r="A779" s="10"/>
      <c r="B779" s="11"/>
      <c r="C779" s="10"/>
    </row>
    <row r="780">
      <c r="A780" s="10"/>
      <c r="B780" s="11"/>
      <c r="C780" s="10"/>
    </row>
    <row r="781">
      <c r="A781" s="10"/>
      <c r="B781" s="11"/>
      <c r="C781" s="10"/>
    </row>
    <row r="782">
      <c r="A782" s="10"/>
      <c r="B782" s="11"/>
      <c r="C782" s="10"/>
    </row>
    <row r="783">
      <c r="A783" s="10"/>
      <c r="B783" s="11"/>
      <c r="C783" s="10"/>
    </row>
    <row r="784">
      <c r="A784" s="10"/>
      <c r="B784" s="11"/>
      <c r="C784" s="10"/>
    </row>
    <row r="785">
      <c r="A785" s="10"/>
      <c r="B785" s="11"/>
      <c r="C785" s="10"/>
    </row>
    <row r="786">
      <c r="A786" s="10"/>
      <c r="B786" s="11"/>
      <c r="C786" s="10"/>
    </row>
    <row r="787">
      <c r="A787" s="10"/>
      <c r="B787" s="11"/>
      <c r="C787" s="10"/>
    </row>
    <row r="788">
      <c r="A788" s="10"/>
      <c r="B788" s="11"/>
      <c r="C788" s="10"/>
    </row>
    <row r="789">
      <c r="A789" s="10"/>
      <c r="B789" s="11"/>
      <c r="C789" s="10"/>
    </row>
    <row r="790">
      <c r="A790" s="10"/>
      <c r="B790" s="11"/>
      <c r="C790" s="10"/>
    </row>
    <row r="791">
      <c r="A791" s="10"/>
      <c r="B791" s="11"/>
      <c r="C791" s="10"/>
    </row>
    <row r="792">
      <c r="A792" s="10"/>
      <c r="B792" s="11"/>
      <c r="C792" s="10"/>
    </row>
    <row r="793">
      <c r="A793" s="10"/>
      <c r="B793" s="11"/>
      <c r="C793" s="10"/>
    </row>
    <row r="794">
      <c r="A794" s="10"/>
      <c r="B794" s="11"/>
      <c r="C794" s="10"/>
    </row>
    <row r="795">
      <c r="A795" s="10"/>
      <c r="B795" s="11"/>
      <c r="C795" s="10"/>
    </row>
    <row r="796">
      <c r="A796" s="10"/>
      <c r="B796" s="11"/>
      <c r="C796" s="10"/>
    </row>
    <row r="797">
      <c r="A797" s="10"/>
      <c r="B797" s="11"/>
      <c r="C797" s="10"/>
    </row>
    <row r="798">
      <c r="A798" s="10"/>
      <c r="B798" s="11"/>
      <c r="C798" s="10"/>
    </row>
    <row r="799">
      <c r="A799" s="10"/>
      <c r="B799" s="11"/>
      <c r="C799" s="10"/>
    </row>
    <row r="800">
      <c r="A800" s="10"/>
      <c r="B800" s="11"/>
      <c r="C800" s="10"/>
    </row>
    <row r="801">
      <c r="A801" s="10"/>
      <c r="B801" s="11"/>
      <c r="C801" s="10"/>
    </row>
    <row r="802">
      <c r="A802" s="10"/>
      <c r="B802" s="11"/>
      <c r="C802" s="10"/>
    </row>
    <row r="803">
      <c r="A803" s="10"/>
      <c r="B803" s="11"/>
      <c r="C803" s="10"/>
    </row>
    <row r="804">
      <c r="A804" s="10"/>
      <c r="B804" s="11"/>
      <c r="C804" s="10"/>
    </row>
    <row r="805">
      <c r="A805" s="10"/>
      <c r="B805" s="11"/>
      <c r="C805" s="10"/>
    </row>
    <row r="806">
      <c r="A806" s="10"/>
      <c r="B806" s="11"/>
      <c r="C806" s="10"/>
    </row>
    <row r="807">
      <c r="A807" s="10"/>
      <c r="B807" s="11"/>
      <c r="C807" s="10"/>
    </row>
    <row r="808">
      <c r="A808" s="10"/>
      <c r="B808" s="11"/>
      <c r="C808" s="10"/>
    </row>
    <row r="809">
      <c r="A809" s="10"/>
      <c r="B809" s="11"/>
      <c r="C809" s="10"/>
    </row>
    <row r="810">
      <c r="A810" s="10"/>
      <c r="B810" s="11"/>
      <c r="C810" s="10"/>
    </row>
    <row r="811">
      <c r="A811" s="10"/>
      <c r="B811" s="11"/>
      <c r="C811" s="10"/>
    </row>
    <row r="812">
      <c r="A812" s="10"/>
      <c r="B812" s="11"/>
      <c r="C812" s="10"/>
    </row>
    <row r="813">
      <c r="A813" s="10"/>
      <c r="B813" s="11"/>
      <c r="C813" s="10"/>
    </row>
    <row r="814">
      <c r="A814" s="10"/>
      <c r="B814" s="11"/>
      <c r="C814" s="10"/>
    </row>
    <row r="815">
      <c r="A815" s="10"/>
      <c r="B815" s="11"/>
      <c r="C815" s="10"/>
    </row>
    <row r="816">
      <c r="A816" s="10"/>
      <c r="B816" s="11"/>
      <c r="C816" s="10"/>
    </row>
    <row r="817">
      <c r="A817" s="10"/>
      <c r="B817" s="11"/>
      <c r="C817" s="10"/>
    </row>
    <row r="818">
      <c r="A818" s="10"/>
      <c r="B818" s="11"/>
      <c r="C818" s="10"/>
    </row>
    <row r="819">
      <c r="A819" s="10"/>
      <c r="B819" s="11"/>
      <c r="C819" s="10"/>
    </row>
    <row r="820">
      <c r="A820" s="10"/>
      <c r="B820" s="11"/>
      <c r="C820" s="10"/>
    </row>
    <row r="821">
      <c r="A821" s="10"/>
      <c r="B821" s="11"/>
      <c r="C821" s="10"/>
    </row>
    <row r="822">
      <c r="A822" s="10"/>
      <c r="B822" s="11"/>
      <c r="C822" s="10"/>
    </row>
    <row r="823">
      <c r="A823" s="10"/>
      <c r="B823" s="11"/>
      <c r="C823" s="10"/>
    </row>
    <row r="824">
      <c r="A824" s="10"/>
      <c r="B824" s="11"/>
      <c r="C824" s="10"/>
    </row>
    <row r="825">
      <c r="A825" s="10"/>
      <c r="B825" s="11"/>
      <c r="C825" s="10"/>
    </row>
    <row r="826">
      <c r="A826" s="10"/>
      <c r="B826" s="11"/>
      <c r="C826" s="10"/>
    </row>
    <row r="827">
      <c r="A827" s="10"/>
      <c r="B827" s="11"/>
      <c r="C827" s="10"/>
    </row>
    <row r="828">
      <c r="A828" s="10"/>
      <c r="B828" s="11"/>
      <c r="C828" s="10"/>
    </row>
    <row r="829">
      <c r="A829" s="10"/>
      <c r="B829" s="11"/>
      <c r="C829" s="10"/>
    </row>
    <row r="830">
      <c r="A830" s="10"/>
      <c r="B830" s="11"/>
      <c r="C830" s="10"/>
    </row>
    <row r="831">
      <c r="A831" s="10"/>
      <c r="B831" s="11"/>
      <c r="C831" s="10"/>
    </row>
    <row r="832">
      <c r="A832" s="10"/>
      <c r="B832" s="11"/>
      <c r="C832" s="10"/>
    </row>
    <row r="833">
      <c r="A833" s="10"/>
      <c r="B833" s="11"/>
      <c r="C833" s="10"/>
    </row>
    <row r="834">
      <c r="A834" s="10"/>
      <c r="B834" s="11"/>
      <c r="C834" s="10"/>
    </row>
    <row r="835">
      <c r="A835" s="10"/>
      <c r="B835" s="11"/>
      <c r="C835" s="10"/>
    </row>
    <row r="836">
      <c r="A836" s="10"/>
      <c r="B836" s="11"/>
      <c r="C836" s="10"/>
    </row>
    <row r="837">
      <c r="A837" s="10"/>
      <c r="B837" s="11"/>
      <c r="C837" s="10"/>
    </row>
    <row r="838">
      <c r="A838" s="10"/>
      <c r="B838" s="11"/>
      <c r="C838" s="10"/>
    </row>
    <row r="839">
      <c r="A839" s="10"/>
      <c r="B839" s="11"/>
      <c r="C839" s="10"/>
    </row>
    <row r="840">
      <c r="A840" s="10"/>
      <c r="B840" s="11"/>
      <c r="C840" s="10"/>
    </row>
    <row r="841">
      <c r="A841" s="10"/>
      <c r="B841" s="11"/>
      <c r="C841" s="10"/>
    </row>
    <row r="842">
      <c r="A842" s="10"/>
      <c r="B842" s="11"/>
      <c r="C842" s="10"/>
    </row>
    <row r="843">
      <c r="A843" s="10"/>
      <c r="B843" s="11"/>
      <c r="C843" s="10"/>
    </row>
    <row r="844">
      <c r="A844" s="10"/>
      <c r="B844" s="11"/>
      <c r="C844" s="10"/>
    </row>
    <row r="845">
      <c r="A845" s="10"/>
      <c r="B845" s="11"/>
      <c r="C845" s="10"/>
    </row>
    <row r="846">
      <c r="A846" s="10"/>
      <c r="B846" s="11"/>
      <c r="C846" s="10"/>
    </row>
    <row r="847">
      <c r="A847" s="10"/>
      <c r="B847" s="11"/>
      <c r="C847" s="10"/>
    </row>
    <row r="848">
      <c r="A848" s="10"/>
      <c r="B848" s="11"/>
      <c r="C848" s="10"/>
    </row>
    <row r="849">
      <c r="A849" s="10"/>
      <c r="B849" s="11"/>
      <c r="C849" s="10"/>
    </row>
    <row r="850">
      <c r="A850" s="10"/>
      <c r="B850" s="11"/>
      <c r="C850" s="10"/>
    </row>
    <row r="851">
      <c r="A851" s="10"/>
      <c r="B851" s="11"/>
      <c r="C851" s="10"/>
    </row>
    <row r="852">
      <c r="A852" s="10"/>
      <c r="B852" s="11"/>
      <c r="C852" s="10"/>
    </row>
    <row r="853">
      <c r="A853" s="10"/>
      <c r="B853" s="11"/>
      <c r="C853" s="10"/>
    </row>
    <row r="854">
      <c r="A854" s="10"/>
      <c r="B854" s="11"/>
      <c r="C854" s="10"/>
    </row>
    <row r="855">
      <c r="A855" s="10"/>
      <c r="B855" s="11"/>
      <c r="C855" s="10"/>
    </row>
    <row r="856">
      <c r="A856" s="10"/>
      <c r="B856" s="11"/>
      <c r="C856" s="10"/>
    </row>
    <row r="857">
      <c r="A857" s="10"/>
      <c r="B857" s="11"/>
      <c r="C857" s="10"/>
    </row>
    <row r="858">
      <c r="A858" s="10"/>
      <c r="B858" s="11"/>
      <c r="C858" s="10"/>
    </row>
    <row r="859">
      <c r="A859" s="10"/>
      <c r="B859" s="11"/>
      <c r="C859" s="10"/>
    </row>
    <row r="860">
      <c r="A860" s="10"/>
      <c r="B860" s="11"/>
      <c r="C860" s="10"/>
    </row>
    <row r="861">
      <c r="A861" s="10"/>
      <c r="B861" s="11"/>
      <c r="C861" s="10"/>
    </row>
    <row r="862">
      <c r="A862" s="10"/>
      <c r="B862" s="11"/>
      <c r="C862" s="10"/>
    </row>
    <row r="863">
      <c r="A863" s="10"/>
      <c r="B863" s="11"/>
      <c r="C863" s="10"/>
    </row>
    <row r="864">
      <c r="A864" s="10"/>
      <c r="B864" s="11"/>
      <c r="C864" s="10"/>
    </row>
    <row r="865">
      <c r="A865" s="10"/>
      <c r="B865" s="11"/>
      <c r="C865" s="10"/>
    </row>
    <row r="866">
      <c r="A866" s="10"/>
      <c r="B866" s="11"/>
      <c r="C866" s="10"/>
    </row>
    <row r="867">
      <c r="A867" s="10"/>
      <c r="B867" s="11"/>
      <c r="C867" s="10"/>
    </row>
    <row r="868">
      <c r="A868" s="10"/>
      <c r="B868" s="11"/>
      <c r="C868" s="10"/>
    </row>
    <row r="869">
      <c r="A869" s="10"/>
      <c r="B869" s="11"/>
      <c r="C869" s="10"/>
    </row>
    <row r="870">
      <c r="A870" s="10"/>
      <c r="B870" s="11"/>
      <c r="C870" s="10"/>
    </row>
    <row r="871">
      <c r="A871" s="10"/>
      <c r="B871" s="11"/>
      <c r="C871" s="10"/>
    </row>
    <row r="872">
      <c r="A872" s="10"/>
      <c r="B872" s="11"/>
      <c r="C872" s="10"/>
    </row>
    <row r="873">
      <c r="A873" s="10"/>
      <c r="B873" s="11"/>
      <c r="C873" s="10"/>
    </row>
    <row r="874">
      <c r="A874" s="10"/>
      <c r="B874" s="11"/>
      <c r="C874" s="10"/>
    </row>
    <row r="875">
      <c r="A875" s="10"/>
      <c r="B875" s="11"/>
      <c r="C875" s="10"/>
    </row>
    <row r="876">
      <c r="A876" s="10"/>
      <c r="B876" s="11"/>
      <c r="C876" s="10"/>
    </row>
    <row r="877">
      <c r="A877" s="10"/>
      <c r="B877" s="11"/>
      <c r="C877" s="10"/>
    </row>
  </sheetData>
  <autoFilter ref="$A$1:$D$40">
    <sortState ref="A1:D40">
      <sortCondition descending="1" ref="C1:C40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7.75"/>
    <col customWidth="1" min="2" max="42" width="5.13"/>
  </cols>
  <sheetData>
    <row r="1">
      <c r="A1" s="18" t="s">
        <v>43</v>
      </c>
      <c r="B1" s="18" t="s">
        <v>42</v>
      </c>
      <c r="C1" s="18" t="s">
        <v>16</v>
      </c>
      <c r="D1" s="18" t="s">
        <v>10</v>
      </c>
      <c r="E1" s="18" t="s">
        <v>32</v>
      </c>
      <c r="F1" s="18" t="s">
        <v>39</v>
      </c>
      <c r="G1" s="18" t="s">
        <v>37</v>
      </c>
      <c r="H1" s="18" t="s">
        <v>23</v>
      </c>
      <c r="I1" s="18" t="s">
        <v>21</v>
      </c>
      <c r="J1" s="18" t="s">
        <v>25</v>
      </c>
      <c r="K1" s="18" t="s">
        <v>30</v>
      </c>
      <c r="L1" s="18" t="s">
        <v>34</v>
      </c>
      <c r="M1" s="18" t="s">
        <v>4</v>
      </c>
      <c r="N1" s="18" t="s">
        <v>38</v>
      </c>
      <c r="O1" s="18" t="s">
        <v>15</v>
      </c>
      <c r="P1" s="18" t="s">
        <v>24</v>
      </c>
      <c r="Q1" s="18" t="s">
        <v>22</v>
      </c>
      <c r="R1" s="18" t="s">
        <v>41</v>
      </c>
      <c r="S1" s="18" t="s">
        <v>12</v>
      </c>
      <c r="T1" s="18" t="s">
        <v>2</v>
      </c>
      <c r="U1" s="18" t="s">
        <v>9</v>
      </c>
      <c r="V1" s="18" t="s">
        <v>19</v>
      </c>
      <c r="W1" s="18" t="s">
        <v>26</v>
      </c>
      <c r="X1" s="18" t="s">
        <v>31</v>
      </c>
      <c r="Y1" s="18" t="s">
        <v>8</v>
      </c>
      <c r="Z1" s="18" t="s">
        <v>33</v>
      </c>
      <c r="AA1" s="18" t="s">
        <v>35</v>
      </c>
      <c r="AB1" s="18" t="s">
        <v>14</v>
      </c>
      <c r="AC1" s="18" t="s">
        <v>36</v>
      </c>
      <c r="AD1" s="18" t="s">
        <v>5</v>
      </c>
      <c r="AE1" s="18" t="s">
        <v>20</v>
      </c>
      <c r="AF1" s="18" t="s">
        <v>29</v>
      </c>
      <c r="AG1" s="18" t="s">
        <v>7</v>
      </c>
      <c r="AH1" s="18" t="s">
        <v>6</v>
      </c>
      <c r="AI1" s="18" t="s">
        <v>40</v>
      </c>
      <c r="AJ1" s="18" t="s">
        <v>17</v>
      </c>
      <c r="AK1" s="18" t="s">
        <v>13</v>
      </c>
      <c r="AL1" s="19" t="s">
        <v>28</v>
      </c>
      <c r="AM1" s="18" t="s">
        <v>18</v>
      </c>
      <c r="AN1" s="18" t="s">
        <v>11</v>
      </c>
      <c r="AO1" s="20" t="s">
        <v>44</v>
      </c>
      <c r="AP1" s="21"/>
    </row>
    <row r="2">
      <c r="A2" s="22" t="s">
        <v>45</v>
      </c>
      <c r="B2" s="23">
        <v>2.0</v>
      </c>
      <c r="C2" s="23">
        <v>2.0</v>
      </c>
      <c r="D2" s="23">
        <v>4.0</v>
      </c>
      <c r="E2" s="23">
        <v>3.0</v>
      </c>
      <c r="F2" s="23">
        <v>4.0</v>
      </c>
      <c r="G2" s="23">
        <v>5.0</v>
      </c>
      <c r="H2" s="23">
        <v>3.0</v>
      </c>
      <c r="I2" s="23">
        <v>5.0</v>
      </c>
      <c r="J2" s="23">
        <v>4.0</v>
      </c>
      <c r="K2" s="23">
        <v>2.0</v>
      </c>
      <c r="L2" s="23">
        <v>4.0</v>
      </c>
      <c r="M2" s="23">
        <v>3.0</v>
      </c>
      <c r="N2" s="23">
        <v>2.0</v>
      </c>
      <c r="O2" s="23">
        <v>3.0</v>
      </c>
      <c r="P2" s="23">
        <v>5.0</v>
      </c>
      <c r="Q2" s="23">
        <v>3.0</v>
      </c>
      <c r="R2" s="23">
        <v>2.0</v>
      </c>
      <c r="S2" s="23">
        <v>4.0</v>
      </c>
      <c r="T2" s="23">
        <v>3.0</v>
      </c>
      <c r="U2" s="23">
        <v>4.0</v>
      </c>
      <c r="V2" s="23">
        <v>4.0</v>
      </c>
      <c r="W2" s="23">
        <v>5.0</v>
      </c>
      <c r="X2" s="23">
        <v>4.0</v>
      </c>
      <c r="Y2" s="23">
        <v>3.0</v>
      </c>
      <c r="Z2" s="23">
        <v>4.0</v>
      </c>
      <c r="AA2" s="23">
        <v>2.0</v>
      </c>
      <c r="AB2" s="23">
        <v>3.0</v>
      </c>
      <c r="AC2" s="23">
        <v>2.0</v>
      </c>
      <c r="AD2" s="23">
        <v>3.0</v>
      </c>
      <c r="AE2" s="23">
        <v>2.0</v>
      </c>
      <c r="AF2" s="23">
        <v>4.0</v>
      </c>
      <c r="AG2" s="23">
        <v>4.0</v>
      </c>
      <c r="AH2" s="23">
        <v>3.0</v>
      </c>
      <c r="AI2" s="23">
        <v>3.0</v>
      </c>
      <c r="AJ2" s="23">
        <v>2.0</v>
      </c>
      <c r="AK2" s="23">
        <v>5.0</v>
      </c>
      <c r="AL2" s="23">
        <v>4.0</v>
      </c>
      <c r="AM2" s="23">
        <v>4.0</v>
      </c>
      <c r="AN2" s="23">
        <v>5.0</v>
      </c>
      <c r="AO2" s="24">
        <f t="shared" ref="AO2:AO41" si="1">SUM(B2:AN2)</f>
        <v>133</v>
      </c>
      <c r="AP2" s="25">
        <f t="shared" ref="AP2:AP41" si="2">(AO2-$B$51)/$B$51</f>
        <v>-0.01294005709</v>
      </c>
    </row>
    <row r="3">
      <c r="A3" s="18" t="s">
        <v>46</v>
      </c>
      <c r="B3" s="26">
        <v>1.0</v>
      </c>
      <c r="C3" s="27">
        <v>5.0</v>
      </c>
      <c r="D3" s="27">
        <v>5.0</v>
      </c>
      <c r="E3" s="27">
        <v>3.0</v>
      </c>
      <c r="F3" s="27">
        <v>3.0</v>
      </c>
      <c r="G3" s="27">
        <v>3.0</v>
      </c>
      <c r="H3" s="27">
        <v>4.0</v>
      </c>
      <c r="I3" s="27">
        <v>3.0</v>
      </c>
      <c r="J3" s="27">
        <v>3.0</v>
      </c>
      <c r="K3" s="27">
        <v>3.0</v>
      </c>
      <c r="L3" s="27">
        <v>3.0</v>
      </c>
      <c r="M3" s="27">
        <v>5.0</v>
      </c>
      <c r="N3" s="27">
        <v>3.0</v>
      </c>
      <c r="O3" s="27">
        <v>4.0</v>
      </c>
      <c r="P3" s="27">
        <v>3.0</v>
      </c>
      <c r="Q3" s="27">
        <v>4.0</v>
      </c>
      <c r="R3" s="27">
        <v>3.0</v>
      </c>
      <c r="S3" s="27">
        <v>4.0</v>
      </c>
      <c r="T3" s="27">
        <v>5.0</v>
      </c>
      <c r="U3" s="27">
        <v>3.0</v>
      </c>
      <c r="V3" s="27">
        <v>3.0</v>
      </c>
      <c r="W3" s="27">
        <v>3.0</v>
      </c>
      <c r="X3" s="27">
        <v>3.0</v>
      </c>
      <c r="Y3" s="27">
        <v>4.0</v>
      </c>
      <c r="Z3" s="27">
        <v>3.0</v>
      </c>
      <c r="AA3" s="27">
        <v>4.0</v>
      </c>
      <c r="AB3" s="27">
        <v>4.0</v>
      </c>
      <c r="AC3" s="27">
        <v>3.0</v>
      </c>
      <c r="AD3" s="27">
        <v>5.0</v>
      </c>
      <c r="AE3" s="27">
        <v>4.0</v>
      </c>
      <c r="AF3" s="27">
        <v>4.0</v>
      </c>
      <c r="AG3" s="27">
        <v>4.0</v>
      </c>
      <c r="AH3" s="27">
        <v>5.0</v>
      </c>
      <c r="AI3" s="27">
        <v>3.0</v>
      </c>
      <c r="AJ3" s="27">
        <v>4.0</v>
      </c>
      <c r="AK3" s="27">
        <v>3.0</v>
      </c>
      <c r="AL3" s="27">
        <v>4.0</v>
      </c>
      <c r="AM3" s="27">
        <v>4.0</v>
      </c>
      <c r="AN3" s="27">
        <v>4.0</v>
      </c>
      <c r="AO3" s="24">
        <f t="shared" si="1"/>
        <v>141</v>
      </c>
      <c r="AP3" s="25">
        <f t="shared" si="2"/>
        <v>0.04643196955</v>
      </c>
    </row>
    <row r="4">
      <c r="A4" s="18" t="s">
        <v>47</v>
      </c>
      <c r="B4" s="27">
        <v>2.0</v>
      </c>
      <c r="C4" s="26">
        <v>1.0</v>
      </c>
      <c r="D4" s="27">
        <v>5.0</v>
      </c>
      <c r="E4" s="27">
        <v>3.0</v>
      </c>
      <c r="F4" s="27">
        <v>3.0</v>
      </c>
      <c r="G4" s="27">
        <v>2.0</v>
      </c>
      <c r="H4" s="27">
        <v>3.0</v>
      </c>
      <c r="I4" s="27">
        <v>3.0</v>
      </c>
      <c r="J4" s="27">
        <v>2.0</v>
      </c>
      <c r="K4" s="27">
        <v>3.0</v>
      </c>
      <c r="L4" s="27">
        <v>2.0</v>
      </c>
      <c r="M4" s="27">
        <v>5.0</v>
      </c>
      <c r="N4" s="27">
        <v>2.0</v>
      </c>
      <c r="O4" s="27">
        <v>4.0</v>
      </c>
      <c r="P4" s="27">
        <v>4.0</v>
      </c>
      <c r="Q4" s="27">
        <v>3.0</v>
      </c>
      <c r="R4" s="27">
        <v>3.0</v>
      </c>
      <c r="S4" s="27">
        <v>5.0</v>
      </c>
      <c r="T4" s="27">
        <v>5.0</v>
      </c>
      <c r="U4" s="27">
        <v>4.0</v>
      </c>
      <c r="V4" s="27">
        <v>4.0</v>
      </c>
      <c r="W4" s="27">
        <v>3.0</v>
      </c>
      <c r="X4" s="27">
        <v>4.0</v>
      </c>
      <c r="Y4" s="27">
        <v>5.0</v>
      </c>
      <c r="Z4" s="27">
        <v>3.0</v>
      </c>
      <c r="AA4" s="27">
        <v>2.0</v>
      </c>
      <c r="AB4" s="27">
        <v>4.0</v>
      </c>
      <c r="AC4" s="27">
        <v>3.0</v>
      </c>
      <c r="AD4" s="27">
        <v>5.0</v>
      </c>
      <c r="AE4" s="27">
        <v>4.0</v>
      </c>
      <c r="AF4" s="27">
        <v>3.0</v>
      </c>
      <c r="AG4" s="27">
        <v>5.0</v>
      </c>
      <c r="AH4" s="27">
        <v>5.0</v>
      </c>
      <c r="AI4" s="27">
        <v>2.0</v>
      </c>
      <c r="AJ4" s="27">
        <v>4.0</v>
      </c>
      <c r="AK4" s="27">
        <v>4.0</v>
      </c>
      <c r="AL4" s="27">
        <v>4.0</v>
      </c>
      <c r="AM4" s="27">
        <v>4.0</v>
      </c>
      <c r="AN4" s="27">
        <v>3.0</v>
      </c>
      <c r="AO4" s="24">
        <f t="shared" si="1"/>
        <v>135</v>
      </c>
      <c r="AP4" s="25">
        <f t="shared" si="2"/>
        <v>0.001902949572</v>
      </c>
    </row>
    <row r="5">
      <c r="A5" s="18" t="s">
        <v>48</v>
      </c>
      <c r="B5" s="27">
        <v>3.0</v>
      </c>
      <c r="C5" s="27">
        <v>4.0</v>
      </c>
      <c r="D5" s="26">
        <v>1.0</v>
      </c>
      <c r="E5" s="27">
        <v>4.0</v>
      </c>
      <c r="F5" s="27">
        <v>3.0</v>
      </c>
      <c r="G5" s="27">
        <v>4.0</v>
      </c>
      <c r="H5" s="27">
        <v>3.0</v>
      </c>
      <c r="I5" s="27">
        <v>5.0</v>
      </c>
      <c r="J5" s="27">
        <v>3.0</v>
      </c>
      <c r="K5" s="27">
        <v>4.0</v>
      </c>
      <c r="L5" s="27">
        <v>4.0</v>
      </c>
      <c r="M5" s="27">
        <v>5.0</v>
      </c>
      <c r="N5" s="27">
        <v>4.0</v>
      </c>
      <c r="O5" s="27">
        <v>5.0</v>
      </c>
      <c r="P5" s="27">
        <v>5.0</v>
      </c>
      <c r="Q5" s="27">
        <v>3.0</v>
      </c>
      <c r="R5" s="27">
        <v>3.0</v>
      </c>
      <c r="S5" s="27">
        <v>4.0</v>
      </c>
      <c r="T5" s="27">
        <v>5.0</v>
      </c>
      <c r="U5" s="27">
        <v>5.0</v>
      </c>
      <c r="V5" s="27">
        <v>4.0</v>
      </c>
      <c r="W5" s="27">
        <v>4.0</v>
      </c>
      <c r="X5" s="27">
        <v>4.0</v>
      </c>
      <c r="Y5" s="27">
        <v>4.0</v>
      </c>
      <c r="Z5" s="27">
        <v>3.0</v>
      </c>
      <c r="AA5" s="27">
        <v>3.0</v>
      </c>
      <c r="AB5" s="27">
        <v>4.0</v>
      </c>
      <c r="AC5" s="27">
        <v>5.0</v>
      </c>
      <c r="AD5" s="27">
        <v>4.0</v>
      </c>
      <c r="AE5" s="27">
        <v>4.0</v>
      </c>
      <c r="AF5" s="27">
        <v>3.0</v>
      </c>
      <c r="AG5" s="27">
        <v>4.0</v>
      </c>
      <c r="AH5" s="27">
        <v>5.0</v>
      </c>
      <c r="AI5" s="27">
        <v>3.0</v>
      </c>
      <c r="AJ5" s="27">
        <v>4.0</v>
      </c>
      <c r="AK5" s="27">
        <v>4.0</v>
      </c>
      <c r="AL5" s="27">
        <v>3.0</v>
      </c>
      <c r="AM5" s="27">
        <v>4.0</v>
      </c>
      <c r="AN5" s="27">
        <v>5.0</v>
      </c>
      <c r="AO5" s="24">
        <f t="shared" si="1"/>
        <v>151</v>
      </c>
      <c r="AP5" s="25">
        <f t="shared" si="2"/>
        <v>0.1206470029</v>
      </c>
    </row>
    <row r="6">
      <c r="A6" s="18" t="s">
        <v>49</v>
      </c>
      <c r="B6" s="27">
        <v>3.0</v>
      </c>
      <c r="C6" s="27">
        <v>4.0</v>
      </c>
      <c r="D6" s="27">
        <v>3.0</v>
      </c>
      <c r="E6" s="26">
        <v>1.0</v>
      </c>
      <c r="F6" s="27">
        <v>3.0</v>
      </c>
      <c r="G6" s="27">
        <v>3.0</v>
      </c>
      <c r="H6" s="27">
        <v>3.0</v>
      </c>
      <c r="I6" s="27">
        <v>3.0</v>
      </c>
      <c r="J6" s="27">
        <v>3.0</v>
      </c>
      <c r="K6" s="27">
        <v>4.0</v>
      </c>
      <c r="L6" s="27">
        <v>3.0</v>
      </c>
      <c r="M6" s="27">
        <v>5.0</v>
      </c>
      <c r="N6" s="27">
        <v>3.0</v>
      </c>
      <c r="O6" s="27">
        <v>3.0</v>
      </c>
      <c r="P6" s="27">
        <v>3.0</v>
      </c>
      <c r="Q6" s="27">
        <v>3.0</v>
      </c>
      <c r="R6" s="27">
        <v>3.0</v>
      </c>
      <c r="S6" s="27">
        <v>4.0</v>
      </c>
      <c r="T6" s="27">
        <v>4.0</v>
      </c>
      <c r="U6" s="27">
        <v>4.0</v>
      </c>
      <c r="V6" s="27">
        <v>3.0</v>
      </c>
      <c r="W6" s="27">
        <v>3.0</v>
      </c>
      <c r="X6" s="27">
        <v>3.0</v>
      </c>
      <c r="Y6" s="27">
        <v>5.0</v>
      </c>
      <c r="Z6" s="27">
        <v>3.0</v>
      </c>
      <c r="AA6" s="27">
        <v>3.0</v>
      </c>
      <c r="AB6" s="27">
        <v>3.0</v>
      </c>
      <c r="AC6" s="27">
        <v>4.0</v>
      </c>
      <c r="AD6" s="27">
        <v>4.0</v>
      </c>
      <c r="AE6" s="27">
        <v>3.0</v>
      </c>
      <c r="AF6" s="27">
        <v>3.0</v>
      </c>
      <c r="AG6" s="27">
        <v>4.0</v>
      </c>
      <c r="AH6" s="27">
        <v>5.0</v>
      </c>
      <c r="AI6" s="27">
        <v>3.0</v>
      </c>
      <c r="AJ6" s="27">
        <v>5.0</v>
      </c>
      <c r="AK6" s="27">
        <v>3.0</v>
      </c>
      <c r="AL6" s="27">
        <v>3.0</v>
      </c>
      <c r="AM6" s="27">
        <v>3.0</v>
      </c>
      <c r="AN6" s="27">
        <v>3.0</v>
      </c>
      <c r="AO6" s="24">
        <f t="shared" si="1"/>
        <v>131</v>
      </c>
      <c r="AP6" s="25">
        <f t="shared" si="2"/>
        <v>-0.02778306375</v>
      </c>
    </row>
    <row r="7">
      <c r="A7" s="18" t="s">
        <v>50</v>
      </c>
      <c r="B7" s="27">
        <v>3.0</v>
      </c>
      <c r="C7" s="27">
        <v>4.0</v>
      </c>
      <c r="D7" s="27">
        <v>4.0</v>
      </c>
      <c r="E7" s="27">
        <v>4.0</v>
      </c>
      <c r="F7" s="26">
        <v>1.0</v>
      </c>
      <c r="G7" s="27">
        <v>4.0</v>
      </c>
      <c r="H7" s="27">
        <v>4.0</v>
      </c>
      <c r="I7" s="27">
        <v>3.0</v>
      </c>
      <c r="J7" s="27">
        <v>4.0</v>
      </c>
      <c r="K7" s="27">
        <v>3.0</v>
      </c>
      <c r="L7" s="27">
        <v>4.0</v>
      </c>
      <c r="M7" s="27">
        <v>4.0</v>
      </c>
      <c r="N7" s="27">
        <v>5.0</v>
      </c>
      <c r="O7" s="27">
        <v>3.0</v>
      </c>
      <c r="P7" s="27">
        <v>4.0</v>
      </c>
      <c r="Q7" s="27">
        <v>3.0</v>
      </c>
      <c r="R7" s="27">
        <v>4.0</v>
      </c>
      <c r="S7" s="27">
        <v>4.0</v>
      </c>
      <c r="T7" s="27">
        <v>5.0</v>
      </c>
      <c r="U7" s="27">
        <v>5.0</v>
      </c>
      <c r="V7" s="27">
        <v>4.0</v>
      </c>
      <c r="W7" s="27">
        <v>3.0</v>
      </c>
      <c r="X7" s="27">
        <v>3.0</v>
      </c>
      <c r="Y7" s="27">
        <v>5.0</v>
      </c>
      <c r="Z7" s="27">
        <v>2.0</v>
      </c>
      <c r="AA7" s="27">
        <v>4.0</v>
      </c>
      <c r="AB7" s="27">
        <v>4.0</v>
      </c>
      <c r="AC7" s="27">
        <v>5.0</v>
      </c>
      <c r="AD7" s="27">
        <v>3.0</v>
      </c>
      <c r="AE7" s="27">
        <v>4.0</v>
      </c>
      <c r="AF7" s="27">
        <v>4.0</v>
      </c>
      <c r="AG7" s="27">
        <v>4.0</v>
      </c>
      <c r="AH7" s="27">
        <v>4.0</v>
      </c>
      <c r="AI7" s="27">
        <v>3.0</v>
      </c>
      <c r="AJ7" s="27">
        <v>4.0</v>
      </c>
      <c r="AK7" s="27">
        <v>5.0</v>
      </c>
      <c r="AL7" s="27">
        <v>4.0</v>
      </c>
      <c r="AM7" s="27">
        <v>4.0</v>
      </c>
      <c r="AN7" s="27">
        <v>5.0</v>
      </c>
      <c r="AO7" s="24">
        <f t="shared" si="1"/>
        <v>149</v>
      </c>
      <c r="AP7" s="25">
        <f t="shared" si="2"/>
        <v>0.1058039962</v>
      </c>
    </row>
    <row r="8">
      <c r="A8" s="18" t="s">
        <v>51</v>
      </c>
      <c r="B8" s="27">
        <v>4.0</v>
      </c>
      <c r="C8" s="27">
        <v>5.0</v>
      </c>
      <c r="D8" s="27">
        <v>4.0</v>
      </c>
      <c r="E8" s="27">
        <v>4.0</v>
      </c>
      <c r="F8" s="27">
        <v>3.0</v>
      </c>
      <c r="G8" s="26">
        <v>1.0</v>
      </c>
      <c r="H8" s="27">
        <v>3.0</v>
      </c>
      <c r="I8" s="27">
        <v>4.0</v>
      </c>
      <c r="J8" s="27">
        <v>3.0</v>
      </c>
      <c r="K8" s="27">
        <v>5.0</v>
      </c>
      <c r="L8" s="27">
        <v>3.0</v>
      </c>
      <c r="M8" s="27">
        <v>5.0</v>
      </c>
      <c r="N8" s="27">
        <v>3.0</v>
      </c>
      <c r="O8" s="27">
        <v>4.0</v>
      </c>
      <c r="P8" s="27">
        <v>4.0</v>
      </c>
      <c r="Q8" s="27">
        <v>4.0</v>
      </c>
      <c r="R8" s="27">
        <v>3.0</v>
      </c>
      <c r="S8" s="27">
        <v>5.0</v>
      </c>
      <c r="T8" s="27">
        <v>5.0</v>
      </c>
      <c r="U8" s="27">
        <v>3.0</v>
      </c>
      <c r="V8" s="27">
        <v>4.0</v>
      </c>
      <c r="W8" s="27">
        <v>4.0</v>
      </c>
      <c r="X8" s="27">
        <v>3.0</v>
      </c>
      <c r="Y8" s="27">
        <v>5.0</v>
      </c>
      <c r="Z8" s="27">
        <v>4.0</v>
      </c>
      <c r="AA8" s="27">
        <v>4.0</v>
      </c>
      <c r="AB8" s="27">
        <v>3.0</v>
      </c>
      <c r="AC8" s="27">
        <v>2.0</v>
      </c>
      <c r="AD8" s="27">
        <v>5.0</v>
      </c>
      <c r="AE8" s="27">
        <v>4.0</v>
      </c>
      <c r="AF8" s="27">
        <v>3.0</v>
      </c>
      <c r="AG8" s="27">
        <v>5.0</v>
      </c>
      <c r="AH8" s="27">
        <v>4.0</v>
      </c>
      <c r="AI8" s="27">
        <v>2.0</v>
      </c>
      <c r="AJ8" s="27">
        <v>4.0</v>
      </c>
      <c r="AK8" s="27">
        <v>4.0</v>
      </c>
      <c r="AL8" s="27">
        <v>4.0</v>
      </c>
      <c r="AM8" s="27">
        <v>4.0</v>
      </c>
      <c r="AN8" s="27">
        <v>5.0</v>
      </c>
      <c r="AO8" s="24">
        <f t="shared" si="1"/>
        <v>148</v>
      </c>
      <c r="AP8" s="25">
        <f t="shared" si="2"/>
        <v>0.09838249286</v>
      </c>
    </row>
    <row r="9">
      <c r="A9" s="18" t="s">
        <v>52</v>
      </c>
      <c r="B9" s="27">
        <v>3.0</v>
      </c>
      <c r="C9" s="27">
        <v>5.0</v>
      </c>
      <c r="D9" s="27">
        <v>4.0</v>
      </c>
      <c r="E9" s="27">
        <v>3.0</v>
      </c>
      <c r="F9" s="27">
        <v>3.0</v>
      </c>
      <c r="G9" s="27">
        <v>3.0</v>
      </c>
      <c r="H9" s="26">
        <v>1.0</v>
      </c>
      <c r="I9" s="27">
        <v>4.0</v>
      </c>
      <c r="J9" s="27">
        <v>5.0</v>
      </c>
      <c r="K9" s="27">
        <v>3.0</v>
      </c>
      <c r="L9" s="27">
        <v>3.0</v>
      </c>
      <c r="M9" s="27">
        <v>5.0</v>
      </c>
      <c r="N9" s="27">
        <v>4.0</v>
      </c>
      <c r="O9" s="27">
        <v>4.0</v>
      </c>
      <c r="P9" s="27">
        <v>3.0</v>
      </c>
      <c r="Q9" s="27">
        <v>3.0</v>
      </c>
      <c r="R9" s="27">
        <v>3.0</v>
      </c>
      <c r="S9" s="27">
        <v>5.0</v>
      </c>
      <c r="T9" s="27">
        <v>5.0</v>
      </c>
      <c r="U9" s="27">
        <v>5.0</v>
      </c>
      <c r="V9" s="27">
        <v>5.0</v>
      </c>
      <c r="W9" s="27">
        <v>3.0</v>
      </c>
      <c r="X9" s="27">
        <v>5.0</v>
      </c>
      <c r="Y9" s="27">
        <v>4.0</v>
      </c>
      <c r="Z9" s="27">
        <v>4.0</v>
      </c>
      <c r="AA9" s="27">
        <v>3.0</v>
      </c>
      <c r="AB9" s="27">
        <v>5.0</v>
      </c>
      <c r="AC9" s="27">
        <v>3.0</v>
      </c>
      <c r="AD9" s="27">
        <v>5.0</v>
      </c>
      <c r="AE9" s="27">
        <v>4.0</v>
      </c>
      <c r="AF9" s="27">
        <v>3.0</v>
      </c>
      <c r="AG9" s="27">
        <v>5.0</v>
      </c>
      <c r="AH9" s="27">
        <v>4.0</v>
      </c>
      <c r="AI9" s="27">
        <v>3.0</v>
      </c>
      <c r="AJ9" s="27">
        <v>4.0</v>
      </c>
      <c r="AK9" s="27">
        <v>4.0</v>
      </c>
      <c r="AL9" s="27">
        <v>3.0</v>
      </c>
      <c r="AM9" s="27">
        <v>3.0</v>
      </c>
      <c r="AN9" s="27">
        <v>4.0</v>
      </c>
      <c r="AO9" s="24">
        <f t="shared" si="1"/>
        <v>148</v>
      </c>
      <c r="AP9" s="25">
        <f t="shared" si="2"/>
        <v>0.09838249286</v>
      </c>
    </row>
    <row r="10">
      <c r="A10" s="18" t="s">
        <v>53</v>
      </c>
      <c r="B10" s="27">
        <v>3.0</v>
      </c>
      <c r="C10" s="27">
        <v>4.0</v>
      </c>
      <c r="D10" s="27">
        <v>4.0</v>
      </c>
      <c r="E10" s="27">
        <v>3.0</v>
      </c>
      <c r="F10" s="27">
        <v>3.0</v>
      </c>
      <c r="G10" s="27">
        <v>3.0</v>
      </c>
      <c r="H10" s="27">
        <v>3.0</v>
      </c>
      <c r="I10" s="26">
        <v>1.0</v>
      </c>
      <c r="J10" s="27">
        <v>3.0</v>
      </c>
      <c r="K10" s="27">
        <v>4.0</v>
      </c>
      <c r="L10" s="27">
        <v>3.0</v>
      </c>
      <c r="M10" s="27">
        <v>5.0</v>
      </c>
      <c r="N10" s="27">
        <v>3.0</v>
      </c>
      <c r="O10" s="27">
        <v>5.0</v>
      </c>
      <c r="P10" s="27">
        <v>3.0</v>
      </c>
      <c r="Q10" s="27">
        <v>4.0</v>
      </c>
      <c r="R10" s="27">
        <v>3.0</v>
      </c>
      <c r="S10" s="27">
        <v>5.0</v>
      </c>
      <c r="T10" s="27">
        <v>5.0</v>
      </c>
      <c r="U10" s="27">
        <v>4.0</v>
      </c>
      <c r="V10" s="27">
        <v>4.0</v>
      </c>
      <c r="W10" s="27">
        <v>4.0</v>
      </c>
      <c r="X10" s="27">
        <v>1.0</v>
      </c>
      <c r="Y10" s="27">
        <v>5.0</v>
      </c>
      <c r="Z10" s="27">
        <v>3.0</v>
      </c>
      <c r="AA10" s="27">
        <v>3.0</v>
      </c>
      <c r="AB10" s="27">
        <v>3.0</v>
      </c>
      <c r="AC10" s="27">
        <v>3.0</v>
      </c>
      <c r="AD10" s="27">
        <v>4.0</v>
      </c>
      <c r="AE10" s="27">
        <v>3.0</v>
      </c>
      <c r="AF10" s="27">
        <v>4.0</v>
      </c>
      <c r="AG10" s="27">
        <v>4.0</v>
      </c>
      <c r="AH10" s="27">
        <v>4.0</v>
      </c>
      <c r="AI10" s="27">
        <v>3.0</v>
      </c>
      <c r="AJ10" s="27">
        <v>4.0</v>
      </c>
      <c r="AK10" s="27">
        <v>5.0</v>
      </c>
      <c r="AL10" s="27">
        <v>3.0</v>
      </c>
      <c r="AM10" s="27">
        <v>4.0</v>
      </c>
      <c r="AN10" s="27">
        <v>5.0</v>
      </c>
      <c r="AO10" s="24">
        <f t="shared" si="1"/>
        <v>140</v>
      </c>
      <c r="AP10" s="25">
        <f t="shared" si="2"/>
        <v>0.03901046622</v>
      </c>
    </row>
    <row r="11">
      <c r="A11" s="18" t="s">
        <v>54</v>
      </c>
      <c r="B11" s="27">
        <v>2.0</v>
      </c>
      <c r="C11" s="27">
        <v>3.0</v>
      </c>
      <c r="D11" s="27">
        <v>5.0</v>
      </c>
      <c r="E11" s="27">
        <v>3.0</v>
      </c>
      <c r="F11" s="27">
        <v>2.0</v>
      </c>
      <c r="G11" s="27">
        <v>3.0</v>
      </c>
      <c r="H11" s="27">
        <v>4.0</v>
      </c>
      <c r="I11" s="27">
        <v>3.0</v>
      </c>
      <c r="J11" s="26">
        <v>1.0</v>
      </c>
      <c r="K11" s="27">
        <v>4.0</v>
      </c>
      <c r="L11" s="27">
        <v>3.0</v>
      </c>
      <c r="M11" s="27">
        <v>5.0</v>
      </c>
      <c r="N11" s="27">
        <v>2.0</v>
      </c>
      <c r="O11" s="27">
        <v>4.0</v>
      </c>
      <c r="P11" s="27">
        <v>4.0</v>
      </c>
      <c r="Q11" s="27">
        <v>4.0</v>
      </c>
      <c r="R11" s="27">
        <v>2.0</v>
      </c>
      <c r="S11" s="27">
        <v>3.0</v>
      </c>
      <c r="T11" s="27">
        <v>5.0</v>
      </c>
      <c r="U11" s="27">
        <v>5.0</v>
      </c>
      <c r="V11" s="27">
        <v>4.0</v>
      </c>
      <c r="W11" s="27">
        <v>4.0</v>
      </c>
      <c r="X11" s="27">
        <v>3.0</v>
      </c>
      <c r="Y11" s="27">
        <v>5.0</v>
      </c>
      <c r="Z11" s="27">
        <v>2.0</v>
      </c>
      <c r="AA11" s="27">
        <v>3.0</v>
      </c>
      <c r="AB11" s="27">
        <v>5.0</v>
      </c>
      <c r="AC11" s="27">
        <v>2.0</v>
      </c>
      <c r="AD11" s="27">
        <v>4.0</v>
      </c>
      <c r="AE11" s="27">
        <v>3.0</v>
      </c>
      <c r="AF11" s="27">
        <v>4.0</v>
      </c>
      <c r="AG11" s="27">
        <v>5.0</v>
      </c>
      <c r="AH11" s="27">
        <v>5.0</v>
      </c>
      <c r="AI11" s="27">
        <v>2.0</v>
      </c>
      <c r="AJ11" s="27">
        <v>3.0</v>
      </c>
      <c r="AK11" s="27">
        <v>4.0</v>
      </c>
      <c r="AL11" s="27">
        <v>3.0</v>
      </c>
      <c r="AM11" s="27">
        <v>4.0</v>
      </c>
      <c r="AN11" s="27">
        <v>5.0</v>
      </c>
      <c r="AO11" s="24">
        <f t="shared" si="1"/>
        <v>137</v>
      </c>
      <c r="AP11" s="25">
        <f t="shared" si="2"/>
        <v>0.01674595623</v>
      </c>
    </row>
    <row r="12">
      <c r="A12" s="18" t="s">
        <v>55</v>
      </c>
      <c r="B12" s="27">
        <v>1.0</v>
      </c>
      <c r="C12" s="27">
        <v>2.0</v>
      </c>
      <c r="D12" s="27">
        <v>3.0</v>
      </c>
      <c r="E12" s="27">
        <v>3.0</v>
      </c>
      <c r="F12" s="27">
        <v>2.0</v>
      </c>
      <c r="G12" s="27">
        <v>3.0</v>
      </c>
      <c r="H12" s="27">
        <v>2.0</v>
      </c>
      <c r="I12" s="27">
        <v>5.0</v>
      </c>
      <c r="J12" s="27">
        <v>2.0</v>
      </c>
      <c r="K12" s="26">
        <v>1.0</v>
      </c>
      <c r="L12" s="27">
        <v>2.0</v>
      </c>
      <c r="M12" s="27">
        <v>3.0</v>
      </c>
      <c r="N12" s="27">
        <v>1.0</v>
      </c>
      <c r="O12" s="27">
        <v>4.0</v>
      </c>
      <c r="P12" s="27">
        <v>5.0</v>
      </c>
      <c r="Q12" s="27">
        <v>2.0</v>
      </c>
      <c r="R12" s="27">
        <v>2.0</v>
      </c>
      <c r="S12" s="27">
        <v>3.0</v>
      </c>
      <c r="T12" s="27">
        <v>5.0</v>
      </c>
      <c r="U12" s="27">
        <v>5.0</v>
      </c>
      <c r="V12" s="27">
        <v>3.0</v>
      </c>
      <c r="W12" s="27">
        <v>3.0</v>
      </c>
      <c r="X12" s="27">
        <v>2.0</v>
      </c>
      <c r="Y12" s="27">
        <v>4.0</v>
      </c>
      <c r="Z12" s="27">
        <v>2.0</v>
      </c>
      <c r="AA12" s="27">
        <v>2.0</v>
      </c>
      <c r="AB12" s="27">
        <v>5.0</v>
      </c>
      <c r="AC12" s="27">
        <v>3.0</v>
      </c>
      <c r="AD12" s="27">
        <v>4.0</v>
      </c>
      <c r="AE12" s="27">
        <v>3.0</v>
      </c>
      <c r="AF12" s="27">
        <v>2.0</v>
      </c>
      <c r="AG12" s="27">
        <v>4.0</v>
      </c>
      <c r="AH12" s="27">
        <v>4.0</v>
      </c>
      <c r="AI12" s="27">
        <v>2.0</v>
      </c>
      <c r="AJ12" s="27">
        <v>2.0</v>
      </c>
      <c r="AK12" s="27">
        <v>5.0</v>
      </c>
      <c r="AL12" s="27">
        <v>3.0</v>
      </c>
      <c r="AM12" s="27">
        <v>5.0</v>
      </c>
      <c r="AN12" s="27">
        <v>5.0</v>
      </c>
      <c r="AO12" s="24">
        <f t="shared" si="1"/>
        <v>119</v>
      </c>
      <c r="AP12" s="25">
        <f t="shared" si="2"/>
        <v>-0.1168411037</v>
      </c>
    </row>
    <row r="13">
      <c r="A13" s="18" t="s">
        <v>56</v>
      </c>
      <c r="B13" s="27">
        <v>3.0</v>
      </c>
      <c r="C13" s="27">
        <v>4.0</v>
      </c>
      <c r="D13" s="27">
        <v>3.0</v>
      </c>
      <c r="E13" s="27">
        <v>3.0</v>
      </c>
      <c r="F13" s="27">
        <v>3.0</v>
      </c>
      <c r="G13" s="27">
        <v>4.0</v>
      </c>
      <c r="H13" s="27">
        <v>4.0</v>
      </c>
      <c r="I13" s="27">
        <v>4.0</v>
      </c>
      <c r="J13" s="27">
        <v>3.0</v>
      </c>
      <c r="K13" s="27">
        <v>4.0</v>
      </c>
      <c r="L13" s="26">
        <v>1.0</v>
      </c>
      <c r="M13" s="27">
        <v>5.0</v>
      </c>
      <c r="N13" s="27">
        <v>3.0</v>
      </c>
      <c r="O13" s="27">
        <v>3.0</v>
      </c>
      <c r="P13" s="27">
        <v>3.0</v>
      </c>
      <c r="Q13" s="27">
        <v>3.0</v>
      </c>
      <c r="R13" s="27">
        <v>3.0</v>
      </c>
      <c r="S13" s="27">
        <v>4.0</v>
      </c>
      <c r="T13" s="27">
        <v>5.0</v>
      </c>
      <c r="U13" s="27">
        <v>5.0</v>
      </c>
      <c r="V13" s="27">
        <v>3.0</v>
      </c>
      <c r="W13" s="27">
        <v>3.0</v>
      </c>
      <c r="X13" s="27">
        <v>3.0</v>
      </c>
      <c r="Y13" s="27">
        <v>5.0</v>
      </c>
      <c r="Z13" s="27">
        <v>3.0</v>
      </c>
      <c r="AA13" s="27">
        <v>3.0</v>
      </c>
      <c r="AB13" s="27">
        <v>3.0</v>
      </c>
      <c r="AC13" s="27">
        <v>3.0</v>
      </c>
      <c r="AD13" s="27">
        <v>5.0</v>
      </c>
      <c r="AE13" s="27">
        <v>4.0</v>
      </c>
      <c r="AF13" s="27">
        <v>3.0</v>
      </c>
      <c r="AG13" s="27">
        <v>5.0</v>
      </c>
      <c r="AH13" s="27">
        <v>5.0</v>
      </c>
      <c r="AI13" s="27">
        <v>3.0</v>
      </c>
      <c r="AJ13" s="27">
        <v>4.0</v>
      </c>
      <c r="AK13" s="27">
        <v>3.0</v>
      </c>
      <c r="AL13" s="27">
        <v>4.0</v>
      </c>
      <c r="AM13" s="27">
        <v>5.0</v>
      </c>
      <c r="AN13" s="27">
        <v>4.0</v>
      </c>
      <c r="AO13" s="24">
        <f t="shared" si="1"/>
        <v>141</v>
      </c>
      <c r="AP13" s="25">
        <f t="shared" si="2"/>
        <v>0.04643196955</v>
      </c>
    </row>
    <row r="14">
      <c r="A14" s="18" t="s">
        <v>57</v>
      </c>
      <c r="B14" s="27">
        <v>3.0</v>
      </c>
      <c r="C14" s="27">
        <v>4.0</v>
      </c>
      <c r="D14" s="27">
        <v>4.0</v>
      </c>
      <c r="E14" s="27">
        <v>3.0</v>
      </c>
      <c r="F14" s="27">
        <v>4.0</v>
      </c>
      <c r="G14" s="27">
        <v>3.0</v>
      </c>
      <c r="H14" s="27">
        <v>3.0</v>
      </c>
      <c r="I14" s="27">
        <v>4.0</v>
      </c>
      <c r="J14" s="27">
        <v>5.0</v>
      </c>
      <c r="K14" s="27">
        <v>3.0</v>
      </c>
      <c r="L14" s="27">
        <v>3.0</v>
      </c>
      <c r="M14" s="26">
        <v>1.0</v>
      </c>
      <c r="N14" s="27">
        <v>3.0</v>
      </c>
      <c r="O14" s="27">
        <v>5.0</v>
      </c>
      <c r="P14" s="27">
        <v>4.0</v>
      </c>
      <c r="Q14" s="27">
        <v>3.0</v>
      </c>
      <c r="R14" s="27">
        <v>3.0</v>
      </c>
      <c r="S14" s="27">
        <v>4.0</v>
      </c>
      <c r="T14" s="27">
        <v>5.0</v>
      </c>
      <c r="U14" s="27">
        <v>4.0</v>
      </c>
      <c r="V14" s="27">
        <v>3.0</v>
      </c>
      <c r="W14" s="27">
        <v>3.0</v>
      </c>
      <c r="X14" s="27">
        <v>3.0</v>
      </c>
      <c r="Y14" s="27">
        <v>4.0</v>
      </c>
      <c r="Z14" s="27">
        <v>4.0</v>
      </c>
      <c r="AA14" s="27">
        <v>3.0</v>
      </c>
      <c r="AB14" s="27">
        <v>4.0</v>
      </c>
      <c r="AC14" s="27">
        <v>3.0</v>
      </c>
      <c r="AD14" s="27">
        <v>4.0</v>
      </c>
      <c r="AE14" s="27">
        <v>3.0</v>
      </c>
      <c r="AF14" s="27">
        <v>3.0</v>
      </c>
      <c r="AG14" s="27">
        <v>4.0</v>
      </c>
      <c r="AH14" s="27">
        <v>5.0</v>
      </c>
      <c r="AI14" s="27">
        <v>3.0</v>
      </c>
      <c r="AJ14" s="27">
        <v>4.0</v>
      </c>
      <c r="AK14" s="27">
        <v>4.0</v>
      </c>
      <c r="AL14" s="27">
        <v>4.0</v>
      </c>
      <c r="AM14" s="27">
        <v>4.0</v>
      </c>
      <c r="AN14" s="27">
        <v>5.0</v>
      </c>
      <c r="AO14" s="24">
        <f t="shared" si="1"/>
        <v>141</v>
      </c>
      <c r="AP14" s="25">
        <f t="shared" si="2"/>
        <v>0.04643196955</v>
      </c>
    </row>
    <row r="15">
      <c r="A15" s="18" t="s">
        <v>58</v>
      </c>
      <c r="B15" s="27">
        <v>3.0</v>
      </c>
      <c r="C15" s="27">
        <v>4.0</v>
      </c>
      <c r="D15" s="27">
        <v>5.0</v>
      </c>
      <c r="E15" s="27">
        <v>3.0</v>
      </c>
      <c r="F15" s="27">
        <v>3.0</v>
      </c>
      <c r="G15" s="27">
        <v>3.0</v>
      </c>
      <c r="H15" s="27">
        <v>4.0</v>
      </c>
      <c r="I15" s="27">
        <v>5.0</v>
      </c>
      <c r="J15" s="27">
        <v>5.0</v>
      </c>
      <c r="K15" s="27">
        <v>4.0</v>
      </c>
      <c r="L15" s="27">
        <v>4.0</v>
      </c>
      <c r="M15" s="27">
        <v>4.0</v>
      </c>
      <c r="N15" s="26">
        <v>1.0</v>
      </c>
      <c r="O15" s="27">
        <v>4.0</v>
      </c>
      <c r="P15" s="27">
        <v>4.0</v>
      </c>
      <c r="Q15" s="27">
        <v>3.0</v>
      </c>
      <c r="R15" s="27">
        <v>3.0</v>
      </c>
      <c r="S15" s="27">
        <v>5.0</v>
      </c>
      <c r="T15" s="27">
        <v>5.0</v>
      </c>
      <c r="U15" s="27">
        <v>5.0</v>
      </c>
      <c r="V15" s="27">
        <v>4.0</v>
      </c>
      <c r="W15" s="27">
        <v>4.0</v>
      </c>
      <c r="X15" s="27">
        <v>5.0</v>
      </c>
      <c r="Y15" s="27">
        <v>4.0</v>
      </c>
      <c r="Z15" s="27">
        <v>3.0</v>
      </c>
      <c r="AA15" s="27">
        <v>4.0</v>
      </c>
      <c r="AB15" s="27">
        <v>5.0</v>
      </c>
      <c r="AC15" s="27">
        <v>4.0</v>
      </c>
      <c r="AD15" s="27">
        <v>5.0</v>
      </c>
      <c r="AE15" s="27">
        <v>5.0</v>
      </c>
      <c r="AF15" s="27">
        <v>3.0</v>
      </c>
      <c r="AG15" s="27">
        <v>5.0</v>
      </c>
      <c r="AH15" s="27">
        <v>4.0</v>
      </c>
      <c r="AI15" s="27">
        <v>3.0</v>
      </c>
      <c r="AJ15" s="27">
        <v>4.0</v>
      </c>
      <c r="AK15" s="27">
        <v>4.0</v>
      </c>
      <c r="AL15" s="27">
        <v>3.0</v>
      </c>
      <c r="AM15" s="27">
        <v>3.0</v>
      </c>
      <c r="AN15" s="27">
        <v>5.0</v>
      </c>
      <c r="AO15" s="24">
        <f t="shared" si="1"/>
        <v>154</v>
      </c>
      <c r="AP15" s="25">
        <f t="shared" si="2"/>
        <v>0.1429115128</v>
      </c>
    </row>
    <row r="16">
      <c r="A16" s="18" t="s">
        <v>59</v>
      </c>
      <c r="B16" s="27">
        <v>2.0</v>
      </c>
      <c r="C16" s="27">
        <v>3.0</v>
      </c>
      <c r="D16" s="27">
        <v>5.0</v>
      </c>
      <c r="E16" s="27">
        <v>3.0</v>
      </c>
      <c r="F16" s="27">
        <v>2.0</v>
      </c>
      <c r="G16" s="27">
        <v>2.0</v>
      </c>
      <c r="H16" s="27">
        <v>4.0</v>
      </c>
      <c r="I16" s="27">
        <v>3.0</v>
      </c>
      <c r="J16" s="27">
        <v>3.0</v>
      </c>
      <c r="K16" s="27">
        <v>2.0</v>
      </c>
      <c r="L16" s="27">
        <v>2.0</v>
      </c>
      <c r="M16" s="27">
        <v>4.0</v>
      </c>
      <c r="N16" s="27">
        <v>3.0</v>
      </c>
      <c r="O16" s="26">
        <v>1.0</v>
      </c>
      <c r="P16" s="27">
        <v>4.0</v>
      </c>
      <c r="Q16" s="27">
        <v>5.0</v>
      </c>
      <c r="R16" s="27">
        <v>3.0</v>
      </c>
      <c r="S16" s="27">
        <v>4.0</v>
      </c>
      <c r="T16" s="27">
        <v>5.0</v>
      </c>
      <c r="U16" s="27">
        <v>5.0</v>
      </c>
      <c r="V16" s="27">
        <v>4.0</v>
      </c>
      <c r="W16" s="27">
        <v>4.0</v>
      </c>
      <c r="X16" s="27">
        <v>4.0</v>
      </c>
      <c r="Y16" s="27">
        <v>5.0</v>
      </c>
      <c r="Z16" s="27">
        <v>3.0</v>
      </c>
      <c r="AA16" s="27">
        <v>3.0</v>
      </c>
      <c r="AB16" s="27">
        <v>4.0</v>
      </c>
      <c r="AC16" s="27">
        <v>4.0</v>
      </c>
      <c r="AD16" s="27">
        <v>5.0</v>
      </c>
      <c r="AE16" s="27">
        <v>5.0</v>
      </c>
      <c r="AF16" s="27">
        <v>3.0</v>
      </c>
      <c r="AG16" s="27">
        <v>4.0</v>
      </c>
      <c r="AH16" s="27">
        <v>5.0</v>
      </c>
      <c r="AI16" s="27">
        <v>2.0</v>
      </c>
      <c r="AJ16" s="27">
        <v>3.0</v>
      </c>
      <c r="AK16" s="27">
        <v>4.0</v>
      </c>
      <c r="AL16" s="27">
        <v>3.0</v>
      </c>
      <c r="AM16" s="27">
        <v>4.0</v>
      </c>
      <c r="AN16" s="27">
        <v>5.0</v>
      </c>
      <c r="AO16" s="24">
        <f t="shared" si="1"/>
        <v>139</v>
      </c>
      <c r="AP16" s="25">
        <f t="shared" si="2"/>
        <v>0.03158896289</v>
      </c>
    </row>
    <row r="17">
      <c r="A17" s="18" t="s">
        <v>60</v>
      </c>
      <c r="B17" s="27">
        <v>3.0</v>
      </c>
      <c r="C17" s="27">
        <v>3.0</v>
      </c>
      <c r="D17" s="27">
        <v>4.0</v>
      </c>
      <c r="E17" s="27">
        <v>3.0</v>
      </c>
      <c r="F17" s="27">
        <v>3.0</v>
      </c>
      <c r="G17" s="27">
        <v>3.0</v>
      </c>
      <c r="H17" s="27">
        <v>4.0</v>
      </c>
      <c r="I17" s="27">
        <v>4.0</v>
      </c>
      <c r="J17" s="27">
        <v>4.0</v>
      </c>
      <c r="K17" s="27">
        <v>4.0</v>
      </c>
      <c r="L17" s="27">
        <v>3.0</v>
      </c>
      <c r="M17" s="27">
        <v>5.0</v>
      </c>
      <c r="N17" s="27">
        <v>4.0</v>
      </c>
      <c r="O17" s="27">
        <v>5.0</v>
      </c>
      <c r="P17" s="26">
        <v>1.0</v>
      </c>
      <c r="Q17" s="27">
        <v>5.0</v>
      </c>
      <c r="R17" s="27">
        <v>4.0</v>
      </c>
      <c r="S17" s="27">
        <v>4.0</v>
      </c>
      <c r="T17" s="27">
        <v>5.0</v>
      </c>
      <c r="U17" s="27">
        <v>5.0</v>
      </c>
      <c r="V17" s="27">
        <v>5.0</v>
      </c>
      <c r="W17" s="27">
        <v>5.0</v>
      </c>
      <c r="X17" s="27">
        <v>3.0</v>
      </c>
      <c r="Y17" s="27">
        <v>5.0</v>
      </c>
      <c r="Z17" s="27">
        <v>5.0</v>
      </c>
      <c r="AA17" s="27">
        <v>3.0</v>
      </c>
      <c r="AB17" s="27">
        <v>5.0</v>
      </c>
      <c r="AC17" s="27">
        <v>3.0</v>
      </c>
      <c r="AD17" s="27">
        <v>4.0</v>
      </c>
      <c r="AE17" s="27">
        <v>4.0</v>
      </c>
      <c r="AF17" s="27">
        <v>4.0</v>
      </c>
      <c r="AG17" s="27">
        <v>5.0</v>
      </c>
      <c r="AH17" s="27">
        <v>4.0</v>
      </c>
      <c r="AI17" s="27">
        <v>3.0</v>
      </c>
      <c r="AJ17" s="27">
        <v>4.0</v>
      </c>
      <c r="AK17" s="27">
        <v>5.0</v>
      </c>
      <c r="AL17" s="27">
        <v>3.0</v>
      </c>
      <c r="AM17" s="27">
        <v>4.0</v>
      </c>
      <c r="AN17" s="27">
        <v>5.0</v>
      </c>
      <c r="AO17" s="24">
        <f t="shared" si="1"/>
        <v>155</v>
      </c>
      <c r="AP17" s="25">
        <f t="shared" si="2"/>
        <v>0.1503330162</v>
      </c>
    </row>
    <row r="18">
      <c r="A18" s="18" t="s">
        <v>61</v>
      </c>
      <c r="B18" s="27">
        <v>2.0</v>
      </c>
      <c r="C18" s="27">
        <v>4.0</v>
      </c>
      <c r="D18" s="27">
        <v>4.0</v>
      </c>
      <c r="E18" s="27">
        <v>3.0</v>
      </c>
      <c r="F18" s="27">
        <v>2.0</v>
      </c>
      <c r="G18" s="27">
        <v>3.0</v>
      </c>
      <c r="H18" s="27">
        <v>3.0</v>
      </c>
      <c r="I18" s="27">
        <v>4.0</v>
      </c>
      <c r="J18" s="27">
        <v>4.0</v>
      </c>
      <c r="K18" s="27">
        <v>3.0</v>
      </c>
      <c r="L18" s="27">
        <v>4.0</v>
      </c>
      <c r="M18" s="27">
        <v>4.0</v>
      </c>
      <c r="N18" s="27">
        <v>3.0</v>
      </c>
      <c r="O18" s="27">
        <v>4.0</v>
      </c>
      <c r="P18" s="27">
        <v>3.0</v>
      </c>
      <c r="Q18" s="26">
        <v>1.0</v>
      </c>
      <c r="R18" s="27">
        <v>3.0</v>
      </c>
      <c r="S18" s="27">
        <v>5.0</v>
      </c>
      <c r="T18" s="27">
        <v>4.0</v>
      </c>
      <c r="U18" s="27">
        <v>4.0</v>
      </c>
      <c r="V18" s="27">
        <v>3.0</v>
      </c>
      <c r="W18" s="27">
        <v>3.0</v>
      </c>
      <c r="X18" s="27">
        <v>4.0</v>
      </c>
      <c r="Y18" s="27">
        <v>5.0</v>
      </c>
      <c r="Z18" s="27">
        <v>3.0</v>
      </c>
      <c r="AA18" s="27">
        <v>2.0</v>
      </c>
      <c r="AB18" s="27">
        <v>5.0</v>
      </c>
      <c r="AC18" s="27">
        <v>3.0</v>
      </c>
      <c r="AD18" s="27">
        <v>5.0</v>
      </c>
      <c r="AE18" s="27">
        <v>4.0</v>
      </c>
      <c r="AF18" s="27">
        <v>4.0</v>
      </c>
      <c r="AG18" s="27">
        <v>5.0</v>
      </c>
      <c r="AH18" s="27">
        <v>4.0</v>
      </c>
      <c r="AI18" s="27">
        <v>3.0</v>
      </c>
      <c r="AJ18" s="27">
        <v>4.0</v>
      </c>
      <c r="AK18" s="27">
        <v>4.0</v>
      </c>
      <c r="AL18" s="27">
        <v>4.0</v>
      </c>
      <c r="AM18" s="27">
        <v>5.0</v>
      </c>
      <c r="AN18" s="27">
        <v>4.0</v>
      </c>
      <c r="AO18" s="24">
        <f t="shared" si="1"/>
        <v>141</v>
      </c>
      <c r="AP18" s="25">
        <f t="shared" si="2"/>
        <v>0.04643196955</v>
      </c>
    </row>
    <row r="19">
      <c r="A19" s="18" t="s">
        <v>62</v>
      </c>
      <c r="B19" s="27">
        <v>5.0</v>
      </c>
      <c r="C19" s="27">
        <v>5.0</v>
      </c>
      <c r="D19" s="27">
        <v>4.0</v>
      </c>
      <c r="E19" s="27">
        <v>3.0</v>
      </c>
      <c r="F19" s="27">
        <v>2.0</v>
      </c>
      <c r="G19" s="27">
        <v>5.0</v>
      </c>
      <c r="H19" s="27">
        <v>5.0</v>
      </c>
      <c r="I19" s="27">
        <v>3.0</v>
      </c>
      <c r="J19" s="27">
        <v>3.0</v>
      </c>
      <c r="K19" s="27">
        <v>3.0</v>
      </c>
      <c r="L19" s="27">
        <v>3.0</v>
      </c>
      <c r="M19" s="27">
        <v>3.0</v>
      </c>
      <c r="N19" s="27">
        <v>2.0</v>
      </c>
      <c r="O19" s="27">
        <v>4.0</v>
      </c>
      <c r="P19" s="27">
        <v>3.0</v>
      </c>
      <c r="Q19" s="27">
        <v>4.0</v>
      </c>
      <c r="R19" s="26">
        <v>1.0</v>
      </c>
      <c r="S19" s="27">
        <v>4.0</v>
      </c>
      <c r="T19" s="27">
        <v>5.0</v>
      </c>
      <c r="U19" s="27">
        <v>3.0</v>
      </c>
      <c r="V19" s="27">
        <v>3.0</v>
      </c>
      <c r="W19" s="27">
        <v>3.0</v>
      </c>
      <c r="X19" s="27">
        <v>2.0</v>
      </c>
      <c r="Y19" s="27">
        <v>3.0</v>
      </c>
      <c r="Z19" s="27">
        <v>4.0</v>
      </c>
      <c r="AA19" s="27">
        <v>3.0</v>
      </c>
      <c r="AB19" s="27">
        <v>5.0</v>
      </c>
      <c r="AC19" s="27">
        <v>3.0</v>
      </c>
      <c r="AD19" s="27">
        <v>5.0</v>
      </c>
      <c r="AE19" s="27">
        <v>4.0</v>
      </c>
      <c r="AF19" s="27">
        <v>3.0</v>
      </c>
      <c r="AG19" s="27">
        <v>5.0</v>
      </c>
      <c r="AH19" s="27">
        <v>4.0</v>
      </c>
      <c r="AI19" s="27">
        <v>4.0</v>
      </c>
      <c r="AJ19" s="27">
        <v>3.0</v>
      </c>
      <c r="AK19" s="27">
        <v>4.0</v>
      </c>
      <c r="AL19" s="27">
        <v>3.0</v>
      </c>
      <c r="AM19" s="27">
        <v>3.0</v>
      </c>
      <c r="AN19" s="27">
        <v>3.0</v>
      </c>
      <c r="AO19" s="24">
        <f t="shared" si="1"/>
        <v>137</v>
      </c>
      <c r="AP19" s="25">
        <f t="shared" si="2"/>
        <v>0.01674595623</v>
      </c>
    </row>
    <row r="20">
      <c r="A20" s="18" t="s">
        <v>63</v>
      </c>
      <c r="B20" s="27">
        <v>2.0</v>
      </c>
      <c r="C20" s="27">
        <v>3.0</v>
      </c>
      <c r="D20" s="27">
        <v>3.0</v>
      </c>
      <c r="E20" s="27">
        <v>3.0</v>
      </c>
      <c r="F20" s="27">
        <v>3.0</v>
      </c>
      <c r="G20" s="27">
        <v>2.0</v>
      </c>
      <c r="H20" s="27">
        <v>3.0</v>
      </c>
      <c r="I20" s="27">
        <v>2.0</v>
      </c>
      <c r="J20" s="27">
        <v>2.0</v>
      </c>
      <c r="K20" s="27">
        <v>2.0</v>
      </c>
      <c r="L20" s="27">
        <v>2.0</v>
      </c>
      <c r="M20" s="27">
        <v>4.0</v>
      </c>
      <c r="N20" s="27">
        <v>2.0</v>
      </c>
      <c r="O20" s="27">
        <v>3.0</v>
      </c>
      <c r="P20" s="27">
        <v>2.0</v>
      </c>
      <c r="Q20" s="27">
        <v>3.0</v>
      </c>
      <c r="R20" s="27">
        <v>3.0</v>
      </c>
      <c r="S20" s="26">
        <v>1.0</v>
      </c>
      <c r="T20" s="27">
        <v>4.0</v>
      </c>
      <c r="U20" s="27">
        <v>3.0</v>
      </c>
      <c r="V20" s="27">
        <v>2.0</v>
      </c>
      <c r="W20" s="27">
        <v>3.0</v>
      </c>
      <c r="X20" s="27">
        <v>3.0</v>
      </c>
      <c r="Y20" s="27">
        <v>3.0</v>
      </c>
      <c r="Z20" s="27">
        <v>2.0</v>
      </c>
      <c r="AA20" s="27">
        <v>3.0</v>
      </c>
      <c r="AB20" s="27">
        <v>3.0</v>
      </c>
      <c r="AC20" s="27">
        <v>2.0</v>
      </c>
      <c r="AD20" s="27">
        <v>5.0</v>
      </c>
      <c r="AE20" s="27">
        <v>3.0</v>
      </c>
      <c r="AF20" s="27">
        <v>3.0</v>
      </c>
      <c r="AG20" s="27">
        <v>5.0</v>
      </c>
      <c r="AH20" s="27">
        <v>4.0</v>
      </c>
      <c r="AI20" s="27">
        <v>2.0</v>
      </c>
      <c r="AJ20" s="27">
        <v>4.0</v>
      </c>
      <c r="AK20" s="27">
        <v>3.0</v>
      </c>
      <c r="AL20" s="27">
        <v>3.0</v>
      </c>
      <c r="AM20" s="27">
        <v>3.0</v>
      </c>
      <c r="AN20" s="27">
        <v>3.0</v>
      </c>
      <c r="AO20" s="24">
        <f t="shared" si="1"/>
        <v>111</v>
      </c>
      <c r="AP20" s="25">
        <f t="shared" si="2"/>
        <v>-0.1762131304</v>
      </c>
    </row>
    <row r="21">
      <c r="A21" s="18" t="s">
        <v>64</v>
      </c>
      <c r="B21" s="27">
        <v>3.0</v>
      </c>
      <c r="C21" s="27">
        <v>3.0</v>
      </c>
      <c r="D21" s="27">
        <v>5.0</v>
      </c>
      <c r="E21" s="27">
        <v>3.0</v>
      </c>
      <c r="F21" s="27">
        <v>4.0</v>
      </c>
      <c r="G21" s="27">
        <v>3.0</v>
      </c>
      <c r="H21" s="27">
        <v>3.0</v>
      </c>
      <c r="I21" s="27">
        <v>3.0</v>
      </c>
      <c r="J21" s="27">
        <v>3.0</v>
      </c>
      <c r="K21" s="27">
        <v>3.0</v>
      </c>
      <c r="L21" s="27">
        <v>3.0</v>
      </c>
      <c r="M21" s="27">
        <v>4.0</v>
      </c>
      <c r="N21" s="27">
        <v>3.0</v>
      </c>
      <c r="O21" s="27">
        <v>4.0</v>
      </c>
      <c r="P21" s="27">
        <v>3.0</v>
      </c>
      <c r="Q21" s="27">
        <v>3.0</v>
      </c>
      <c r="R21" s="27">
        <v>3.0</v>
      </c>
      <c r="S21" s="27">
        <v>3.0</v>
      </c>
      <c r="T21" s="26">
        <v>1.0</v>
      </c>
      <c r="U21" s="27">
        <v>5.0</v>
      </c>
      <c r="V21" s="27">
        <v>5.0</v>
      </c>
      <c r="W21" s="27">
        <v>3.0</v>
      </c>
      <c r="X21" s="27">
        <v>3.0</v>
      </c>
      <c r="Y21" s="27">
        <v>4.0</v>
      </c>
      <c r="Z21" s="27">
        <v>3.0</v>
      </c>
      <c r="AA21" s="27">
        <v>3.0</v>
      </c>
      <c r="AB21" s="27">
        <v>3.0</v>
      </c>
      <c r="AC21" s="27">
        <v>4.0</v>
      </c>
      <c r="AD21" s="27">
        <v>5.0</v>
      </c>
      <c r="AE21" s="27">
        <v>3.0</v>
      </c>
      <c r="AF21" s="27">
        <v>3.0</v>
      </c>
      <c r="AG21" s="27">
        <v>4.0</v>
      </c>
      <c r="AH21" s="27">
        <v>5.0</v>
      </c>
      <c r="AI21" s="27">
        <v>3.0</v>
      </c>
      <c r="AJ21" s="27">
        <v>3.0</v>
      </c>
      <c r="AK21" s="27">
        <v>5.0</v>
      </c>
      <c r="AL21" s="27">
        <v>4.0</v>
      </c>
      <c r="AM21" s="27">
        <v>3.0</v>
      </c>
      <c r="AN21" s="27">
        <v>5.0</v>
      </c>
      <c r="AO21" s="24">
        <f t="shared" si="1"/>
        <v>136</v>
      </c>
      <c r="AP21" s="25">
        <f t="shared" si="2"/>
        <v>0.009324452902</v>
      </c>
    </row>
    <row r="22">
      <c r="A22" s="18" t="s">
        <v>65</v>
      </c>
      <c r="B22" s="27">
        <v>4.0</v>
      </c>
      <c r="C22" s="27">
        <v>5.0</v>
      </c>
      <c r="D22" s="27">
        <v>5.0</v>
      </c>
      <c r="E22" s="27">
        <v>4.0</v>
      </c>
      <c r="F22" s="27">
        <v>3.0</v>
      </c>
      <c r="G22" s="27">
        <v>3.0</v>
      </c>
      <c r="H22" s="27">
        <v>5.0</v>
      </c>
      <c r="I22" s="27">
        <v>4.0</v>
      </c>
      <c r="J22" s="27">
        <v>4.0</v>
      </c>
      <c r="K22" s="27">
        <v>3.0</v>
      </c>
      <c r="L22" s="27">
        <v>4.0</v>
      </c>
      <c r="M22" s="27">
        <v>5.0</v>
      </c>
      <c r="N22" s="27">
        <v>3.0</v>
      </c>
      <c r="O22" s="27">
        <v>5.0</v>
      </c>
      <c r="P22" s="27">
        <v>4.0</v>
      </c>
      <c r="Q22" s="27">
        <v>5.0</v>
      </c>
      <c r="R22" s="27">
        <v>3.0</v>
      </c>
      <c r="S22" s="27">
        <v>4.0</v>
      </c>
      <c r="T22" s="27">
        <v>5.0</v>
      </c>
      <c r="U22" s="26">
        <v>1.0</v>
      </c>
      <c r="V22" s="27">
        <v>4.0</v>
      </c>
      <c r="W22" s="27">
        <v>4.0</v>
      </c>
      <c r="X22" s="27">
        <v>3.0</v>
      </c>
      <c r="Y22" s="27">
        <v>5.0</v>
      </c>
      <c r="Z22" s="27">
        <v>3.0</v>
      </c>
      <c r="AA22" s="27">
        <v>3.0</v>
      </c>
      <c r="AB22" s="27">
        <v>5.0</v>
      </c>
      <c r="AC22" s="27">
        <v>3.0</v>
      </c>
      <c r="AD22" s="27">
        <v>5.0</v>
      </c>
      <c r="AE22" s="27">
        <v>4.0</v>
      </c>
      <c r="AF22" s="27">
        <v>4.0</v>
      </c>
      <c r="AG22" s="27">
        <v>5.0</v>
      </c>
      <c r="AH22" s="27">
        <v>5.0</v>
      </c>
      <c r="AI22" s="27">
        <v>3.0</v>
      </c>
      <c r="AJ22" s="27">
        <v>5.0</v>
      </c>
      <c r="AK22" s="27">
        <v>4.0</v>
      </c>
      <c r="AL22" s="27">
        <v>3.0</v>
      </c>
      <c r="AM22" s="27">
        <v>4.0</v>
      </c>
      <c r="AN22" s="27">
        <v>4.0</v>
      </c>
      <c r="AO22" s="24">
        <f t="shared" si="1"/>
        <v>155</v>
      </c>
      <c r="AP22" s="25">
        <f t="shared" si="2"/>
        <v>0.1503330162</v>
      </c>
    </row>
    <row r="23">
      <c r="A23" s="18" t="s">
        <v>66</v>
      </c>
      <c r="B23" s="27">
        <v>4.0</v>
      </c>
      <c r="C23" s="27">
        <v>5.0</v>
      </c>
      <c r="D23" s="27">
        <v>5.0</v>
      </c>
      <c r="E23" s="27">
        <v>4.0</v>
      </c>
      <c r="F23" s="27">
        <v>4.0</v>
      </c>
      <c r="G23" s="27">
        <v>4.0</v>
      </c>
      <c r="H23" s="27">
        <v>4.0</v>
      </c>
      <c r="I23" s="27">
        <v>5.0</v>
      </c>
      <c r="J23" s="27">
        <v>5.0</v>
      </c>
      <c r="K23" s="27">
        <v>4.0</v>
      </c>
      <c r="L23" s="27">
        <v>5.0</v>
      </c>
      <c r="M23" s="27">
        <v>5.0</v>
      </c>
      <c r="N23" s="27">
        <v>4.0</v>
      </c>
      <c r="O23" s="27">
        <v>4.0</v>
      </c>
      <c r="P23" s="27">
        <v>4.0</v>
      </c>
      <c r="Q23" s="27">
        <v>5.0</v>
      </c>
      <c r="R23" s="27">
        <v>4.0</v>
      </c>
      <c r="S23" s="27">
        <v>4.0</v>
      </c>
      <c r="T23" s="27">
        <v>5.0</v>
      </c>
      <c r="U23" s="27">
        <v>5.0</v>
      </c>
      <c r="V23" s="26">
        <v>1.0</v>
      </c>
      <c r="W23" s="27">
        <v>4.0</v>
      </c>
      <c r="X23" s="27">
        <v>4.0</v>
      </c>
      <c r="Y23" s="27">
        <v>5.0</v>
      </c>
      <c r="Z23" s="27">
        <v>4.0</v>
      </c>
      <c r="AA23" s="27">
        <v>4.0</v>
      </c>
      <c r="AB23" s="27">
        <v>5.0</v>
      </c>
      <c r="AC23" s="27">
        <v>5.0</v>
      </c>
      <c r="AD23" s="27">
        <v>5.0</v>
      </c>
      <c r="AE23" s="27">
        <v>4.0</v>
      </c>
      <c r="AF23" s="27">
        <v>4.0</v>
      </c>
      <c r="AG23" s="27">
        <v>5.0</v>
      </c>
      <c r="AH23" s="27">
        <v>5.0</v>
      </c>
      <c r="AI23" s="27">
        <v>4.0</v>
      </c>
      <c r="AJ23" s="27">
        <v>5.0</v>
      </c>
      <c r="AK23" s="27">
        <v>5.0</v>
      </c>
      <c r="AL23" s="27">
        <v>4.0</v>
      </c>
      <c r="AM23" s="27">
        <v>5.0</v>
      </c>
      <c r="AN23" s="27">
        <v>5.0</v>
      </c>
      <c r="AO23" s="24">
        <f t="shared" si="1"/>
        <v>172</v>
      </c>
      <c r="AP23" s="25">
        <f t="shared" si="2"/>
        <v>0.2764985728</v>
      </c>
    </row>
    <row r="24">
      <c r="A24" s="18" t="s">
        <v>67</v>
      </c>
      <c r="B24" s="27">
        <v>2.0</v>
      </c>
      <c r="C24" s="27">
        <v>4.0</v>
      </c>
      <c r="D24" s="27">
        <v>2.0</v>
      </c>
      <c r="E24" s="27">
        <v>4.0</v>
      </c>
      <c r="F24" s="27">
        <v>3.0</v>
      </c>
      <c r="G24" s="27">
        <v>3.0</v>
      </c>
      <c r="H24" s="27">
        <v>3.0</v>
      </c>
      <c r="I24" s="27">
        <v>3.0</v>
      </c>
      <c r="J24" s="27">
        <v>2.0</v>
      </c>
      <c r="K24" s="27">
        <v>3.0</v>
      </c>
      <c r="L24" s="27">
        <v>3.0</v>
      </c>
      <c r="M24" s="27">
        <v>5.0</v>
      </c>
      <c r="N24" s="27">
        <v>2.0</v>
      </c>
      <c r="O24" s="27">
        <v>3.0</v>
      </c>
      <c r="P24" s="27">
        <v>3.0</v>
      </c>
      <c r="Q24" s="27">
        <v>3.0</v>
      </c>
      <c r="R24" s="27">
        <v>2.0</v>
      </c>
      <c r="S24" s="27">
        <v>5.0</v>
      </c>
      <c r="T24" s="27">
        <v>5.0</v>
      </c>
      <c r="U24" s="27">
        <v>3.0</v>
      </c>
      <c r="V24" s="27">
        <v>2.0</v>
      </c>
      <c r="W24" s="26">
        <v>1.0</v>
      </c>
      <c r="X24" s="27">
        <v>2.0</v>
      </c>
      <c r="Y24" s="27">
        <v>4.0</v>
      </c>
      <c r="Z24" s="27">
        <v>2.0</v>
      </c>
      <c r="AA24" s="27">
        <v>3.0</v>
      </c>
      <c r="AB24" s="27">
        <v>3.0</v>
      </c>
      <c r="AC24" s="27">
        <v>3.0</v>
      </c>
      <c r="AD24" s="27">
        <v>4.0</v>
      </c>
      <c r="AE24" s="27">
        <v>3.0</v>
      </c>
      <c r="AF24" s="27">
        <v>3.0</v>
      </c>
      <c r="AG24" s="27">
        <v>4.0</v>
      </c>
      <c r="AH24" s="27">
        <v>4.0</v>
      </c>
      <c r="AI24" s="27">
        <v>3.0</v>
      </c>
      <c r="AJ24" s="27">
        <v>4.0</v>
      </c>
      <c r="AK24" s="27">
        <v>4.0</v>
      </c>
      <c r="AL24" s="27">
        <v>3.0</v>
      </c>
      <c r="AM24" s="27">
        <v>2.0</v>
      </c>
      <c r="AN24" s="27">
        <v>3.0</v>
      </c>
      <c r="AO24" s="24">
        <f t="shared" si="1"/>
        <v>120</v>
      </c>
      <c r="AP24" s="25">
        <f t="shared" si="2"/>
        <v>-0.1094196004</v>
      </c>
    </row>
    <row r="25">
      <c r="A25" s="18" t="s">
        <v>68</v>
      </c>
      <c r="B25" s="27">
        <v>1.0</v>
      </c>
      <c r="C25" s="27">
        <v>4.0</v>
      </c>
      <c r="D25" s="27">
        <v>5.0</v>
      </c>
      <c r="E25" s="27">
        <v>2.0</v>
      </c>
      <c r="F25" s="27">
        <v>3.0</v>
      </c>
      <c r="G25" s="27">
        <v>2.0</v>
      </c>
      <c r="H25" s="27">
        <v>3.0</v>
      </c>
      <c r="I25" s="27">
        <v>5.0</v>
      </c>
      <c r="J25" s="27">
        <v>5.0</v>
      </c>
      <c r="K25" s="27">
        <v>3.0</v>
      </c>
      <c r="L25" s="27">
        <v>4.0</v>
      </c>
      <c r="M25" s="27">
        <v>5.0</v>
      </c>
      <c r="N25" s="27">
        <v>3.0</v>
      </c>
      <c r="O25" s="27">
        <v>5.0</v>
      </c>
      <c r="P25" s="27">
        <v>4.0</v>
      </c>
      <c r="Q25" s="27">
        <v>5.0</v>
      </c>
      <c r="R25" s="27">
        <v>3.0</v>
      </c>
      <c r="S25" s="27">
        <v>4.0</v>
      </c>
      <c r="T25" s="27">
        <v>5.0</v>
      </c>
      <c r="U25" s="27">
        <v>4.0</v>
      </c>
      <c r="V25" s="27">
        <v>5.0</v>
      </c>
      <c r="W25" s="27">
        <v>3.0</v>
      </c>
      <c r="X25" s="26">
        <v>1.0</v>
      </c>
      <c r="Y25" s="27">
        <v>4.0</v>
      </c>
      <c r="Z25" s="27">
        <v>3.0</v>
      </c>
      <c r="AA25" s="27">
        <v>3.0</v>
      </c>
      <c r="AB25" s="27">
        <v>4.0</v>
      </c>
      <c r="AC25" s="27">
        <v>3.0</v>
      </c>
      <c r="AD25" s="27">
        <v>5.0</v>
      </c>
      <c r="AE25" s="27">
        <v>3.0</v>
      </c>
      <c r="AF25" s="27">
        <v>5.0</v>
      </c>
      <c r="AG25" s="27">
        <v>4.0</v>
      </c>
      <c r="AH25" s="27">
        <v>5.0</v>
      </c>
      <c r="AI25" s="27">
        <v>3.0</v>
      </c>
      <c r="AJ25" s="27">
        <v>3.0</v>
      </c>
      <c r="AK25" s="27">
        <v>3.0</v>
      </c>
      <c r="AL25" s="27">
        <v>4.0</v>
      </c>
      <c r="AM25" s="27">
        <v>5.0</v>
      </c>
      <c r="AN25" s="27">
        <v>4.0</v>
      </c>
      <c r="AO25" s="24">
        <f t="shared" si="1"/>
        <v>145</v>
      </c>
      <c r="AP25" s="25">
        <f t="shared" si="2"/>
        <v>0.07611798287</v>
      </c>
    </row>
    <row r="26">
      <c r="A26" s="18" t="s">
        <v>69</v>
      </c>
      <c r="B26" s="27">
        <v>3.0</v>
      </c>
      <c r="C26" s="27">
        <v>4.0</v>
      </c>
      <c r="D26" s="27">
        <v>4.0</v>
      </c>
      <c r="E26" s="27">
        <v>3.0</v>
      </c>
      <c r="F26" s="27">
        <v>2.0</v>
      </c>
      <c r="G26" s="27">
        <v>3.0</v>
      </c>
      <c r="H26" s="27">
        <v>4.0</v>
      </c>
      <c r="I26" s="27">
        <v>3.0</v>
      </c>
      <c r="J26" s="27">
        <v>4.0</v>
      </c>
      <c r="K26" s="27">
        <v>4.0</v>
      </c>
      <c r="L26" s="27">
        <v>2.0</v>
      </c>
      <c r="M26" s="27">
        <v>3.0</v>
      </c>
      <c r="N26" s="27">
        <v>3.0</v>
      </c>
      <c r="O26" s="27">
        <v>4.0</v>
      </c>
      <c r="P26" s="27">
        <v>3.0</v>
      </c>
      <c r="Q26" s="27">
        <v>2.0</v>
      </c>
      <c r="R26" s="27">
        <v>2.0</v>
      </c>
      <c r="S26" s="27">
        <v>4.0</v>
      </c>
      <c r="T26" s="27">
        <v>4.0</v>
      </c>
      <c r="U26" s="27">
        <v>5.0</v>
      </c>
      <c r="V26" s="27">
        <v>3.0</v>
      </c>
      <c r="W26" s="27">
        <v>3.0</v>
      </c>
      <c r="X26" s="27">
        <v>2.0</v>
      </c>
      <c r="Y26" s="26">
        <v>1.0</v>
      </c>
      <c r="Z26" s="27">
        <v>2.0</v>
      </c>
      <c r="AA26" s="27">
        <v>3.0</v>
      </c>
      <c r="AB26" s="27">
        <v>3.0</v>
      </c>
      <c r="AC26" s="27">
        <v>2.0</v>
      </c>
      <c r="AD26" s="27">
        <v>3.0</v>
      </c>
      <c r="AE26" s="27">
        <v>4.0</v>
      </c>
      <c r="AF26" s="27">
        <v>4.0</v>
      </c>
      <c r="AG26" s="27">
        <v>3.0</v>
      </c>
      <c r="AH26" s="27">
        <v>4.0</v>
      </c>
      <c r="AI26" s="27">
        <v>2.0</v>
      </c>
      <c r="AJ26" s="27">
        <v>4.0</v>
      </c>
      <c r="AK26" s="27">
        <v>3.0</v>
      </c>
      <c r="AL26" s="27">
        <v>2.0</v>
      </c>
      <c r="AM26" s="27">
        <v>3.0</v>
      </c>
      <c r="AN26" s="27">
        <v>4.0</v>
      </c>
      <c r="AO26" s="24">
        <f t="shared" si="1"/>
        <v>121</v>
      </c>
      <c r="AP26" s="25">
        <f t="shared" si="2"/>
        <v>-0.1019980971</v>
      </c>
    </row>
    <row r="27">
      <c r="A27" s="18" t="s">
        <v>70</v>
      </c>
      <c r="B27" s="27">
        <v>2.0</v>
      </c>
      <c r="C27" s="27">
        <v>3.0</v>
      </c>
      <c r="D27" s="27">
        <v>5.0</v>
      </c>
      <c r="E27" s="27">
        <v>1.0</v>
      </c>
      <c r="F27" s="27">
        <v>1.0</v>
      </c>
      <c r="G27" s="27">
        <v>1.0</v>
      </c>
      <c r="H27" s="27">
        <v>4.0</v>
      </c>
      <c r="I27" s="27">
        <v>3.0</v>
      </c>
      <c r="J27" s="27">
        <v>4.0</v>
      </c>
      <c r="K27" s="27">
        <v>1.0</v>
      </c>
      <c r="L27" s="27">
        <v>2.0</v>
      </c>
      <c r="M27" s="27">
        <v>3.0</v>
      </c>
      <c r="N27" s="27">
        <v>1.0</v>
      </c>
      <c r="O27" s="27">
        <v>3.0</v>
      </c>
      <c r="P27" s="27">
        <v>1.0</v>
      </c>
      <c r="Q27" s="27">
        <v>3.0</v>
      </c>
      <c r="R27" s="27">
        <v>1.0</v>
      </c>
      <c r="S27" s="27">
        <v>3.0</v>
      </c>
      <c r="T27" s="27">
        <v>4.0</v>
      </c>
      <c r="U27" s="27">
        <v>2.0</v>
      </c>
      <c r="V27" s="27">
        <v>1.0</v>
      </c>
      <c r="W27" s="27">
        <v>2.0</v>
      </c>
      <c r="X27" s="27">
        <v>1.0</v>
      </c>
      <c r="Y27" s="27">
        <v>2.0</v>
      </c>
      <c r="Z27" s="26">
        <v>1.0</v>
      </c>
      <c r="AA27" s="27">
        <v>3.0</v>
      </c>
      <c r="AB27" s="27">
        <v>4.0</v>
      </c>
      <c r="AC27" s="27">
        <v>1.0</v>
      </c>
      <c r="AD27" s="27">
        <v>4.0</v>
      </c>
      <c r="AE27" s="27">
        <v>3.0</v>
      </c>
      <c r="AF27" s="27">
        <v>5.0</v>
      </c>
      <c r="AG27" s="27">
        <v>5.0</v>
      </c>
      <c r="AH27" s="27">
        <v>4.0</v>
      </c>
      <c r="AI27" s="27">
        <v>2.0</v>
      </c>
      <c r="AJ27" s="27">
        <v>2.0</v>
      </c>
      <c r="AK27" s="27">
        <v>3.0</v>
      </c>
      <c r="AL27" s="27">
        <v>3.0</v>
      </c>
      <c r="AM27" s="27">
        <v>3.0</v>
      </c>
      <c r="AN27" s="27">
        <v>1.0</v>
      </c>
      <c r="AO27" s="24">
        <f t="shared" si="1"/>
        <v>98</v>
      </c>
      <c r="AP27" s="25">
        <f t="shared" si="2"/>
        <v>-0.2726926736</v>
      </c>
    </row>
    <row r="28">
      <c r="A28" s="18" t="s">
        <v>71</v>
      </c>
      <c r="B28" s="27">
        <v>1.0</v>
      </c>
      <c r="C28" s="27">
        <v>1.0</v>
      </c>
      <c r="D28" s="27">
        <v>3.0</v>
      </c>
      <c r="E28" s="27">
        <v>3.0</v>
      </c>
      <c r="F28" s="27">
        <v>1.0</v>
      </c>
      <c r="G28" s="27">
        <v>2.0</v>
      </c>
      <c r="H28" s="27">
        <v>1.0</v>
      </c>
      <c r="I28" s="27">
        <v>1.0</v>
      </c>
      <c r="J28" s="27">
        <v>1.0</v>
      </c>
      <c r="K28" s="27">
        <v>1.0</v>
      </c>
      <c r="L28" s="27">
        <v>1.0</v>
      </c>
      <c r="M28" s="27">
        <v>5.0</v>
      </c>
      <c r="N28" s="27">
        <v>1.0</v>
      </c>
      <c r="O28" s="27">
        <v>1.0</v>
      </c>
      <c r="P28" s="27">
        <v>1.0</v>
      </c>
      <c r="Q28" s="27">
        <v>1.0</v>
      </c>
      <c r="R28" s="27">
        <v>1.0</v>
      </c>
      <c r="S28" s="27">
        <v>1.0</v>
      </c>
      <c r="T28" s="27">
        <v>4.0</v>
      </c>
      <c r="U28" s="27">
        <v>2.0</v>
      </c>
      <c r="V28" s="27">
        <v>2.0</v>
      </c>
      <c r="W28" s="27">
        <v>2.0</v>
      </c>
      <c r="X28" s="27">
        <v>2.0</v>
      </c>
      <c r="Y28" s="27">
        <v>3.0</v>
      </c>
      <c r="Z28" s="27">
        <v>1.0</v>
      </c>
      <c r="AA28" s="26">
        <v>1.0</v>
      </c>
      <c r="AB28" s="27">
        <v>4.0</v>
      </c>
      <c r="AC28" s="27">
        <v>1.0</v>
      </c>
      <c r="AD28" s="27">
        <v>1.0</v>
      </c>
      <c r="AE28" s="27">
        <v>1.0</v>
      </c>
      <c r="AF28" s="27">
        <v>1.0</v>
      </c>
      <c r="AG28" s="27">
        <v>1.0</v>
      </c>
      <c r="AH28" s="27">
        <v>1.0</v>
      </c>
      <c r="AI28" s="27">
        <v>1.0</v>
      </c>
      <c r="AJ28" s="27">
        <v>4.0</v>
      </c>
      <c r="AK28" s="27">
        <v>3.0</v>
      </c>
      <c r="AL28" s="27">
        <v>1.0</v>
      </c>
      <c r="AM28" s="27">
        <v>1.0</v>
      </c>
      <c r="AN28" s="27">
        <v>1.0</v>
      </c>
      <c r="AO28" s="24">
        <f t="shared" si="1"/>
        <v>65</v>
      </c>
      <c r="AP28" s="25">
        <f t="shared" si="2"/>
        <v>-0.5176022835</v>
      </c>
    </row>
    <row r="29">
      <c r="A29" s="18" t="s">
        <v>72</v>
      </c>
      <c r="B29" s="27">
        <v>3.0</v>
      </c>
      <c r="C29" s="27">
        <v>4.0</v>
      </c>
      <c r="D29" s="27">
        <v>5.0</v>
      </c>
      <c r="E29" s="27">
        <v>3.0</v>
      </c>
      <c r="F29" s="27">
        <v>3.0</v>
      </c>
      <c r="G29" s="27">
        <v>3.0</v>
      </c>
      <c r="H29" s="27">
        <v>4.0</v>
      </c>
      <c r="I29" s="27">
        <v>4.0</v>
      </c>
      <c r="J29" s="27">
        <v>5.0</v>
      </c>
      <c r="K29" s="27">
        <v>3.0</v>
      </c>
      <c r="L29" s="27">
        <v>4.0</v>
      </c>
      <c r="M29" s="27">
        <v>4.0</v>
      </c>
      <c r="N29" s="27">
        <v>3.0</v>
      </c>
      <c r="O29" s="27">
        <v>5.0</v>
      </c>
      <c r="P29" s="27">
        <v>4.0</v>
      </c>
      <c r="Q29" s="27">
        <v>3.0</v>
      </c>
      <c r="R29" s="27">
        <v>3.0</v>
      </c>
      <c r="S29" s="27">
        <v>4.0</v>
      </c>
      <c r="T29" s="27">
        <v>5.0</v>
      </c>
      <c r="U29" s="27">
        <v>4.0</v>
      </c>
      <c r="V29" s="27">
        <v>5.0</v>
      </c>
      <c r="W29" s="27">
        <v>4.0</v>
      </c>
      <c r="X29" s="27">
        <v>4.0</v>
      </c>
      <c r="Y29" s="27">
        <v>4.0</v>
      </c>
      <c r="Z29" s="27">
        <v>4.0</v>
      </c>
      <c r="AA29" s="27">
        <v>4.0</v>
      </c>
      <c r="AB29" s="26">
        <v>1.0</v>
      </c>
      <c r="AC29" s="27">
        <v>3.0</v>
      </c>
      <c r="AD29" s="27">
        <v>4.0</v>
      </c>
      <c r="AE29" s="27">
        <v>3.0</v>
      </c>
      <c r="AF29" s="27">
        <v>4.0</v>
      </c>
      <c r="AG29" s="27">
        <v>4.0</v>
      </c>
      <c r="AH29" s="27">
        <v>3.0</v>
      </c>
      <c r="AI29" s="27">
        <v>3.0</v>
      </c>
      <c r="AJ29" s="27">
        <v>4.0</v>
      </c>
      <c r="AK29" s="27">
        <v>5.0</v>
      </c>
      <c r="AL29" s="27">
        <v>3.0</v>
      </c>
      <c r="AM29" s="27">
        <v>5.0</v>
      </c>
      <c r="AN29" s="27">
        <v>4.0</v>
      </c>
      <c r="AO29" s="24">
        <f t="shared" si="1"/>
        <v>147</v>
      </c>
      <c r="AP29" s="25">
        <f t="shared" si="2"/>
        <v>0.09096098953</v>
      </c>
    </row>
    <row r="30">
      <c r="A30" s="18" t="s">
        <v>73</v>
      </c>
      <c r="B30" s="27">
        <v>3.0</v>
      </c>
      <c r="C30" s="27">
        <v>3.0</v>
      </c>
      <c r="D30" s="27">
        <v>3.0</v>
      </c>
      <c r="E30" s="27">
        <v>3.0</v>
      </c>
      <c r="F30" s="27">
        <v>3.0</v>
      </c>
      <c r="G30" s="27">
        <v>2.0</v>
      </c>
      <c r="H30" s="27">
        <v>4.0</v>
      </c>
      <c r="I30" s="27">
        <v>2.0</v>
      </c>
      <c r="J30" s="27">
        <v>3.0</v>
      </c>
      <c r="K30" s="27">
        <v>3.0</v>
      </c>
      <c r="L30" s="27">
        <v>2.0</v>
      </c>
      <c r="M30" s="27">
        <v>4.0</v>
      </c>
      <c r="N30" s="27">
        <v>2.0</v>
      </c>
      <c r="O30" s="27">
        <v>3.0</v>
      </c>
      <c r="P30" s="27">
        <v>2.0</v>
      </c>
      <c r="Q30" s="27">
        <v>3.0</v>
      </c>
      <c r="R30" s="27">
        <v>2.0</v>
      </c>
      <c r="S30" s="27">
        <v>3.0</v>
      </c>
      <c r="T30" s="27">
        <v>4.0</v>
      </c>
      <c r="U30" s="27">
        <v>4.0</v>
      </c>
      <c r="V30" s="27">
        <v>3.0</v>
      </c>
      <c r="W30" s="27">
        <v>3.0</v>
      </c>
      <c r="X30" s="27">
        <v>3.0</v>
      </c>
      <c r="Y30" s="27">
        <v>3.0</v>
      </c>
      <c r="Z30" s="27">
        <v>2.0</v>
      </c>
      <c r="AA30" s="27">
        <v>4.0</v>
      </c>
      <c r="AB30" s="27">
        <v>3.0</v>
      </c>
      <c r="AC30" s="26">
        <v>1.0</v>
      </c>
      <c r="AD30" s="27">
        <v>4.0</v>
      </c>
      <c r="AE30" s="27">
        <v>4.0</v>
      </c>
      <c r="AF30" s="27">
        <v>3.0</v>
      </c>
      <c r="AG30" s="27">
        <v>4.0</v>
      </c>
      <c r="AH30" s="27">
        <v>4.0</v>
      </c>
      <c r="AI30" s="27">
        <v>3.0</v>
      </c>
      <c r="AJ30" s="27">
        <v>3.0</v>
      </c>
      <c r="AK30" s="27">
        <v>4.0</v>
      </c>
      <c r="AL30" s="27">
        <v>4.0</v>
      </c>
      <c r="AM30" s="27">
        <v>2.0</v>
      </c>
      <c r="AN30" s="27">
        <v>4.0</v>
      </c>
      <c r="AO30" s="24">
        <f t="shared" si="1"/>
        <v>119</v>
      </c>
      <c r="AP30" s="25">
        <f t="shared" si="2"/>
        <v>-0.1168411037</v>
      </c>
    </row>
    <row r="31">
      <c r="A31" s="18" t="s">
        <v>74</v>
      </c>
      <c r="B31" s="27">
        <v>2.0</v>
      </c>
      <c r="C31" s="27">
        <v>4.0</v>
      </c>
      <c r="D31" s="27">
        <v>5.0</v>
      </c>
      <c r="E31" s="27">
        <v>3.0</v>
      </c>
      <c r="F31" s="27">
        <v>3.0</v>
      </c>
      <c r="G31" s="27">
        <v>3.0</v>
      </c>
      <c r="H31" s="27">
        <v>3.0</v>
      </c>
      <c r="I31" s="27">
        <v>3.0</v>
      </c>
      <c r="J31" s="27">
        <v>3.0</v>
      </c>
      <c r="K31" s="27">
        <v>2.0</v>
      </c>
      <c r="L31" s="27">
        <v>3.0</v>
      </c>
      <c r="M31" s="27">
        <v>4.0</v>
      </c>
      <c r="N31" s="27">
        <v>2.0</v>
      </c>
      <c r="O31" s="27">
        <v>4.0</v>
      </c>
      <c r="P31" s="27">
        <v>3.0</v>
      </c>
      <c r="Q31" s="27">
        <v>3.0</v>
      </c>
      <c r="R31" s="27">
        <v>3.0</v>
      </c>
      <c r="S31" s="27">
        <v>5.0</v>
      </c>
      <c r="T31" s="27">
        <v>5.0</v>
      </c>
      <c r="U31" s="27">
        <v>5.0</v>
      </c>
      <c r="V31" s="27">
        <v>3.0</v>
      </c>
      <c r="W31" s="27">
        <v>4.0</v>
      </c>
      <c r="X31" s="27">
        <v>3.0</v>
      </c>
      <c r="Y31" s="27">
        <v>5.0</v>
      </c>
      <c r="Z31" s="27">
        <v>3.0</v>
      </c>
      <c r="AA31" s="27">
        <v>3.0</v>
      </c>
      <c r="AB31" s="27">
        <v>4.0</v>
      </c>
      <c r="AC31" s="27">
        <v>3.0</v>
      </c>
      <c r="AD31" s="26">
        <v>1.0</v>
      </c>
      <c r="AE31" s="27">
        <v>3.0</v>
      </c>
      <c r="AF31" s="27">
        <v>2.0</v>
      </c>
      <c r="AG31" s="27">
        <v>5.0</v>
      </c>
      <c r="AH31" s="27">
        <v>4.0</v>
      </c>
      <c r="AI31" s="27">
        <v>3.0</v>
      </c>
      <c r="AJ31" s="27">
        <v>4.0</v>
      </c>
      <c r="AK31" s="27">
        <v>4.0</v>
      </c>
      <c r="AL31" s="27">
        <v>3.0</v>
      </c>
      <c r="AM31" s="27">
        <v>3.0</v>
      </c>
      <c r="AN31" s="27">
        <v>4.0</v>
      </c>
      <c r="AO31" s="24">
        <f t="shared" si="1"/>
        <v>132</v>
      </c>
      <c r="AP31" s="25">
        <f t="shared" si="2"/>
        <v>-0.02036156042</v>
      </c>
    </row>
    <row r="32">
      <c r="A32" s="18" t="s">
        <v>75</v>
      </c>
      <c r="B32" s="27">
        <v>3.0</v>
      </c>
      <c r="C32" s="27">
        <v>5.0</v>
      </c>
      <c r="D32" s="27">
        <v>4.0</v>
      </c>
      <c r="E32" s="27">
        <v>3.0</v>
      </c>
      <c r="F32" s="27">
        <v>3.0</v>
      </c>
      <c r="G32" s="27">
        <v>4.0</v>
      </c>
      <c r="H32" s="27">
        <v>2.0</v>
      </c>
      <c r="I32" s="27">
        <v>2.0</v>
      </c>
      <c r="J32" s="27">
        <v>2.0</v>
      </c>
      <c r="K32" s="27">
        <v>5.0</v>
      </c>
      <c r="L32" s="27">
        <v>3.0</v>
      </c>
      <c r="M32" s="27">
        <v>4.0</v>
      </c>
      <c r="N32" s="27">
        <v>5.0</v>
      </c>
      <c r="O32" s="27">
        <v>4.0</v>
      </c>
      <c r="P32" s="27">
        <v>4.0</v>
      </c>
      <c r="Q32" s="27">
        <v>3.0</v>
      </c>
      <c r="R32" s="27">
        <v>3.0</v>
      </c>
      <c r="S32" s="27">
        <v>5.0</v>
      </c>
      <c r="T32" s="27">
        <v>5.0</v>
      </c>
      <c r="U32" s="27">
        <v>5.0</v>
      </c>
      <c r="V32" s="27">
        <v>4.0</v>
      </c>
      <c r="W32" s="27">
        <v>4.0</v>
      </c>
      <c r="X32" s="27">
        <v>3.0</v>
      </c>
      <c r="Y32" s="27">
        <v>5.0</v>
      </c>
      <c r="Z32" s="27">
        <v>4.0</v>
      </c>
      <c r="AA32" s="27">
        <v>3.0</v>
      </c>
      <c r="AB32" s="27">
        <v>3.0</v>
      </c>
      <c r="AC32" s="27">
        <v>4.0</v>
      </c>
      <c r="AD32" s="27">
        <v>5.0</v>
      </c>
      <c r="AE32" s="26">
        <v>1.0</v>
      </c>
      <c r="AF32" s="27">
        <v>2.0</v>
      </c>
      <c r="AG32" s="27">
        <v>5.0</v>
      </c>
      <c r="AH32" s="27">
        <v>5.0</v>
      </c>
      <c r="AI32" s="27">
        <v>4.0</v>
      </c>
      <c r="AJ32" s="27">
        <v>5.0</v>
      </c>
      <c r="AK32" s="27">
        <v>5.0</v>
      </c>
      <c r="AL32" s="27">
        <v>4.0</v>
      </c>
      <c r="AM32" s="27">
        <v>2.0</v>
      </c>
      <c r="AN32" s="27">
        <v>5.0</v>
      </c>
      <c r="AO32" s="24">
        <f t="shared" si="1"/>
        <v>147</v>
      </c>
      <c r="AP32" s="25">
        <f t="shared" si="2"/>
        <v>0.09096098953</v>
      </c>
    </row>
    <row r="33">
      <c r="A33" s="18" t="s">
        <v>76</v>
      </c>
      <c r="B33" s="27">
        <v>3.0</v>
      </c>
      <c r="C33" s="27">
        <v>5.0</v>
      </c>
      <c r="D33" s="27">
        <v>5.0</v>
      </c>
      <c r="E33" s="27">
        <v>2.0</v>
      </c>
      <c r="F33" s="27">
        <v>2.0</v>
      </c>
      <c r="G33" s="27">
        <v>4.0</v>
      </c>
      <c r="H33" s="27">
        <v>5.0</v>
      </c>
      <c r="I33" s="27">
        <v>4.0</v>
      </c>
      <c r="J33" s="27">
        <v>5.0</v>
      </c>
      <c r="K33" s="27">
        <v>5.0</v>
      </c>
      <c r="L33" s="27">
        <v>3.0</v>
      </c>
      <c r="M33" s="27">
        <v>5.0</v>
      </c>
      <c r="N33" s="27">
        <v>2.0</v>
      </c>
      <c r="O33" s="27">
        <v>4.0</v>
      </c>
      <c r="P33" s="27">
        <v>5.0</v>
      </c>
      <c r="Q33" s="27">
        <v>5.0</v>
      </c>
      <c r="R33" s="27">
        <v>1.0</v>
      </c>
      <c r="S33" s="27">
        <v>5.0</v>
      </c>
      <c r="T33" s="27">
        <v>5.0</v>
      </c>
      <c r="U33" s="27">
        <v>4.0</v>
      </c>
      <c r="V33" s="27">
        <v>3.0</v>
      </c>
      <c r="W33" s="27">
        <v>1.0</v>
      </c>
      <c r="X33" s="27">
        <v>5.0</v>
      </c>
      <c r="Y33" s="27">
        <v>5.0</v>
      </c>
      <c r="Z33" s="27">
        <v>5.0</v>
      </c>
      <c r="AA33" s="27">
        <v>1.0</v>
      </c>
      <c r="AB33" s="27">
        <v>2.0</v>
      </c>
      <c r="AC33" s="27">
        <v>1.0</v>
      </c>
      <c r="AD33" s="27">
        <v>5.0</v>
      </c>
      <c r="AE33" s="27">
        <v>3.0</v>
      </c>
      <c r="AF33" s="26">
        <v>1.0</v>
      </c>
      <c r="AG33" s="27">
        <v>5.0</v>
      </c>
      <c r="AH33" s="27">
        <v>5.0</v>
      </c>
      <c r="AI33" s="27">
        <v>1.0</v>
      </c>
      <c r="AJ33" s="27">
        <v>4.0</v>
      </c>
      <c r="AK33" s="27">
        <v>5.0</v>
      </c>
      <c r="AL33" s="27">
        <v>3.0</v>
      </c>
      <c r="AM33" s="27">
        <v>5.0</v>
      </c>
      <c r="AN33" s="27">
        <v>5.0</v>
      </c>
      <c r="AO33" s="24">
        <f t="shared" si="1"/>
        <v>144</v>
      </c>
      <c r="AP33" s="25">
        <f t="shared" si="2"/>
        <v>0.06869647954</v>
      </c>
    </row>
    <row r="34">
      <c r="A34" s="18" t="s">
        <v>77</v>
      </c>
      <c r="B34" s="27">
        <v>3.0</v>
      </c>
      <c r="C34" s="27">
        <v>4.0</v>
      </c>
      <c r="D34" s="27">
        <v>4.0</v>
      </c>
      <c r="E34" s="27">
        <v>3.0</v>
      </c>
      <c r="F34" s="27">
        <v>3.0</v>
      </c>
      <c r="G34" s="27">
        <v>3.0</v>
      </c>
      <c r="H34" s="27">
        <v>3.0</v>
      </c>
      <c r="I34" s="27">
        <v>3.0</v>
      </c>
      <c r="J34" s="27">
        <v>3.0</v>
      </c>
      <c r="K34" s="27">
        <v>3.0</v>
      </c>
      <c r="L34" s="27">
        <v>3.0</v>
      </c>
      <c r="M34" s="27">
        <v>5.0</v>
      </c>
      <c r="N34" s="27">
        <v>3.0</v>
      </c>
      <c r="O34" s="27">
        <v>4.0</v>
      </c>
      <c r="P34" s="27">
        <v>4.0</v>
      </c>
      <c r="Q34" s="27">
        <v>4.0</v>
      </c>
      <c r="R34" s="27">
        <v>3.0</v>
      </c>
      <c r="S34" s="27">
        <v>4.0</v>
      </c>
      <c r="T34" s="27">
        <v>4.0</v>
      </c>
      <c r="U34" s="27">
        <v>4.0</v>
      </c>
      <c r="V34" s="27">
        <v>3.0</v>
      </c>
      <c r="W34" s="27">
        <v>4.0</v>
      </c>
      <c r="X34" s="27">
        <v>3.0</v>
      </c>
      <c r="Y34" s="27">
        <v>4.0</v>
      </c>
      <c r="Z34" s="27">
        <v>3.0</v>
      </c>
      <c r="AA34" s="27">
        <v>3.0</v>
      </c>
      <c r="AB34" s="27">
        <v>3.0</v>
      </c>
      <c r="AC34" s="27">
        <v>3.0</v>
      </c>
      <c r="AD34" s="27">
        <v>5.0</v>
      </c>
      <c r="AE34" s="27">
        <v>4.0</v>
      </c>
      <c r="AF34" s="27">
        <v>3.0</v>
      </c>
      <c r="AG34" s="26">
        <v>1.0</v>
      </c>
      <c r="AH34" s="27">
        <v>4.0</v>
      </c>
      <c r="AI34" s="27">
        <v>3.0</v>
      </c>
      <c r="AJ34" s="27">
        <v>3.0</v>
      </c>
      <c r="AK34" s="27">
        <v>4.0</v>
      </c>
      <c r="AL34" s="27">
        <v>3.0</v>
      </c>
      <c r="AM34" s="27">
        <v>3.0</v>
      </c>
      <c r="AN34" s="27">
        <v>4.0</v>
      </c>
      <c r="AO34" s="24">
        <f t="shared" si="1"/>
        <v>133</v>
      </c>
      <c r="AP34" s="25">
        <f t="shared" si="2"/>
        <v>-0.01294005709</v>
      </c>
    </row>
    <row r="35">
      <c r="A35" s="18" t="s">
        <v>78</v>
      </c>
      <c r="B35" s="27">
        <v>3.0</v>
      </c>
      <c r="C35" s="27">
        <v>3.0</v>
      </c>
      <c r="D35" s="27">
        <v>3.0</v>
      </c>
      <c r="E35" s="27">
        <v>3.0</v>
      </c>
      <c r="F35" s="27">
        <v>3.0</v>
      </c>
      <c r="G35" s="27">
        <v>3.0</v>
      </c>
      <c r="H35" s="27">
        <v>4.0</v>
      </c>
      <c r="I35" s="27">
        <v>3.0</v>
      </c>
      <c r="J35" s="27">
        <v>3.0</v>
      </c>
      <c r="K35" s="27">
        <v>3.0</v>
      </c>
      <c r="L35" s="27">
        <v>3.0</v>
      </c>
      <c r="M35" s="27">
        <v>4.0</v>
      </c>
      <c r="N35" s="27">
        <v>3.0</v>
      </c>
      <c r="O35" s="27">
        <v>4.0</v>
      </c>
      <c r="P35" s="27">
        <v>3.0</v>
      </c>
      <c r="Q35" s="27">
        <v>4.0</v>
      </c>
      <c r="R35" s="27">
        <v>4.0</v>
      </c>
      <c r="S35" s="27">
        <v>4.0</v>
      </c>
      <c r="T35" s="27">
        <v>5.0</v>
      </c>
      <c r="U35" s="27">
        <v>4.0</v>
      </c>
      <c r="V35" s="27">
        <v>4.0</v>
      </c>
      <c r="W35" s="27">
        <v>3.0</v>
      </c>
      <c r="X35" s="27">
        <v>3.0</v>
      </c>
      <c r="Y35" s="27">
        <v>5.0</v>
      </c>
      <c r="Z35" s="27">
        <v>3.0</v>
      </c>
      <c r="AA35" s="27">
        <v>3.0</v>
      </c>
      <c r="AB35" s="27">
        <v>4.0</v>
      </c>
      <c r="AC35" s="27">
        <v>4.0</v>
      </c>
      <c r="AD35" s="27">
        <v>4.0</v>
      </c>
      <c r="AE35" s="27">
        <v>3.0</v>
      </c>
      <c r="AF35" s="27">
        <v>3.0</v>
      </c>
      <c r="AG35" s="27">
        <v>4.0</v>
      </c>
      <c r="AH35" s="26">
        <v>1.0</v>
      </c>
      <c r="AI35" s="27">
        <v>3.0</v>
      </c>
      <c r="AJ35" s="27">
        <v>3.0</v>
      </c>
      <c r="AK35" s="27">
        <v>3.0</v>
      </c>
      <c r="AL35" s="27">
        <v>3.0</v>
      </c>
      <c r="AM35" s="27">
        <v>3.0</v>
      </c>
      <c r="AN35" s="27">
        <v>3.0</v>
      </c>
      <c r="AO35" s="24">
        <f t="shared" si="1"/>
        <v>131</v>
      </c>
      <c r="AP35" s="25">
        <f t="shared" si="2"/>
        <v>-0.02778306375</v>
      </c>
    </row>
    <row r="36">
      <c r="A36" s="18" t="s">
        <v>79</v>
      </c>
      <c r="B36" s="27">
        <v>1.0</v>
      </c>
      <c r="C36" s="27">
        <v>3.0</v>
      </c>
      <c r="D36" s="27">
        <v>3.0</v>
      </c>
      <c r="E36" s="27">
        <v>3.0</v>
      </c>
      <c r="F36" s="27">
        <v>1.0</v>
      </c>
      <c r="G36" s="27">
        <v>2.0</v>
      </c>
      <c r="H36" s="27">
        <v>1.0</v>
      </c>
      <c r="I36" s="27">
        <v>4.0</v>
      </c>
      <c r="J36" s="27">
        <v>1.0</v>
      </c>
      <c r="K36" s="27">
        <v>2.0</v>
      </c>
      <c r="L36" s="27">
        <v>3.0</v>
      </c>
      <c r="M36" s="27">
        <v>5.0</v>
      </c>
      <c r="N36" s="27">
        <v>2.0</v>
      </c>
      <c r="O36" s="27">
        <v>2.0</v>
      </c>
      <c r="P36" s="27">
        <v>2.0</v>
      </c>
      <c r="Q36" s="27">
        <v>2.0</v>
      </c>
      <c r="R36" s="27">
        <v>2.0</v>
      </c>
      <c r="S36" s="27">
        <v>4.0</v>
      </c>
      <c r="T36" s="27">
        <v>4.0</v>
      </c>
      <c r="U36" s="27">
        <v>5.0</v>
      </c>
      <c r="V36" s="27">
        <v>3.0</v>
      </c>
      <c r="W36" s="27">
        <v>2.0</v>
      </c>
      <c r="X36" s="27">
        <v>2.0</v>
      </c>
      <c r="Y36" s="27">
        <v>3.0</v>
      </c>
      <c r="Z36" s="27">
        <v>1.0</v>
      </c>
      <c r="AA36" s="27">
        <v>2.0</v>
      </c>
      <c r="AB36" s="27">
        <v>3.0</v>
      </c>
      <c r="AC36" s="27">
        <v>2.0</v>
      </c>
      <c r="AD36" s="27">
        <v>5.0</v>
      </c>
      <c r="AE36" s="27">
        <v>4.0</v>
      </c>
      <c r="AF36" s="27">
        <v>1.0</v>
      </c>
      <c r="AG36" s="27">
        <v>2.0</v>
      </c>
      <c r="AH36" s="27">
        <v>5.0</v>
      </c>
      <c r="AI36" s="26">
        <v>1.0</v>
      </c>
      <c r="AJ36" s="27">
        <v>3.0</v>
      </c>
      <c r="AK36" s="27">
        <v>4.0</v>
      </c>
      <c r="AL36" s="27">
        <v>2.0</v>
      </c>
      <c r="AM36" s="27">
        <v>3.0</v>
      </c>
      <c r="AN36" s="27">
        <v>4.0</v>
      </c>
      <c r="AO36" s="24">
        <f t="shared" si="1"/>
        <v>104</v>
      </c>
      <c r="AP36" s="25">
        <f t="shared" si="2"/>
        <v>-0.2281636537</v>
      </c>
    </row>
    <row r="37">
      <c r="A37" s="18" t="s">
        <v>80</v>
      </c>
      <c r="B37" s="27">
        <v>3.0</v>
      </c>
      <c r="C37" s="27">
        <v>5.0</v>
      </c>
      <c r="D37" s="27">
        <v>3.0</v>
      </c>
      <c r="E37" s="27">
        <v>4.0</v>
      </c>
      <c r="F37" s="27">
        <v>4.0</v>
      </c>
      <c r="G37" s="27">
        <v>4.0</v>
      </c>
      <c r="H37" s="27">
        <v>5.0</v>
      </c>
      <c r="I37" s="27">
        <v>4.0</v>
      </c>
      <c r="J37" s="27">
        <v>4.0</v>
      </c>
      <c r="K37" s="27">
        <v>4.0</v>
      </c>
      <c r="L37" s="27">
        <v>4.0</v>
      </c>
      <c r="M37" s="27">
        <v>5.0</v>
      </c>
      <c r="N37" s="27">
        <v>3.0</v>
      </c>
      <c r="O37" s="27">
        <v>4.0</v>
      </c>
      <c r="P37" s="27">
        <v>2.0</v>
      </c>
      <c r="Q37" s="27">
        <v>4.0</v>
      </c>
      <c r="R37" s="27">
        <v>2.0</v>
      </c>
      <c r="S37" s="27">
        <v>5.0</v>
      </c>
      <c r="T37" s="27">
        <v>5.0</v>
      </c>
      <c r="U37" s="27">
        <v>4.0</v>
      </c>
      <c r="V37" s="27">
        <v>5.0</v>
      </c>
      <c r="W37" s="27">
        <v>4.0</v>
      </c>
      <c r="X37" s="27">
        <v>3.0</v>
      </c>
      <c r="Y37" s="27">
        <v>5.0</v>
      </c>
      <c r="Z37" s="27">
        <v>3.0</v>
      </c>
      <c r="AA37" s="27">
        <v>4.0</v>
      </c>
      <c r="AB37" s="27">
        <v>4.0</v>
      </c>
      <c r="AC37" s="27">
        <v>4.0</v>
      </c>
      <c r="AD37" s="27">
        <v>4.0</v>
      </c>
      <c r="AE37" s="27">
        <v>4.0</v>
      </c>
      <c r="AF37" s="27">
        <v>4.0</v>
      </c>
      <c r="AG37" s="27">
        <v>4.0</v>
      </c>
      <c r="AH37" s="27">
        <v>5.0</v>
      </c>
      <c r="AI37" s="27">
        <v>4.0</v>
      </c>
      <c r="AJ37" s="26">
        <v>1.0</v>
      </c>
      <c r="AK37" s="27">
        <v>4.0</v>
      </c>
      <c r="AL37" s="27">
        <v>4.0</v>
      </c>
      <c r="AM37" s="27">
        <v>4.0</v>
      </c>
      <c r="AN37" s="27">
        <v>4.0</v>
      </c>
      <c r="AO37" s="24">
        <f t="shared" si="1"/>
        <v>152</v>
      </c>
      <c r="AP37" s="25">
        <f t="shared" si="2"/>
        <v>0.1280685062</v>
      </c>
    </row>
    <row r="38">
      <c r="A38" s="18" t="s">
        <v>81</v>
      </c>
      <c r="B38" s="27">
        <v>3.0</v>
      </c>
      <c r="C38" s="27">
        <v>3.0</v>
      </c>
      <c r="D38" s="27">
        <v>3.0</v>
      </c>
      <c r="E38" s="27">
        <v>3.0</v>
      </c>
      <c r="F38" s="27">
        <v>3.0</v>
      </c>
      <c r="G38" s="27">
        <v>3.0</v>
      </c>
      <c r="H38" s="27">
        <v>3.0</v>
      </c>
      <c r="I38" s="27">
        <v>3.0</v>
      </c>
      <c r="J38" s="27">
        <v>3.0</v>
      </c>
      <c r="K38" s="27">
        <v>3.0</v>
      </c>
      <c r="L38" s="27">
        <v>3.0</v>
      </c>
      <c r="M38" s="27">
        <v>5.0</v>
      </c>
      <c r="N38" s="27">
        <v>3.0</v>
      </c>
      <c r="O38" s="27">
        <v>4.0</v>
      </c>
      <c r="P38" s="27">
        <v>3.0</v>
      </c>
      <c r="Q38" s="27">
        <v>4.0</v>
      </c>
      <c r="R38" s="27">
        <v>3.0</v>
      </c>
      <c r="S38" s="27">
        <v>5.0</v>
      </c>
      <c r="T38" s="27">
        <v>5.0</v>
      </c>
      <c r="U38" s="27">
        <v>4.0</v>
      </c>
      <c r="V38" s="27">
        <v>4.0</v>
      </c>
      <c r="W38" s="27">
        <v>3.0</v>
      </c>
      <c r="X38" s="27">
        <v>4.0</v>
      </c>
      <c r="Y38" s="27">
        <v>3.0</v>
      </c>
      <c r="Z38" s="27">
        <v>3.0</v>
      </c>
      <c r="AA38" s="27">
        <v>3.0</v>
      </c>
      <c r="AB38" s="27">
        <v>3.0</v>
      </c>
      <c r="AC38" s="27">
        <v>3.0</v>
      </c>
      <c r="AD38" s="27">
        <v>5.0</v>
      </c>
      <c r="AE38" s="27">
        <v>5.0</v>
      </c>
      <c r="AF38" s="27">
        <v>3.0</v>
      </c>
      <c r="AG38" s="27">
        <v>5.0</v>
      </c>
      <c r="AH38" s="27">
        <v>4.0</v>
      </c>
      <c r="AI38" s="27">
        <v>3.0</v>
      </c>
      <c r="AJ38" s="27">
        <v>4.0</v>
      </c>
      <c r="AK38" s="26">
        <v>1.0</v>
      </c>
      <c r="AL38" s="27">
        <v>3.0</v>
      </c>
      <c r="AM38" s="27">
        <v>4.0</v>
      </c>
      <c r="AN38" s="27">
        <v>3.0</v>
      </c>
      <c r="AO38" s="24">
        <f t="shared" si="1"/>
        <v>135</v>
      </c>
      <c r="AP38" s="25">
        <f t="shared" si="2"/>
        <v>0.001902949572</v>
      </c>
    </row>
    <row r="39">
      <c r="A39" s="18" t="s">
        <v>82</v>
      </c>
      <c r="B39" s="27">
        <v>1.0</v>
      </c>
      <c r="C39" s="27">
        <v>3.0</v>
      </c>
      <c r="D39" s="27">
        <v>5.0</v>
      </c>
      <c r="E39" s="27">
        <v>2.0</v>
      </c>
      <c r="F39" s="27">
        <v>1.0</v>
      </c>
      <c r="G39" s="27">
        <v>1.0</v>
      </c>
      <c r="H39" s="27">
        <v>1.0</v>
      </c>
      <c r="I39" s="27">
        <v>2.0</v>
      </c>
      <c r="J39" s="27">
        <v>2.0</v>
      </c>
      <c r="K39" s="27">
        <v>3.0</v>
      </c>
      <c r="L39" s="27">
        <v>2.0</v>
      </c>
      <c r="M39" s="27">
        <v>4.0</v>
      </c>
      <c r="N39" s="27">
        <v>3.0</v>
      </c>
      <c r="O39" s="27">
        <v>3.0</v>
      </c>
      <c r="P39" s="27">
        <v>3.0</v>
      </c>
      <c r="Q39" s="27">
        <v>3.0</v>
      </c>
      <c r="R39" s="27">
        <v>1.0</v>
      </c>
      <c r="S39" s="27">
        <v>3.0</v>
      </c>
      <c r="T39" s="27">
        <v>4.0</v>
      </c>
      <c r="U39" s="27">
        <v>4.0</v>
      </c>
      <c r="V39" s="27">
        <v>3.0</v>
      </c>
      <c r="W39" s="27">
        <v>2.0</v>
      </c>
      <c r="X39" s="27">
        <v>2.0</v>
      </c>
      <c r="Y39" s="27">
        <v>4.0</v>
      </c>
      <c r="Z39" s="27">
        <v>3.0</v>
      </c>
      <c r="AA39" s="27">
        <v>3.0</v>
      </c>
      <c r="AB39" s="27">
        <v>4.0</v>
      </c>
      <c r="AC39" s="27">
        <v>2.0</v>
      </c>
      <c r="AD39" s="27">
        <v>3.0</v>
      </c>
      <c r="AE39" s="27">
        <v>3.0</v>
      </c>
      <c r="AF39" s="27">
        <v>2.0</v>
      </c>
      <c r="AG39" s="27">
        <v>3.0</v>
      </c>
      <c r="AH39" s="27">
        <v>4.0</v>
      </c>
      <c r="AI39" s="27">
        <v>1.0</v>
      </c>
      <c r="AJ39" s="27">
        <v>2.0</v>
      </c>
      <c r="AK39" s="27">
        <v>4.0</v>
      </c>
      <c r="AL39" s="27">
        <v>2.0</v>
      </c>
      <c r="AM39" s="26">
        <v>1.0</v>
      </c>
      <c r="AN39" s="27">
        <v>4.0</v>
      </c>
      <c r="AO39" s="24">
        <f t="shared" si="1"/>
        <v>103</v>
      </c>
      <c r="AP39" s="25">
        <f t="shared" si="2"/>
        <v>-0.235585157</v>
      </c>
    </row>
    <row r="40">
      <c r="A40" s="28" t="s">
        <v>83</v>
      </c>
      <c r="B40" s="27">
        <v>3.0</v>
      </c>
      <c r="C40" s="27">
        <v>5.0</v>
      </c>
      <c r="D40" s="27">
        <v>5.0</v>
      </c>
      <c r="E40" s="27">
        <v>3.0</v>
      </c>
      <c r="F40" s="27">
        <v>3.0</v>
      </c>
      <c r="G40" s="27">
        <v>3.0</v>
      </c>
      <c r="H40" s="27">
        <v>3.0</v>
      </c>
      <c r="I40" s="27">
        <v>3.0</v>
      </c>
      <c r="J40" s="27">
        <v>3.0</v>
      </c>
      <c r="K40" s="27">
        <v>3.0</v>
      </c>
      <c r="L40" s="27">
        <v>3.0</v>
      </c>
      <c r="M40" s="27">
        <v>4.0</v>
      </c>
      <c r="N40" s="27">
        <v>3.0</v>
      </c>
      <c r="O40" s="27">
        <v>4.0</v>
      </c>
      <c r="P40" s="27">
        <v>3.0</v>
      </c>
      <c r="Q40" s="27">
        <v>3.0</v>
      </c>
      <c r="R40" s="27">
        <v>3.0</v>
      </c>
      <c r="S40" s="27">
        <v>4.0</v>
      </c>
      <c r="T40" s="27">
        <v>5.0</v>
      </c>
      <c r="U40" s="27">
        <v>5.0</v>
      </c>
      <c r="V40" s="27">
        <v>5.0</v>
      </c>
      <c r="W40" s="27">
        <v>4.0</v>
      </c>
      <c r="X40" s="27">
        <v>3.0</v>
      </c>
      <c r="Y40" s="27">
        <v>5.0</v>
      </c>
      <c r="Z40" s="27">
        <v>3.0</v>
      </c>
      <c r="AA40" s="27">
        <v>3.0</v>
      </c>
      <c r="AB40" s="27">
        <v>4.0</v>
      </c>
      <c r="AC40" s="27">
        <v>3.0</v>
      </c>
      <c r="AD40" s="27">
        <v>5.0</v>
      </c>
      <c r="AE40" s="27">
        <v>3.0</v>
      </c>
      <c r="AF40" s="27">
        <v>3.0</v>
      </c>
      <c r="AG40" s="27">
        <v>5.0</v>
      </c>
      <c r="AH40" s="27">
        <v>5.0</v>
      </c>
      <c r="AI40" s="27">
        <v>3.0</v>
      </c>
      <c r="AJ40" s="27">
        <v>4.0</v>
      </c>
      <c r="AK40" s="27">
        <v>4.0</v>
      </c>
      <c r="AL40" s="27">
        <v>3.0</v>
      </c>
      <c r="AM40" s="27">
        <v>4.0</v>
      </c>
      <c r="AN40" s="27">
        <v>5.0</v>
      </c>
      <c r="AO40" s="24">
        <f t="shared" si="1"/>
        <v>145</v>
      </c>
      <c r="AP40" s="25">
        <f t="shared" si="2"/>
        <v>0.07611798287</v>
      </c>
    </row>
    <row r="41">
      <c r="A41" s="1" t="s">
        <v>84</v>
      </c>
      <c r="B41" s="7">
        <v>3.0</v>
      </c>
      <c r="C41" s="7">
        <v>4.0</v>
      </c>
      <c r="D41" s="7">
        <v>5.0</v>
      </c>
      <c r="E41" s="7">
        <v>4.0</v>
      </c>
      <c r="F41" s="7">
        <v>3.0</v>
      </c>
      <c r="G41" s="7">
        <v>4.0</v>
      </c>
      <c r="H41" s="7">
        <v>5.0</v>
      </c>
      <c r="I41" s="7">
        <v>4.0</v>
      </c>
      <c r="J41" s="7">
        <v>4.0</v>
      </c>
      <c r="K41" s="7">
        <v>4.0</v>
      </c>
      <c r="L41" s="7">
        <v>4.0</v>
      </c>
      <c r="M41" s="7">
        <v>5.0</v>
      </c>
      <c r="N41" s="7">
        <v>4.0</v>
      </c>
      <c r="O41" s="7">
        <v>4.0</v>
      </c>
      <c r="P41" s="7">
        <v>4.0</v>
      </c>
      <c r="Q41" s="7">
        <v>4.0</v>
      </c>
      <c r="R41" s="7">
        <v>3.0</v>
      </c>
      <c r="S41" s="7">
        <v>4.0</v>
      </c>
      <c r="T41" s="7">
        <v>5.0</v>
      </c>
      <c r="U41" s="7">
        <v>5.0</v>
      </c>
      <c r="V41" s="7">
        <v>5.0</v>
      </c>
      <c r="W41" s="7">
        <v>4.0</v>
      </c>
      <c r="X41" s="7">
        <v>4.0</v>
      </c>
      <c r="Y41" s="7">
        <v>5.0</v>
      </c>
      <c r="Z41" s="7">
        <v>4.0</v>
      </c>
      <c r="AA41" s="7">
        <v>4.0</v>
      </c>
      <c r="AB41" s="7">
        <v>4.0</v>
      </c>
      <c r="AC41" s="7">
        <v>4.0</v>
      </c>
      <c r="AD41" s="7">
        <v>5.0</v>
      </c>
      <c r="AE41" s="7">
        <v>4.0</v>
      </c>
      <c r="AF41" s="7">
        <v>4.0</v>
      </c>
      <c r="AG41" s="7">
        <v>5.0</v>
      </c>
      <c r="AH41" s="7">
        <v>5.0</v>
      </c>
      <c r="AI41" s="7">
        <v>3.0</v>
      </c>
      <c r="AJ41" s="7">
        <v>4.0</v>
      </c>
      <c r="AK41" s="7">
        <v>4.0</v>
      </c>
      <c r="AL41" s="7">
        <v>3.0</v>
      </c>
      <c r="AM41" s="7">
        <v>4.0</v>
      </c>
      <c r="AN41" s="29">
        <v>1.0</v>
      </c>
      <c r="AO41" s="24">
        <f t="shared" si="1"/>
        <v>158</v>
      </c>
      <c r="AP41" s="25">
        <f t="shared" si="2"/>
        <v>0.1725975262</v>
      </c>
    </row>
    <row r="42">
      <c r="A42" s="30" t="s">
        <v>1</v>
      </c>
      <c r="B42" s="31">
        <f t="shared" ref="B42:AN42" si="3">SUM(B2:B41)</f>
        <v>104</v>
      </c>
      <c r="C42" s="31">
        <f t="shared" si="3"/>
        <v>149</v>
      </c>
      <c r="D42" s="31">
        <f t="shared" si="3"/>
        <v>161</v>
      </c>
      <c r="E42" s="31">
        <f t="shared" si="3"/>
        <v>121</v>
      </c>
      <c r="F42" s="31">
        <f t="shared" si="3"/>
        <v>108</v>
      </c>
      <c r="G42" s="31">
        <f t="shared" si="3"/>
        <v>119</v>
      </c>
      <c r="H42" s="31">
        <f t="shared" si="3"/>
        <v>133</v>
      </c>
      <c r="I42" s="31">
        <f t="shared" si="3"/>
        <v>136</v>
      </c>
      <c r="J42" s="31">
        <f t="shared" si="3"/>
        <v>131</v>
      </c>
      <c r="K42" s="31">
        <f t="shared" si="3"/>
        <v>126</v>
      </c>
      <c r="L42" s="31">
        <f t="shared" si="3"/>
        <v>120</v>
      </c>
      <c r="M42" s="31">
        <f t="shared" si="3"/>
        <v>173</v>
      </c>
      <c r="N42" s="31">
        <f t="shared" si="3"/>
        <v>111</v>
      </c>
      <c r="O42" s="31">
        <f t="shared" si="3"/>
        <v>150</v>
      </c>
      <c r="P42" s="31">
        <f t="shared" si="3"/>
        <v>132</v>
      </c>
      <c r="Q42" s="31">
        <f t="shared" si="3"/>
        <v>135</v>
      </c>
      <c r="R42" s="31">
        <f t="shared" si="3"/>
        <v>106</v>
      </c>
      <c r="S42" s="31">
        <f t="shared" si="3"/>
        <v>160</v>
      </c>
      <c r="T42" s="31">
        <f t="shared" si="3"/>
        <v>184</v>
      </c>
      <c r="U42" s="31">
        <f t="shared" si="3"/>
        <v>165</v>
      </c>
      <c r="V42" s="31">
        <f t="shared" si="3"/>
        <v>142</v>
      </c>
      <c r="W42" s="31">
        <f t="shared" si="3"/>
        <v>131</v>
      </c>
      <c r="X42" s="31">
        <f t="shared" si="3"/>
        <v>122</v>
      </c>
      <c r="Y42" s="31">
        <f t="shared" si="3"/>
        <v>167</v>
      </c>
      <c r="Z42" s="31">
        <f t="shared" si="3"/>
        <v>120</v>
      </c>
      <c r="AA42" s="31">
        <f t="shared" si="3"/>
        <v>120</v>
      </c>
      <c r="AB42" s="31">
        <f t="shared" si="3"/>
        <v>150</v>
      </c>
      <c r="AC42" s="31">
        <f t="shared" si="3"/>
        <v>119</v>
      </c>
      <c r="AD42" s="31">
        <f t="shared" si="3"/>
        <v>171</v>
      </c>
      <c r="AE42" s="31">
        <f t="shared" si="3"/>
        <v>139</v>
      </c>
      <c r="AF42" s="31">
        <f t="shared" si="3"/>
        <v>127</v>
      </c>
      <c r="AG42" s="31">
        <f t="shared" si="3"/>
        <v>169</v>
      </c>
      <c r="AH42" s="31">
        <f t="shared" si="3"/>
        <v>170</v>
      </c>
      <c r="AI42" s="31">
        <f t="shared" si="3"/>
        <v>108</v>
      </c>
      <c r="AJ42" s="31">
        <f t="shared" si="3"/>
        <v>144</v>
      </c>
      <c r="AK42" s="31">
        <f t="shared" si="3"/>
        <v>158</v>
      </c>
      <c r="AL42" s="31">
        <f t="shared" si="3"/>
        <v>129</v>
      </c>
      <c r="AM42" s="31">
        <f t="shared" si="3"/>
        <v>143</v>
      </c>
      <c r="AN42" s="31">
        <f t="shared" si="3"/>
        <v>160</v>
      </c>
      <c r="AO42" s="32" t="s">
        <v>85</v>
      </c>
      <c r="AP42" s="21"/>
    </row>
    <row r="43">
      <c r="A43" s="33" t="s">
        <v>86</v>
      </c>
      <c r="B43" s="34">
        <f t="shared" ref="B43:AN43" si="4">COUNTIF(B2:B41,5)</f>
        <v>1</v>
      </c>
      <c r="C43" s="34">
        <f t="shared" si="4"/>
        <v>10</v>
      </c>
      <c r="D43" s="34">
        <f t="shared" si="4"/>
        <v>16</v>
      </c>
      <c r="E43" s="34">
        <f t="shared" si="4"/>
        <v>0</v>
      </c>
      <c r="F43" s="34">
        <f t="shared" si="4"/>
        <v>0</v>
      </c>
      <c r="G43" s="34">
        <f t="shared" si="4"/>
        <v>2</v>
      </c>
      <c r="H43" s="34">
        <f t="shared" si="4"/>
        <v>5</v>
      </c>
      <c r="I43" s="34">
        <f t="shared" si="4"/>
        <v>6</v>
      </c>
      <c r="J43" s="34">
        <f t="shared" si="4"/>
        <v>7</v>
      </c>
      <c r="K43" s="34">
        <f t="shared" si="4"/>
        <v>3</v>
      </c>
      <c r="L43" s="34">
        <f t="shared" si="4"/>
        <v>1</v>
      </c>
      <c r="M43" s="34">
        <f t="shared" si="4"/>
        <v>21</v>
      </c>
      <c r="N43" s="34">
        <f t="shared" si="4"/>
        <v>2</v>
      </c>
      <c r="O43" s="34">
        <f t="shared" si="4"/>
        <v>7</v>
      </c>
      <c r="P43" s="34">
        <f t="shared" si="4"/>
        <v>4</v>
      </c>
      <c r="Q43" s="34">
        <f t="shared" si="4"/>
        <v>6</v>
      </c>
      <c r="R43" s="34">
        <f t="shared" si="4"/>
        <v>0</v>
      </c>
      <c r="S43" s="34">
        <f t="shared" si="4"/>
        <v>12</v>
      </c>
      <c r="T43" s="34">
        <f t="shared" si="4"/>
        <v>28</v>
      </c>
      <c r="U43" s="34">
        <f t="shared" si="4"/>
        <v>17</v>
      </c>
      <c r="V43" s="34">
        <f t="shared" si="4"/>
        <v>8</v>
      </c>
      <c r="W43" s="34">
        <f t="shared" si="4"/>
        <v>2</v>
      </c>
      <c r="X43" s="34">
        <f t="shared" si="4"/>
        <v>3</v>
      </c>
      <c r="Y43" s="34">
        <f t="shared" si="4"/>
        <v>19</v>
      </c>
      <c r="Z43" s="34">
        <f t="shared" si="4"/>
        <v>2</v>
      </c>
      <c r="AA43" s="34">
        <f t="shared" si="4"/>
        <v>0</v>
      </c>
      <c r="AB43" s="34">
        <f t="shared" si="4"/>
        <v>9</v>
      </c>
      <c r="AC43" s="34">
        <f t="shared" si="4"/>
        <v>3</v>
      </c>
      <c r="AD43" s="34">
        <f t="shared" si="4"/>
        <v>21</v>
      </c>
      <c r="AE43" s="34">
        <f t="shared" si="4"/>
        <v>3</v>
      </c>
      <c r="AF43" s="34">
        <f t="shared" si="4"/>
        <v>2</v>
      </c>
      <c r="AG43" s="34">
        <f t="shared" si="4"/>
        <v>19</v>
      </c>
      <c r="AH43" s="34">
        <f t="shared" si="4"/>
        <v>18</v>
      </c>
      <c r="AI43" s="34">
        <f t="shared" si="4"/>
        <v>0</v>
      </c>
      <c r="AJ43" s="34">
        <f t="shared" si="4"/>
        <v>4</v>
      </c>
      <c r="AK43" s="34">
        <f t="shared" si="4"/>
        <v>10</v>
      </c>
      <c r="AL43" s="34">
        <f t="shared" si="4"/>
        <v>0</v>
      </c>
      <c r="AM43" s="34">
        <f t="shared" si="4"/>
        <v>7</v>
      </c>
      <c r="AN43" s="34">
        <f t="shared" si="4"/>
        <v>16</v>
      </c>
      <c r="AO43" s="35">
        <f t="shared" ref="AO43:AO47" si="6">SUM(B43:AN43)</f>
        <v>294</v>
      </c>
      <c r="AP43" s="36">
        <f t="shared" ref="AP43:AP48" si="7">AO43/$AO$48</f>
        <v>0.1884615385</v>
      </c>
    </row>
    <row r="44">
      <c r="A44" s="33" t="s">
        <v>87</v>
      </c>
      <c r="B44" s="34">
        <f t="shared" ref="B44:AN44" si="5">COUNTIF(B2:B41,4)</f>
        <v>3</v>
      </c>
      <c r="C44" s="34">
        <f t="shared" si="5"/>
        <v>15</v>
      </c>
      <c r="D44" s="34">
        <f t="shared" si="5"/>
        <v>12</v>
      </c>
      <c r="E44" s="34">
        <f t="shared" si="5"/>
        <v>8</v>
      </c>
      <c r="F44" s="34">
        <f t="shared" si="5"/>
        <v>5</v>
      </c>
      <c r="G44" s="34">
        <f t="shared" si="5"/>
        <v>8</v>
      </c>
      <c r="H44" s="34">
        <f t="shared" si="5"/>
        <v>13</v>
      </c>
      <c r="I44" s="34">
        <f t="shared" si="5"/>
        <v>12</v>
      </c>
      <c r="J44" s="34">
        <f t="shared" si="5"/>
        <v>9</v>
      </c>
      <c r="K44" s="34">
        <f t="shared" si="5"/>
        <v>11</v>
      </c>
      <c r="L44" s="34">
        <f t="shared" si="5"/>
        <v>10</v>
      </c>
      <c r="M44" s="34">
        <f t="shared" si="5"/>
        <v>13</v>
      </c>
      <c r="N44" s="34">
        <f t="shared" si="5"/>
        <v>5</v>
      </c>
      <c r="O44" s="34">
        <f t="shared" si="5"/>
        <v>21</v>
      </c>
      <c r="P44" s="34">
        <f t="shared" si="5"/>
        <v>14</v>
      </c>
      <c r="Q44" s="34">
        <f t="shared" si="5"/>
        <v>10</v>
      </c>
      <c r="R44" s="34">
        <f t="shared" si="5"/>
        <v>4</v>
      </c>
      <c r="S44" s="34">
        <f t="shared" si="5"/>
        <v>20</v>
      </c>
      <c r="T44" s="34">
        <f t="shared" si="5"/>
        <v>10</v>
      </c>
      <c r="U44" s="34">
        <f t="shared" si="5"/>
        <v>15</v>
      </c>
      <c r="V44" s="34">
        <f t="shared" si="5"/>
        <v>13</v>
      </c>
      <c r="W44" s="34">
        <f t="shared" si="5"/>
        <v>15</v>
      </c>
      <c r="X44" s="34">
        <f t="shared" si="5"/>
        <v>9</v>
      </c>
      <c r="Y44" s="34">
        <f t="shared" si="5"/>
        <v>12</v>
      </c>
      <c r="Z44" s="34">
        <f t="shared" si="5"/>
        <v>9</v>
      </c>
      <c r="AA44" s="34">
        <f t="shared" si="5"/>
        <v>9</v>
      </c>
      <c r="AB44" s="34">
        <f t="shared" si="5"/>
        <v>15</v>
      </c>
      <c r="AC44" s="34">
        <f t="shared" si="5"/>
        <v>8</v>
      </c>
      <c r="AD44" s="34">
        <f t="shared" si="5"/>
        <v>13</v>
      </c>
      <c r="AE44" s="34">
        <f t="shared" si="5"/>
        <v>18</v>
      </c>
      <c r="AF44" s="34">
        <f t="shared" si="5"/>
        <v>13</v>
      </c>
      <c r="AG44" s="34">
        <f t="shared" si="5"/>
        <v>16</v>
      </c>
      <c r="AH44" s="34">
        <f t="shared" si="5"/>
        <v>18</v>
      </c>
      <c r="AI44" s="34">
        <f t="shared" si="5"/>
        <v>4</v>
      </c>
      <c r="AJ44" s="34">
        <f t="shared" si="5"/>
        <v>22</v>
      </c>
      <c r="AK44" s="34">
        <f t="shared" si="5"/>
        <v>20</v>
      </c>
      <c r="AL44" s="34">
        <f t="shared" si="5"/>
        <v>14</v>
      </c>
      <c r="AM44" s="34">
        <f t="shared" si="5"/>
        <v>16</v>
      </c>
      <c r="AN44" s="34">
        <f t="shared" si="5"/>
        <v>14</v>
      </c>
      <c r="AO44" s="35">
        <f t="shared" si="6"/>
        <v>476</v>
      </c>
      <c r="AP44" s="36">
        <f t="shared" si="7"/>
        <v>0.3051282051</v>
      </c>
    </row>
    <row r="45">
      <c r="A45" s="33" t="s">
        <v>88</v>
      </c>
      <c r="B45" s="34">
        <f t="shared" ref="B45:AN45" si="8">COUNTIF(B2:B41,3)</f>
        <v>21</v>
      </c>
      <c r="C45" s="34">
        <f t="shared" si="8"/>
        <v>11</v>
      </c>
      <c r="D45" s="34">
        <f t="shared" si="8"/>
        <v>10</v>
      </c>
      <c r="E45" s="34">
        <f t="shared" si="8"/>
        <v>27</v>
      </c>
      <c r="F45" s="34">
        <f t="shared" si="8"/>
        <v>23</v>
      </c>
      <c r="G45" s="34">
        <f t="shared" si="8"/>
        <v>20</v>
      </c>
      <c r="H45" s="34">
        <f t="shared" si="8"/>
        <v>16</v>
      </c>
      <c r="I45" s="34">
        <f t="shared" si="8"/>
        <v>16</v>
      </c>
      <c r="J45" s="34">
        <f t="shared" si="8"/>
        <v>15</v>
      </c>
      <c r="K45" s="34">
        <f t="shared" si="8"/>
        <v>18</v>
      </c>
      <c r="L45" s="34">
        <f t="shared" si="8"/>
        <v>19</v>
      </c>
      <c r="M45" s="34">
        <f t="shared" si="8"/>
        <v>5</v>
      </c>
      <c r="N45" s="34">
        <f t="shared" si="8"/>
        <v>19</v>
      </c>
      <c r="O45" s="34">
        <f t="shared" si="8"/>
        <v>9</v>
      </c>
      <c r="P45" s="34">
        <f t="shared" si="8"/>
        <v>15</v>
      </c>
      <c r="Q45" s="34">
        <f t="shared" si="8"/>
        <v>19</v>
      </c>
      <c r="R45" s="34">
        <f t="shared" si="8"/>
        <v>23</v>
      </c>
      <c r="S45" s="34">
        <f t="shared" si="8"/>
        <v>6</v>
      </c>
      <c r="T45" s="34">
        <f t="shared" si="8"/>
        <v>1</v>
      </c>
      <c r="U45" s="34">
        <f t="shared" si="8"/>
        <v>5</v>
      </c>
      <c r="V45" s="34">
        <f t="shared" si="8"/>
        <v>14</v>
      </c>
      <c r="W45" s="34">
        <f t="shared" si="8"/>
        <v>17</v>
      </c>
      <c r="X45" s="34">
        <f t="shared" si="8"/>
        <v>18</v>
      </c>
      <c r="Y45" s="34">
        <f t="shared" si="8"/>
        <v>7</v>
      </c>
      <c r="Z45" s="34">
        <f t="shared" si="8"/>
        <v>19</v>
      </c>
      <c r="AA45" s="34">
        <f t="shared" si="8"/>
        <v>24</v>
      </c>
      <c r="AB45" s="34">
        <f t="shared" si="8"/>
        <v>14</v>
      </c>
      <c r="AC45" s="34">
        <f t="shared" si="8"/>
        <v>18</v>
      </c>
      <c r="AD45" s="34">
        <f t="shared" si="8"/>
        <v>4</v>
      </c>
      <c r="AE45" s="34">
        <f t="shared" si="8"/>
        <v>16</v>
      </c>
      <c r="AF45" s="34">
        <f t="shared" si="8"/>
        <v>18</v>
      </c>
      <c r="AG45" s="34">
        <f t="shared" si="8"/>
        <v>2</v>
      </c>
      <c r="AH45" s="34">
        <f t="shared" si="8"/>
        <v>2</v>
      </c>
      <c r="AI45" s="34">
        <f t="shared" si="8"/>
        <v>24</v>
      </c>
      <c r="AJ45" s="34">
        <f t="shared" si="8"/>
        <v>9</v>
      </c>
      <c r="AK45" s="34">
        <f t="shared" si="8"/>
        <v>9</v>
      </c>
      <c r="AL45" s="34">
        <f t="shared" si="8"/>
        <v>22</v>
      </c>
      <c r="AM45" s="34">
        <f t="shared" si="8"/>
        <v>12</v>
      </c>
      <c r="AN45" s="34">
        <f t="shared" si="8"/>
        <v>7</v>
      </c>
      <c r="AO45" s="35">
        <f t="shared" si="6"/>
        <v>554</v>
      </c>
      <c r="AP45" s="36">
        <f t="shared" si="7"/>
        <v>0.3551282051</v>
      </c>
    </row>
    <row r="46">
      <c r="A46" s="33" t="s">
        <v>89</v>
      </c>
      <c r="B46" s="34">
        <f t="shared" ref="B46:AN46" si="9">COUNTIF(B2:B41,2)</f>
        <v>9</v>
      </c>
      <c r="C46" s="34">
        <f t="shared" si="9"/>
        <v>2</v>
      </c>
      <c r="D46" s="34">
        <f t="shared" si="9"/>
        <v>1</v>
      </c>
      <c r="E46" s="34">
        <f t="shared" si="9"/>
        <v>3</v>
      </c>
      <c r="F46" s="34">
        <f t="shared" si="9"/>
        <v>7</v>
      </c>
      <c r="G46" s="34">
        <f t="shared" si="9"/>
        <v>7</v>
      </c>
      <c r="H46" s="34">
        <f t="shared" si="9"/>
        <v>2</v>
      </c>
      <c r="I46" s="34">
        <f t="shared" si="9"/>
        <v>4</v>
      </c>
      <c r="J46" s="34">
        <f t="shared" si="9"/>
        <v>6</v>
      </c>
      <c r="K46" s="34">
        <f t="shared" si="9"/>
        <v>5</v>
      </c>
      <c r="L46" s="34">
        <f t="shared" si="9"/>
        <v>8</v>
      </c>
      <c r="M46" s="34">
        <f t="shared" si="9"/>
        <v>0</v>
      </c>
      <c r="N46" s="34">
        <f t="shared" si="9"/>
        <v>10</v>
      </c>
      <c r="O46" s="34">
        <f t="shared" si="9"/>
        <v>1</v>
      </c>
      <c r="P46" s="34">
        <f t="shared" si="9"/>
        <v>4</v>
      </c>
      <c r="Q46" s="34">
        <f t="shared" si="9"/>
        <v>3</v>
      </c>
      <c r="R46" s="34">
        <f t="shared" si="9"/>
        <v>8</v>
      </c>
      <c r="S46" s="34">
        <f t="shared" si="9"/>
        <v>0</v>
      </c>
      <c r="T46" s="34">
        <f t="shared" si="9"/>
        <v>0</v>
      </c>
      <c r="U46" s="34">
        <f t="shared" si="9"/>
        <v>2</v>
      </c>
      <c r="V46" s="34">
        <f t="shared" si="9"/>
        <v>3</v>
      </c>
      <c r="W46" s="34">
        <f t="shared" si="9"/>
        <v>4</v>
      </c>
      <c r="X46" s="34">
        <f t="shared" si="9"/>
        <v>7</v>
      </c>
      <c r="Y46" s="34">
        <f t="shared" si="9"/>
        <v>1</v>
      </c>
      <c r="Z46" s="34">
        <f t="shared" si="9"/>
        <v>7</v>
      </c>
      <c r="AA46" s="34">
        <f t="shared" si="9"/>
        <v>5</v>
      </c>
      <c r="AB46" s="34">
        <f t="shared" si="9"/>
        <v>1</v>
      </c>
      <c r="AC46" s="34">
        <f t="shared" si="9"/>
        <v>7</v>
      </c>
      <c r="AD46" s="34">
        <f t="shared" si="9"/>
        <v>0</v>
      </c>
      <c r="AE46" s="34">
        <f t="shared" si="9"/>
        <v>1</v>
      </c>
      <c r="AF46" s="34">
        <f t="shared" si="9"/>
        <v>4</v>
      </c>
      <c r="AG46" s="34">
        <f t="shared" si="9"/>
        <v>1</v>
      </c>
      <c r="AH46" s="34">
        <f t="shared" si="9"/>
        <v>0</v>
      </c>
      <c r="AI46" s="34">
        <f t="shared" si="9"/>
        <v>8</v>
      </c>
      <c r="AJ46" s="34">
        <f t="shared" si="9"/>
        <v>4</v>
      </c>
      <c r="AK46" s="34">
        <f t="shared" si="9"/>
        <v>0</v>
      </c>
      <c r="AL46" s="34">
        <f t="shared" si="9"/>
        <v>3</v>
      </c>
      <c r="AM46" s="34">
        <f t="shared" si="9"/>
        <v>3</v>
      </c>
      <c r="AN46" s="34">
        <f t="shared" si="9"/>
        <v>0</v>
      </c>
      <c r="AO46" s="35">
        <f t="shared" si="6"/>
        <v>141</v>
      </c>
      <c r="AP46" s="36">
        <f t="shared" si="7"/>
        <v>0.09038461538</v>
      </c>
    </row>
    <row r="47">
      <c r="A47" s="33" t="s">
        <v>90</v>
      </c>
      <c r="B47" s="34">
        <f t="shared" ref="B47:AN47" si="10">COUNTIF(B2:B41,1)</f>
        <v>6</v>
      </c>
      <c r="C47" s="34">
        <f t="shared" si="10"/>
        <v>2</v>
      </c>
      <c r="D47" s="34">
        <f t="shared" si="10"/>
        <v>1</v>
      </c>
      <c r="E47" s="34">
        <f t="shared" si="10"/>
        <v>2</v>
      </c>
      <c r="F47" s="34">
        <f t="shared" si="10"/>
        <v>5</v>
      </c>
      <c r="G47" s="34">
        <f t="shared" si="10"/>
        <v>3</v>
      </c>
      <c r="H47" s="34">
        <f t="shared" si="10"/>
        <v>4</v>
      </c>
      <c r="I47" s="34">
        <f t="shared" si="10"/>
        <v>2</v>
      </c>
      <c r="J47" s="34">
        <f t="shared" si="10"/>
        <v>3</v>
      </c>
      <c r="K47" s="34">
        <f t="shared" si="10"/>
        <v>3</v>
      </c>
      <c r="L47" s="34">
        <f t="shared" si="10"/>
        <v>2</v>
      </c>
      <c r="M47" s="34">
        <f t="shared" si="10"/>
        <v>1</v>
      </c>
      <c r="N47" s="34">
        <f t="shared" si="10"/>
        <v>4</v>
      </c>
      <c r="O47" s="34">
        <f t="shared" si="10"/>
        <v>2</v>
      </c>
      <c r="P47" s="34">
        <f t="shared" si="10"/>
        <v>3</v>
      </c>
      <c r="Q47" s="34">
        <f t="shared" si="10"/>
        <v>2</v>
      </c>
      <c r="R47" s="34">
        <f t="shared" si="10"/>
        <v>5</v>
      </c>
      <c r="S47" s="34">
        <f t="shared" si="10"/>
        <v>2</v>
      </c>
      <c r="T47" s="34">
        <f t="shared" si="10"/>
        <v>1</v>
      </c>
      <c r="U47" s="34">
        <f t="shared" si="10"/>
        <v>1</v>
      </c>
      <c r="V47" s="34">
        <f t="shared" si="10"/>
        <v>2</v>
      </c>
      <c r="W47" s="34">
        <f t="shared" si="10"/>
        <v>2</v>
      </c>
      <c r="X47" s="34">
        <f t="shared" si="10"/>
        <v>3</v>
      </c>
      <c r="Y47" s="34">
        <f t="shared" si="10"/>
        <v>1</v>
      </c>
      <c r="Z47" s="34">
        <f t="shared" si="10"/>
        <v>3</v>
      </c>
      <c r="AA47" s="34">
        <f t="shared" si="10"/>
        <v>2</v>
      </c>
      <c r="AB47" s="34">
        <f t="shared" si="10"/>
        <v>1</v>
      </c>
      <c r="AC47" s="34">
        <f t="shared" si="10"/>
        <v>4</v>
      </c>
      <c r="AD47" s="34">
        <f t="shared" si="10"/>
        <v>2</v>
      </c>
      <c r="AE47" s="34">
        <f t="shared" si="10"/>
        <v>2</v>
      </c>
      <c r="AF47" s="34">
        <f t="shared" si="10"/>
        <v>3</v>
      </c>
      <c r="AG47" s="34">
        <f t="shared" si="10"/>
        <v>2</v>
      </c>
      <c r="AH47" s="34">
        <f t="shared" si="10"/>
        <v>2</v>
      </c>
      <c r="AI47" s="34">
        <f t="shared" si="10"/>
        <v>4</v>
      </c>
      <c r="AJ47" s="34">
        <f t="shared" si="10"/>
        <v>1</v>
      </c>
      <c r="AK47" s="34">
        <f t="shared" si="10"/>
        <v>1</v>
      </c>
      <c r="AL47" s="34">
        <f t="shared" si="10"/>
        <v>1</v>
      </c>
      <c r="AM47" s="34">
        <f t="shared" si="10"/>
        <v>2</v>
      </c>
      <c r="AN47" s="34">
        <f t="shared" si="10"/>
        <v>3</v>
      </c>
      <c r="AO47" s="35">
        <f t="shared" si="6"/>
        <v>95</v>
      </c>
      <c r="AP47" s="36">
        <f t="shared" si="7"/>
        <v>0.0608974359</v>
      </c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35">
        <f>SUM(AO43:AO47)</f>
        <v>1560</v>
      </c>
      <c r="AP48" s="36">
        <f t="shared" si="7"/>
        <v>1</v>
      </c>
    </row>
    <row r="50">
      <c r="A50" s="20" t="s">
        <v>91</v>
      </c>
      <c r="B50" s="1"/>
    </row>
    <row r="51">
      <c r="A51" s="37" t="s">
        <v>92</v>
      </c>
      <c r="B51" s="38">
        <f>AVERAGE(AO2:AO40)</f>
        <v>134.7435897</v>
      </c>
    </row>
  </sheetData>
  <conditionalFormatting sqref="B2:AN40">
    <cfRule type="expression" dxfId="0" priority="1">
      <formula>AND(B2&lt;&gt;1,B2&lt;&gt;2, B2&lt;&gt;3,B2&lt;&gt;4,B2&lt;&gt;5)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30.38"/>
    <col customWidth="1" min="3" max="3" width="22.5"/>
    <col customWidth="1" min="4" max="4" width="46.25"/>
  </cols>
  <sheetData>
    <row r="1">
      <c r="A1" s="39" t="s">
        <v>93</v>
      </c>
      <c r="B1" s="40" t="s">
        <v>94</v>
      </c>
      <c r="C1" s="40" t="s">
        <v>95</v>
      </c>
      <c r="D1" s="40" t="s">
        <v>96</v>
      </c>
      <c r="E1" s="40" t="s">
        <v>97</v>
      </c>
    </row>
    <row r="2">
      <c r="A2" s="5">
        <v>1.0</v>
      </c>
      <c r="B2" s="1" t="s">
        <v>2</v>
      </c>
      <c r="C2" s="1"/>
      <c r="D2" s="41" t="s">
        <v>98</v>
      </c>
      <c r="E2" s="1"/>
    </row>
    <row r="3">
      <c r="A3" s="5">
        <v>2.0</v>
      </c>
      <c r="B3" s="1" t="s">
        <v>4</v>
      </c>
      <c r="C3" s="42" t="s">
        <v>99</v>
      </c>
      <c r="D3" s="1"/>
      <c r="E3" s="1"/>
    </row>
    <row r="4">
      <c r="A4" s="5">
        <v>3.0</v>
      </c>
      <c r="B4" s="1" t="s">
        <v>5</v>
      </c>
      <c r="C4" s="1"/>
      <c r="D4" s="41" t="s">
        <v>100</v>
      </c>
      <c r="E4" s="1"/>
    </row>
    <row r="5">
      <c r="A5" s="5">
        <v>4.0</v>
      </c>
      <c r="B5" s="1" t="s">
        <v>6</v>
      </c>
      <c r="C5" s="41" t="s">
        <v>101</v>
      </c>
      <c r="D5" s="1"/>
      <c r="E5" s="1"/>
    </row>
    <row r="6">
      <c r="A6" s="5">
        <v>5.0</v>
      </c>
      <c r="B6" s="1" t="s">
        <v>7</v>
      </c>
      <c r="C6" s="1"/>
      <c r="D6" s="41" t="s">
        <v>102</v>
      </c>
      <c r="E6" s="1"/>
    </row>
  </sheetData>
  <drawing r:id="rId1"/>
</worksheet>
</file>
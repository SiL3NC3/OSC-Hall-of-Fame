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" sheetId="3" r:id="rId6"/>
  </sheets>
  <definedNames>
    <definedName hidden="1" localSheetId="0" name="_xlnm._FilterDatabase">Results!$A$1:$D$44</definedName>
  </definedNames>
  <calcPr/>
</workbook>
</file>

<file path=xl/sharedStrings.xml><?xml version="1.0" encoding="utf-8"?>
<sst xmlns="http://schemas.openxmlformats.org/spreadsheetml/2006/main" count="202" uniqueCount="111">
  <si>
    <t>Name</t>
  </si>
  <si>
    <t>Score</t>
  </si>
  <si>
    <t>1 Instance Placement</t>
  </si>
  <si>
    <t>photonic - Coming Home To Asgard</t>
  </si>
  <si>
    <t>pts</t>
  </si>
  <si>
    <t>#30</t>
  </si>
  <si>
    <t>roribez - Ghost Clockmaker Symphony</t>
  </si>
  <si>
    <t>mmGhost - Autonomous Dream Sequence</t>
  </si>
  <si>
    <t>#36</t>
  </si>
  <si>
    <t>Tj Shredder - Odin's Arp</t>
  </si>
  <si>
    <t>keith303 - troubled waterbellies from below sealevel</t>
  </si>
  <si>
    <t>(honorable mention)</t>
  </si>
  <si>
    <t>Jasinski - Myth Slayer</t>
  </si>
  <si>
    <t>MorphedDreams - Odin The Wise Wanderer</t>
  </si>
  <si>
    <t>simanus - Premature Implosion</t>
  </si>
  <si>
    <t>dq</t>
  </si>
  <si>
    <t>TheNeverScene - Relentless</t>
  </si>
  <si>
    <t>vca089 - Lost Vacation</t>
  </si>
  <si>
    <t>bh9090 - TWO</t>
  </si>
  <si>
    <t>PeterH - In Memoriam George Floyd</t>
  </si>
  <si>
    <t>Ranoka - A Lockdown Summer Staycation</t>
  </si>
  <si>
    <t>wireframewolves - Seidr</t>
  </si>
  <si>
    <t>L-EctroBit - A Piece Of Moon On The Roof</t>
  </si>
  <si>
    <t>Leonard Bowman &amp; J.T.'s Penrose - Desert Stars</t>
  </si>
  <si>
    <t>IV - Last Intact String... Of Soul</t>
  </si>
  <si>
    <t>ELEX - What goes down...must come up</t>
  </si>
  <si>
    <t>ontrackp - Committed Again</t>
  </si>
  <si>
    <t>Tensorman - Moving On</t>
  </si>
  <si>
    <t>RichardSemper - Odin Voyage</t>
  </si>
  <si>
    <t>doctorbob - Odins Shopping Mall Revenge</t>
  </si>
  <si>
    <t>h.s.j.e. - Postmaster Of Valhalla</t>
  </si>
  <si>
    <t>Daaf - The Highest Step</t>
  </si>
  <si>
    <t>shadowsoflight - Sleipnir's Stride</t>
  </si>
  <si>
    <t>RuediRena - Stahl 2</t>
  </si>
  <si>
    <t>ElVincente - Space Sheeps witnessing the destruction of Imaginarian Brasil and Burning Cellos</t>
  </si>
  <si>
    <t>Eauson - WaveWarden</t>
  </si>
  <si>
    <t>empphryio - Trivigaunte</t>
  </si>
  <si>
    <t>Juergen - I've Lost Myself</t>
  </si>
  <si>
    <t>nyxeles - The Forgotten Realm Of The Golden Feathers</t>
  </si>
  <si>
    <t>Identikit - Novodevichy Convent (Life Before the Testimony)</t>
  </si>
  <si>
    <t>Hellfog - Radio Interference</t>
  </si>
  <si>
    <t>JKF Flashico - To The Night City</t>
  </si>
  <si>
    <t>twomonths - Oh God For One More Breath</t>
  </si>
  <si>
    <t>najmind - ODIN2 Arpeggiate Me</t>
  </si>
  <si>
    <t>3lu5iv3 - Pointless Banana</t>
  </si>
  <si>
    <t>Neptune - Mijofranda Qua4Fun</t>
  </si>
  <si>
    <t>digitalxero - Caves</t>
  </si>
  <si>
    <t>jpumphandle - Now Is The Time</t>
  </si>
  <si>
    <t>Voter Name (KVR nick)</t>
  </si>
  <si>
    <t>Leonard Bowman - Desert Stars</t>
  </si>
  <si>
    <t>Gen. Score *</t>
  </si>
  <si>
    <t>3lu5iv3</t>
  </si>
  <si>
    <t>bh9090</t>
  </si>
  <si>
    <t>Daaf 81</t>
  </si>
  <si>
    <t>digitalxero</t>
  </si>
  <si>
    <t>doctorbob</t>
  </si>
  <si>
    <t>eausonne</t>
  </si>
  <si>
    <t>ELEX</t>
  </si>
  <si>
    <t>ElVincente</t>
  </si>
  <si>
    <t>empphryio1</t>
  </si>
  <si>
    <t>h.s.j.e.</t>
  </si>
  <si>
    <t>Harry_HH</t>
  </si>
  <si>
    <t>hellfog</t>
  </si>
  <si>
    <t>Identikit</t>
  </si>
  <si>
    <t>IV</t>
  </si>
  <si>
    <t>JKflashico</t>
  </si>
  <si>
    <t>JPUMPHANDLE</t>
  </si>
  <si>
    <t>Juergen</t>
  </si>
  <si>
    <t>keith303</t>
  </si>
  <si>
    <t>Kraftraum</t>
  </si>
  <si>
    <t>L-EctroBit</t>
  </si>
  <si>
    <t>Leonard Bowman</t>
  </si>
  <si>
    <t>loris16148</t>
  </si>
  <si>
    <t>mmGhost</t>
  </si>
  <si>
    <t>MorphedDreams</t>
  </si>
  <si>
    <t>Neptune</t>
  </si>
  <si>
    <t>nyxeles</t>
  </si>
  <si>
    <t>ontrackp</t>
  </si>
  <si>
    <t>PeterH</t>
  </si>
  <si>
    <t>Photonic</t>
  </si>
  <si>
    <t>Ranoka</t>
  </si>
  <si>
    <t>Richard Semper</t>
  </si>
  <si>
    <t>roribez</t>
  </si>
  <si>
    <t>RuediRena</t>
  </si>
  <si>
    <t>shadowsoflight</t>
  </si>
  <si>
    <t>simanus</t>
  </si>
  <si>
    <t>Tensorman</t>
  </si>
  <si>
    <t>TheWaveWarden</t>
  </si>
  <si>
    <t>Tj Shredder</t>
  </si>
  <si>
    <t>twomonths</t>
  </si>
  <si>
    <t>VCA-089</t>
  </si>
  <si>
    <t>wireframewolves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</si>
  <si>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</si>
  <si>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</si>
  <si>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</si>
  <si>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</si>
  <si>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</si>
  <si>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</si>
  <si>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</si>
  <si>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</si>
  <si>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</si>
  <si>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</si>
  <si>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</si>
  <si>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</si>
  <si>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</si>
  <si>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</si>
  <si>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vintage echo</t>
  </si>
  <si>
    <t>DONE</t>
  </si>
  <si>
    <t>Diversion</t>
  </si>
  <si>
    <t>SoundGym : 6 Month Subscription</t>
  </si>
  <si>
    <t>email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</si>
</sst>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name val="Arial"/>
    </font>
    <font>
      <b/>
      <sz val="18.0"/>
      <name val="Arial"/>
    </font>
    <font>
      <b/>
    </font>
    <font/>
    <font>
      <sz val="11.0"/>
      <color rgb="FF666666"/>
      <name val="Arial"/>
    </font>
    <font>
      <color rgb="FF666666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7" numFmtId="0" xfId="0" applyAlignment="1" applyFill="1" applyFon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1" numFmtId="0" xfId="0" applyAlignment="1" applyFill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2" fontId="11" numFmtId="9" xfId="0" applyAlignment="1" applyFont="1" applyNumberFormat="1">
      <alignment horizontal="right" vertical="bottom"/>
    </xf>
    <xf borderId="0" fillId="5" fontId="4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9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85725</xdr:colOff>
      <xdr:row>50</xdr:row>
      <xdr:rowOff>76200</xdr:rowOff>
    </xdr:from>
    <xdr:ext cx="2533650" cy="2533650"/>
    <xdr:pic>
      <xdr:nvPicPr>
        <xdr:cNvPr id="198785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9.88"/>
    <col customWidth="1" min="3" max="3" width="4.5"/>
    <col customWidth="1" min="7" max="7" width="16.25"/>
  </cols>
  <sheetData>
    <row r="1">
      <c r="A1" s="1"/>
      <c r="B1" s="2" t="s">
        <v>0</v>
      </c>
      <c r="C1" s="3" t="s">
        <v>1</v>
      </c>
      <c r="G1" s="4" t="s">
        <v>2</v>
      </c>
    </row>
    <row r="2">
      <c r="A2" s="5">
        <v>1.0</v>
      </c>
      <c r="B2" s="6" t="s">
        <v>3</v>
      </c>
      <c r="C2" s="7">
        <v>189.0</v>
      </c>
      <c r="D2" s="8" t="s">
        <v>4</v>
      </c>
      <c r="G2" s="9" t="s">
        <v>5</v>
      </c>
      <c r="H2" s="10" t="s">
        <v>6</v>
      </c>
      <c r="I2" s="11"/>
    </row>
    <row r="3">
      <c r="A3" s="5">
        <v>2.0</v>
      </c>
      <c r="B3" s="6" t="s">
        <v>7</v>
      </c>
      <c r="C3" s="7">
        <v>182.0</v>
      </c>
      <c r="D3" s="8" t="s">
        <v>4</v>
      </c>
      <c r="G3" s="9" t="s">
        <v>8</v>
      </c>
      <c r="H3" s="10" t="s">
        <v>9</v>
      </c>
      <c r="I3" s="11"/>
    </row>
    <row r="4">
      <c r="A4" s="5">
        <v>3.0</v>
      </c>
      <c r="B4" s="6" t="s">
        <v>10</v>
      </c>
      <c r="C4" s="7">
        <v>180.0</v>
      </c>
      <c r="D4" s="8" t="s">
        <v>4</v>
      </c>
      <c r="G4" s="12" t="s">
        <v>11</v>
      </c>
      <c r="H4" s="10" t="s">
        <v>12</v>
      </c>
      <c r="I4" s="11"/>
    </row>
    <row r="5">
      <c r="A5" s="5">
        <v>4.0</v>
      </c>
      <c r="B5" s="6" t="s">
        <v>13</v>
      </c>
      <c r="C5" s="7">
        <v>172.0</v>
      </c>
      <c r="D5" s="8" t="s">
        <v>4</v>
      </c>
      <c r="G5" s="13"/>
    </row>
    <row r="6">
      <c r="A6" s="5">
        <v>5.0</v>
      </c>
      <c r="B6" s="6" t="s">
        <v>14</v>
      </c>
      <c r="C6" s="7">
        <v>172.0</v>
      </c>
      <c r="D6" s="8" t="s">
        <v>4</v>
      </c>
      <c r="G6" s="13"/>
    </row>
    <row r="7">
      <c r="A7" s="14" t="s">
        <v>15</v>
      </c>
      <c r="B7" s="6" t="s">
        <v>16</v>
      </c>
      <c r="C7" s="15">
        <v>168.0</v>
      </c>
      <c r="D7" s="8" t="s">
        <v>4</v>
      </c>
      <c r="G7" s="13"/>
    </row>
    <row r="8">
      <c r="A8" s="5">
        <v>6.0</v>
      </c>
      <c r="B8" s="6" t="s">
        <v>17</v>
      </c>
      <c r="C8" s="7">
        <v>166.0</v>
      </c>
      <c r="D8" s="8" t="s">
        <v>4</v>
      </c>
      <c r="G8" s="13"/>
    </row>
    <row r="9">
      <c r="A9" s="5">
        <v>7.0</v>
      </c>
      <c r="B9" s="6" t="s">
        <v>18</v>
      </c>
      <c r="C9" s="7">
        <v>164.0</v>
      </c>
      <c r="D9" s="8" t="s">
        <v>4</v>
      </c>
      <c r="G9" s="13"/>
    </row>
    <row r="10">
      <c r="A10" s="5">
        <v>8.0</v>
      </c>
      <c r="B10" s="6" t="s">
        <v>19</v>
      </c>
      <c r="C10" s="7">
        <v>164.0</v>
      </c>
      <c r="D10" s="8" t="s">
        <v>4</v>
      </c>
      <c r="G10" s="13"/>
    </row>
    <row r="11">
      <c r="A11" s="5">
        <v>9.0</v>
      </c>
      <c r="B11" s="6" t="s">
        <v>20</v>
      </c>
      <c r="C11" s="7">
        <v>164.0</v>
      </c>
      <c r="D11" s="8" t="s">
        <v>4</v>
      </c>
      <c r="G11" s="13"/>
    </row>
    <row r="12">
      <c r="A12" s="5">
        <v>10.0</v>
      </c>
      <c r="B12" s="6" t="s">
        <v>21</v>
      </c>
      <c r="C12" s="7">
        <v>162.0</v>
      </c>
      <c r="D12" s="8" t="s">
        <v>4</v>
      </c>
      <c r="G12" s="13"/>
    </row>
    <row r="13">
      <c r="A13" s="5">
        <v>11.0</v>
      </c>
      <c r="B13" s="6" t="s">
        <v>22</v>
      </c>
      <c r="C13" s="7">
        <v>161.0</v>
      </c>
      <c r="D13" s="8" t="s">
        <v>4</v>
      </c>
      <c r="G13" s="13"/>
    </row>
    <row r="14">
      <c r="A14" s="5">
        <v>12.0</v>
      </c>
      <c r="B14" s="9" t="s">
        <v>23</v>
      </c>
      <c r="C14" s="7">
        <v>156.0</v>
      </c>
      <c r="D14" s="8" t="s">
        <v>4</v>
      </c>
      <c r="G14" s="13"/>
    </row>
    <row r="15">
      <c r="A15" s="5">
        <v>13.0</v>
      </c>
      <c r="B15" s="6" t="s">
        <v>24</v>
      </c>
      <c r="C15" s="7">
        <v>152.0</v>
      </c>
      <c r="D15" s="8" t="s">
        <v>4</v>
      </c>
      <c r="G15" s="13"/>
    </row>
    <row r="16">
      <c r="A16" s="5">
        <v>14.0</v>
      </c>
      <c r="B16" s="6" t="s">
        <v>25</v>
      </c>
      <c r="C16" s="7">
        <v>151.0</v>
      </c>
      <c r="D16" s="8" t="s">
        <v>4</v>
      </c>
      <c r="G16" s="13"/>
    </row>
    <row r="17">
      <c r="A17" s="5">
        <v>15.0</v>
      </c>
      <c r="B17" s="6" t="s">
        <v>26</v>
      </c>
      <c r="C17" s="7">
        <v>151.0</v>
      </c>
      <c r="D17" s="8" t="s">
        <v>4</v>
      </c>
      <c r="G17" s="13"/>
    </row>
    <row r="18">
      <c r="A18" s="14" t="s">
        <v>15</v>
      </c>
      <c r="B18" s="6" t="s">
        <v>12</v>
      </c>
      <c r="C18" s="7">
        <v>150.0</v>
      </c>
      <c r="D18" s="8" t="s">
        <v>4</v>
      </c>
      <c r="G18" s="13"/>
    </row>
    <row r="19">
      <c r="A19" s="5">
        <v>16.0</v>
      </c>
      <c r="B19" s="6" t="s">
        <v>27</v>
      </c>
      <c r="C19" s="7">
        <v>148.0</v>
      </c>
      <c r="D19" s="8" t="s">
        <v>4</v>
      </c>
      <c r="G19" s="13"/>
    </row>
    <row r="20">
      <c r="A20" s="5">
        <v>17.0</v>
      </c>
      <c r="B20" s="6" t="s">
        <v>28</v>
      </c>
      <c r="C20" s="7">
        <v>146.0</v>
      </c>
      <c r="D20" s="8" t="s">
        <v>4</v>
      </c>
      <c r="G20" s="13"/>
    </row>
    <row r="21">
      <c r="A21" s="5">
        <v>18.0</v>
      </c>
      <c r="B21" s="6" t="s">
        <v>29</v>
      </c>
      <c r="C21" s="7">
        <v>141.0</v>
      </c>
      <c r="D21" s="8" t="s">
        <v>4</v>
      </c>
      <c r="G21" s="13"/>
    </row>
    <row r="22">
      <c r="A22" s="5">
        <v>19.0</v>
      </c>
      <c r="B22" s="6" t="s">
        <v>30</v>
      </c>
      <c r="C22" s="7">
        <v>139.0</v>
      </c>
      <c r="D22" s="8" t="s">
        <v>4</v>
      </c>
      <c r="G22" s="13"/>
    </row>
    <row r="23">
      <c r="A23" s="5">
        <v>20.0</v>
      </c>
      <c r="B23" s="6" t="s">
        <v>31</v>
      </c>
      <c r="C23" s="7">
        <v>139.0</v>
      </c>
      <c r="D23" s="8" t="s">
        <v>4</v>
      </c>
      <c r="G23" s="13"/>
    </row>
    <row r="24">
      <c r="A24" s="5">
        <v>21.0</v>
      </c>
      <c r="B24" s="6" t="s">
        <v>32</v>
      </c>
      <c r="C24" s="7">
        <v>139.0</v>
      </c>
      <c r="D24" s="8" t="s">
        <v>4</v>
      </c>
      <c r="G24" s="13"/>
    </row>
    <row r="25">
      <c r="A25" s="5">
        <v>22.0</v>
      </c>
      <c r="B25" s="6" t="s">
        <v>33</v>
      </c>
      <c r="C25" s="7">
        <v>136.0</v>
      </c>
      <c r="D25" s="8" t="s">
        <v>4</v>
      </c>
      <c r="G25" s="13"/>
    </row>
    <row r="26">
      <c r="A26" s="5">
        <v>23.0</v>
      </c>
      <c r="B26" s="6" t="s">
        <v>34</v>
      </c>
      <c r="C26" s="7">
        <v>135.0</v>
      </c>
      <c r="D26" s="8" t="s">
        <v>4</v>
      </c>
      <c r="G26" s="13"/>
    </row>
    <row r="27">
      <c r="A27" s="5">
        <v>24.0</v>
      </c>
      <c r="B27" s="6" t="s">
        <v>35</v>
      </c>
      <c r="C27" s="7">
        <v>133.0</v>
      </c>
      <c r="D27" s="8" t="s">
        <v>4</v>
      </c>
      <c r="G27" s="13"/>
    </row>
    <row r="28">
      <c r="A28" s="5">
        <v>25.0</v>
      </c>
      <c r="B28" s="6" t="s">
        <v>36</v>
      </c>
      <c r="C28" s="7">
        <v>132.0</v>
      </c>
      <c r="D28" s="8" t="s">
        <v>4</v>
      </c>
      <c r="G28" s="13"/>
    </row>
    <row r="29">
      <c r="A29" s="5">
        <v>26.0</v>
      </c>
      <c r="B29" s="6" t="s">
        <v>37</v>
      </c>
      <c r="C29" s="7">
        <v>132.0</v>
      </c>
      <c r="D29" s="8" t="s">
        <v>4</v>
      </c>
      <c r="G29" s="13"/>
    </row>
    <row r="30">
      <c r="A30" s="5">
        <v>27.0</v>
      </c>
      <c r="B30" s="6" t="s">
        <v>38</v>
      </c>
      <c r="C30" s="7">
        <v>125.0</v>
      </c>
      <c r="D30" s="8" t="s">
        <v>4</v>
      </c>
      <c r="G30" s="13"/>
    </row>
    <row r="31">
      <c r="A31" s="5">
        <v>28.0</v>
      </c>
      <c r="B31" s="6" t="s">
        <v>6</v>
      </c>
      <c r="C31" s="7">
        <v>123.0</v>
      </c>
      <c r="D31" s="8" t="s">
        <v>4</v>
      </c>
      <c r="G31" s="13"/>
    </row>
    <row r="32">
      <c r="A32" s="5">
        <v>29.0</v>
      </c>
      <c r="B32" s="6" t="s">
        <v>39</v>
      </c>
      <c r="C32" s="7">
        <v>123.0</v>
      </c>
      <c r="D32" s="8" t="s">
        <v>4</v>
      </c>
      <c r="G32" s="13"/>
    </row>
    <row r="33">
      <c r="A33" s="5">
        <v>30.0</v>
      </c>
      <c r="B33" s="6" t="s">
        <v>40</v>
      </c>
      <c r="C33" s="7">
        <v>119.0</v>
      </c>
      <c r="D33" s="8" t="s">
        <v>4</v>
      </c>
      <c r="G33" s="13"/>
    </row>
    <row r="34">
      <c r="A34" s="5">
        <v>31.0</v>
      </c>
      <c r="B34" s="6" t="s">
        <v>41</v>
      </c>
      <c r="C34" s="7">
        <v>118.0</v>
      </c>
      <c r="D34" s="8" t="s">
        <v>4</v>
      </c>
      <c r="G34" s="13"/>
    </row>
    <row r="35">
      <c r="A35" s="5">
        <v>32.0</v>
      </c>
      <c r="B35" s="6" t="s">
        <v>42</v>
      </c>
      <c r="C35" s="7">
        <v>114.0</v>
      </c>
      <c r="D35" s="8" t="s">
        <v>4</v>
      </c>
      <c r="G35" s="13"/>
    </row>
    <row r="36">
      <c r="A36" s="14" t="s">
        <v>15</v>
      </c>
      <c r="B36" s="6" t="s">
        <v>43</v>
      </c>
      <c r="C36" s="7">
        <v>112.0</v>
      </c>
      <c r="D36" s="8" t="s">
        <v>4</v>
      </c>
      <c r="G36" s="13"/>
    </row>
    <row r="37">
      <c r="A37" s="5">
        <v>33.0</v>
      </c>
      <c r="B37" s="6" t="s">
        <v>44</v>
      </c>
      <c r="C37" s="7">
        <v>110.0</v>
      </c>
      <c r="D37" s="8" t="s">
        <v>4</v>
      </c>
      <c r="G37" s="13"/>
    </row>
    <row r="38">
      <c r="A38" s="5">
        <v>34.0</v>
      </c>
      <c r="B38" s="6" t="s">
        <v>9</v>
      </c>
      <c r="C38" s="7">
        <v>106.0</v>
      </c>
      <c r="D38" s="8" t="s">
        <v>4</v>
      </c>
      <c r="G38" s="13"/>
    </row>
    <row r="39">
      <c r="A39" s="5">
        <v>35.0</v>
      </c>
      <c r="B39" s="6" t="s">
        <v>45</v>
      </c>
      <c r="C39" s="7">
        <v>105.0</v>
      </c>
      <c r="D39" s="8" t="s">
        <v>4</v>
      </c>
      <c r="G39" s="13"/>
    </row>
    <row r="40">
      <c r="A40" s="5">
        <v>36.0</v>
      </c>
      <c r="B40" s="6" t="s">
        <v>46</v>
      </c>
      <c r="C40" s="7">
        <v>103.0</v>
      </c>
      <c r="D40" s="8" t="s">
        <v>4</v>
      </c>
      <c r="G40" s="13"/>
    </row>
    <row r="41">
      <c r="A41" s="5">
        <v>37.0</v>
      </c>
      <c r="B41" s="6" t="s">
        <v>47</v>
      </c>
      <c r="C41" s="7">
        <v>100.0</v>
      </c>
      <c r="D41" s="8" t="s">
        <v>4</v>
      </c>
      <c r="G41" s="13"/>
    </row>
    <row r="42">
      <c r="A42" s="5"/>
      <c r="B42" s="13"/>
      <c r="C42" s="7"/>
      <c r="G42" s="13"/>
    </row>
    <row r="43">
      <c r="A43" s="16"/>
      <c r="B43" s="13"/>
      <c r="C43" s="7"/>
      <c r="G43" s="13"/>
    </row>
    <row r="44">
      <c r="A44" s="16"/>
      <c r="B44" s="13"/>
      <c r="C44" s="7"/>
      <c r="G44" s="13"/>
    </row>
    <row r="45">
      <c r="A45" s="16"/>
      <c r="B45" s="13"/>
      <c r="C45" s="7"/>
      <c r="G45" s="13"/>
    </row>
    <row r="46">
      <c r="A46" s="16"/>
      <c r="B46" s="13"/>
      <c r="C46" s="7"/>
      <c r="G46" s="13"/>
    </row>
    <row r="47">
      <c r="A47" s="16"/>
      <c r="B47" s="13"/>
      <c r="C47" s="7"/>
      <c r="G47" s="13"/>
    </row>
    <row r="48">
      <c r="A48" s="16"/>
      <c r="B48" s="13"/>
      <c r="C48" s="7"/>
      <c r="G48" s="13"/>
    </row>
    <row r="49">
      <c r="A49" s="16"/>
      <c r="B49" s="13"/>
      <c r="C49" s="7"/>
      <c r="G49" s="13"/>
    </row>
    <row r="50">
      <c r="A50" s="16"/>
      <c r="B50" s="13"/>
      <c r="C50" s="7"/>
      <c r="G50" s="13"/>
    </row>
    <row r="51">
      <c r="A51" s="16"/>
      <c r="B51" s="13"/>
      <c r="C51" s="7"/>
      <c r="G51" s="13"/>
    </row>
    <row r="52">
      <c r="A52" s="16"/>
      <c r="B52" s="13"/>
      <c r="C52" s="7"/>
      <c r="G52" s="13"/>
    </row>
    <row r="53">
      <c r="A53" s="17"/>
      <c r="B53" s="6"/>
      <c r="C53" s="18"/>
      <c r="G53" s="13"/>
    </row>
    <row r="54">
      <c r="A54" s="16"/>
      <c r="B54" s="13"/>
      <c r="C54" s="7"/>
      <c r="G54" s="13"/>
    </row>
    <row r="55">
      <c r="A55" s="16"/>
      <c r="B55" s="13"/>
      <c r="C55" s="7"/>
      <c r="G55" s="13"/>
    </row>
    <row r="56">
      <c r="A56" s="16"/>
      <c r="B56" s="13"/>
      <c r="C56" s="7"/>
      <c r="G56" s="13"/>
    </row>
    <row r="57">
      <c r="A57" s="16"/>
      <c r="B57" s="13"/>
      <c r="C57" s="7"/>
      <c r="G57" s="13"/>
    </row>
    <row r="58">
      <c r="A58" s="16"/>
      <c r="B58" s="13"/>
      <c r="C58" s="7"/>
      <c r="G58" s="13"/>
    </row>
    <row r="59">
      <c r="B59" s="13"/>
      <c r="C59" s="7"/>
      <c r="G59" s="13"/>
    </row>
    <row r="60">
      <c r="B60" s="13"/>
      <c r="C60" s="7"/>
      <c r="G60" s="13"/>
    </row>
    <row r="61">
      <c r="B61" s="13"/>
      <c r="C61" s="7"/>
      <c r="G61" s="13"/>
    </row>
    <row r="62">
      <c r="B62" s="13"/>
      <c r="C62" s="7"/>
      <c r="G62" s="13"/>
    </row>
    <row r="63">
      <c r="B63" s="13"/>
      <c r="C63" s="7"/>
      <c r="G63" s="13"/>
    </row>
    <row r="64">
      <c r="B64" s="13"/>
      <c r="C64" s="7"/>
      <c r="G64" s="13"/>
    </row>
    <row r="65">
      <c r="B65" s="13"/>
      <c r="C65" s="7"/>
      <c r="G65" s="13"/>
    </row>
    <row r="66">
      <c r="B66" s="13"/>
      <c r="C66" s="7"/>
      <c r="G66" s="13"/>
    </row>
    <row r="67">
      <c r="B67" s="13"/>
      <c r="C67" s="7"/>
      <c r="G67" s="13"/>
    </row>
    <row r="68">
      <c r="B68" s="13"/>
      <c r="C68" s="7"/>
      <c r="G68" s="13"/>
    </row>
    <row r="69">
      <c r="B69" s="13"/>
      <c r="C69" s="7"/>
      <c r="F69" s="19"/>
      <c r="G69" s="20"/>
      <c r="H69" s="20"/>
      <c r="I69" s="20"/>
      <c r="J69" s="20"/>
      <c r="K69" s="20"/>
      <c r="L69" s="20"/>
    </row>
    <row r="70">
      <c r="B70" s="13"/>
      <c r="C70" s="7"/>
      <c r="F70" s="20"/>
      <c r="G70" s="20"/>
      <c r="H70" s="20"/>
      <c r="I70" s="20"/>
      <c r="J70" s="20"/>
      <c r="K70" s="20"/>
      <c r="L70" s="20"/>
    </row>
    <row r="71">
      <c r="B71" s="13"/>
      <c r="C71" s="7"/>
      <c r="F71" s="19"/>
      <c r="G71" s="20"/>
      <c r="H71" s="20"/>
      <c r="I71" s="20"/>
      <c r="J71" s="20"/>
      <c r="K71" s="20"/>
      <c r="L71" s="20"/>
    </row>
    <row r="72">
      <c r="B72" s="13"/>
      <c r="C72" s="7"/>
      <c r="F72" s="19"/>
      <c r="G72" s="20"/>
      <c r="H72" s="20"/>
      <c r="I72" s="20"/>
      <c r="J72" s="20"/>
      <c r="K72" s="20"/>
      <c r="L72" s="20"/>
    </row>
    <row r="73">
      <c r="B73" s="13"/>
      <c r="C73" s="7"/>
      <c r="F73" s="19"/>
      <c r="G73" s="20"/>
      <c r="H73" s="20"/>
      <c r="I73" s="20"/>
      <c r="J73" s="20"/>
      <c r="K73" s="20"/>
      <c r="L73" s="20"/>
    </row>
    <row r="74">
      <c r="B74" s="13"/>
      <c r="C74" s="7"/>
      <c r="F74" s="19"/>
      <c r="G74" s="20"/>
      <c r="H74" s="20"/>
      <c r="I74" s="20"/>
      <c r="J74" s="20"/>
      <c r="K74" s="20"/>
      <c r="L74" s="20"/>
    </row>
    <row r="75">
      <c r="B75" s="13"/>
      <c r="C75" s="7"/>
      <c r="F75" s="19"/>
      <c r="G75" s="20"/>
      <c r="H75" s="20"/>
      <c r="I75" s="20"/>
      <c r="J75" s="20"/>
      <c r="K75" s="20"/>
      <c r="L75" s="20"/>
    </row>
    <row r="76">
      <c r="B76" s="13"/>
      <c r="C76" s="7"/>
      <c r="F76" s="20"/>
      <c r="G76" s="20"/>
      <c r="H76" s="20"/>
      <c r="I76" s="20"/>
      <c r="J76" s="20"/>
      <c r="K76" s="20"/>
      <c r="L76" s="20"/>
    </row>
    <row r="77">
      <c r="B77" s="13"/>
      <c r="C77" s="7"/>
      <c r="F77" s="21"/>
      <c r="G77" s="20"/>
      <c r="H77" s="20"/>
      <c r="I77" s="20"/>
      <c r="J77" s="20"/>
      <c r="K77" s="20"/>
      <c r="L77" s="20"/>
    </row>
    <row r="78">
      <c r="B78" s="13"/>
      <c r="C78" s="7"/>
      <c r="F78" s="21"/>
      <c r="G78" s="20"/>
      <c r="H78" s="20"/>
      <c r="I78" s="20"/>
      <c r="J78" s="20"/>
      <c r="K78" s="20"/>
      <c r="L78" s="20"/>
    </row>
    <row r="79">
      <c r="B79" s="13"/>
      <c r="C79" s="7"/>
      <c r="F79" s="21"/>
      <c r="G79" s="20"/>
      <c r="H79" s="20"/>
      <c r="I79" s="20"/>
      <c r="J79" s="20"/>
      <c r="K79" s="20"/>
      <c r="L79" s="20"/>
    </row>
    <row r="80">
      <c r="B80" s="13"/>
      <c r="C80" s="7"/>
      <c r="F80" s="21"/>
      <c r="G80" s="20"/>
      <c r="H80" s="20"/>
      <c r="I80" s="20"/>
      <c r="J80" s="20"/>
      <c r="K80" s="20"/>
      <c r="L80" s="20"/>
    </row>
    <row r="81">
      <c r="B81" s="13"/>
      <c r="C81" s="7"/>
      <c r="F81" s="21"/>
      <c r="G81" s="20"/>
      <c r="H81" s="20"/>
      <c r="I81" s="20"/>
      <c r="J81" s="20"/>
      <c r="K81" s="20"/>
      <c r="L81" s="20"/>
    </row>
    <row r="82">
      <c r="B82" s="13"/>
      <c r="C82" s="7"/>
      <c r="F82" s="21"/>
      <c r="G82" s="20"/>
      <c r="H82" s="20"/>
      <c r="I82" s="20"/>
      <c r="J82" s="20"/>
      <c r="K82" s="20"/>
      <c r="L82" s="20"/>
    </row>
    <row r="83">
      <c r="B83" s="13"/>
      <c r="C83" s="7"/>
      <c r="F83" s="21"/>
      <c r="G83" s="20"/>
      <c r="H83" s="20"/>
      <c r="I83" s="20"/>
      <c r="J83" s="20"/>
      <c r="K83" s="20"/>
      <c r="L83" s="20"/>
    </row>
    <row r="84">
      <c r="B84" s="13"/>
      <c r="C84" s="7"/>
      <c r="F84" s="21"/>
      <c r="G84" s="20"/>
      <c r="H84" s="20"/>
      <c r="I84" s="20"/>
      <c r="J84" s="20"/>
      <c r="K84" s="20"/>
      <c r="L84" s="20"/>
    </row>
    <row r="85">
      <c r="B85" s="13"/>
      <c r="C85" s="7"/>
      <c r="F85" s="21"/>
      <c r="G85" s="20"/>
      <c r="H85" s="20"/>
      <c r="I85" s="20"/>
      <c r="J85" s="20"/>
      <c r="K85" s="20"/>
      <c r="L85" s="20"/>
    </row>
    <row r="86">
      <c r="B86" s="13"/>
      <c r="C86" s="7"/>
      <c r="F86" s="21"/>
      <c r="G86" s="20"/>
      <c r="H86" s="20"/>
      <c r="I86" s="20"/>
      <c r="J86" s="20"/>
      <c r="K86" s="20"/>
      <c r="L86" s="20"/>
    </row>
    <row r="87">
      <c r="B87" s="13"/>
      <c r="C87" s="7"/>
      <c r="F87" s="21"/>
      <c r="G87" s="20"/>
      <c r="H87" s="20"/>
      <c r="I87" s="20"/>
      <c r="J87" s="20"/>
      <c r="K87" s="20"/>
      <c r="L87" s="20"/>
    </row>
    <row r="88">
      <c r="B88" s="13"/>
      <c r="C88" s="7"/>
      <c r="F88" s="21"/>
      <c r="G88" s="20"/>
      <c r="H88" s="20"/>
      <c r="I88" s="20"/>
      <c r="J88" s="20"/>
      <c r="K88" s="20"/>
      <c r="L88" s="20"/>
    </row>
    <row r="89">
      <c r="B89" s="13"/>
      <c r="C89" s="7"/>
      <c r="F89" s="21"/>
      <c r="G89" s="20"/>
      <c r="H89" s="20"/>
      <c r="I89" s="20"/>
      <c r="J89" s="20"/>
      <c r="K89" s="20"/>
      <c r="L89" s="20"/>
    </row>
    <row r="90">
      <c r="B90" s="13"/>
      <c r="C90" s="7"/>
      <c r="F90" s="21"/>
      <c r="G90" s="20"/>
      <c r="H90" s="20"/>
      <c r="I90" s="20"/>
      <c r="J90" s="20"/>
      <c r="K90" s="20"/>
      <c r="L90" s="20"/>
    </row>
    <row r="91">
      <c r="B91" s="13"/>
      <c r="C91" s="7"/>
      <c r="F91" s="21"/>
      <c r="G91" s="20"/>
      <c r="H91" s="20"/>
      <c r="I91" s="20"/>
      <c r="J91" s="20"/>
      <c r="K91" s="20"/>
      <c r="L91" s="20"/>
    </row>
    <row r="92">
      <c r="B92" s="13"/>
      <c r="C92" s="7"/>
      <c r="F92" s="21"/>
      <c r="G92" s="20"/>
      <c r="H92" s="20"/>
      <c r="I92" s="20"/>
      <c r="J92" s="20"/>
      <c r="K92" s="20"/>
      <c r="L92" s="20"/>
    </row>
    <row r="93">
      <c r="B93" s="13"/>
      <c r="C93" s="7"/>
      <c r="F93" s="21"/>
      <c r="G93" s="20"/>
      <c r="H93" s="20"/>
      <c r="I93" s="20"/>
      <c r="J93" s="20"/>
      <c r="K93" s="20"/>
      <c r="L93" s="20"/>
    </row>
    <row r="94">
      <c r="B94" s="13"/>
      <c r="C94" s="7"/>
      <c r="F94" s="21"/>
      <c r="G94" s="20"/>
      <c r="H94" s="20"/>
      <c r="I94" s="20"/>
      <c r="J94" s="20"/>
      <c r="K94" s="20"/>
      <c r="L94" s="20"/>
    </row>
    <row r="95">
      <c r="B95" s="13"/>
      <c r="C95" s="7"/>
      <c r="F95" s="21"/>
      <c r="G95" s="20"/>
      <c r="H95" s="20"/>
      <c r="I95" s="20"/>
      <c r="J95" s="20"/>
      <c r="K95" s="20"/>
      <c r="L95" s="20"/>
    </row>
    <row r="96">
      <c r="B96" s="13"/>
      <c r="C96" s="7"/>
      <c r="F96" s="21"/>
      <c r="G96" s="20"/>
      <c r="H96" s="20"/>
      <c r="I96" s="20"/>
      <c r="J96" s="20"/>
      <c r="K96" s="20"/>
      <c r="L96" s="20"/>
    </row>
    <row r="97">
      <c r="B97" s="13"/>
      <c r="C97" s="7"/>
      <c r="F97" s="21"/>
      <c r="G97" s="20"/>
      <c r="H97" s="20"/>
      <c r="I97" s="20"/>
      <c r="J97" s="20"/>
      <c r="K97" s="20"/>
      <c r="L97" s="20"/>
    </row>
    <row r="98">
      <c r="B98" s="13"/>
      <c r="C98" s="7"/>
      <c r="F98" s="21"/>
      <c r="G98" s="20"/>
      <c r="H98" s="20"/>
      <c r="I98" s="20"/>
      <c r="J98" s="20"/>
      <c r="K98" s="20"/>
      <c r="L98" s="20"/>
    </row>
    <row r="99">
      <c r="B99" s="13"/>
      <c r="C99" s="7"/>
      <c r="F99" s="21"/>
      <c r="G99" s="20"/>
      <c r="H99" s="20"/>
      <c r="I99" s="20"/>
      <c r="J99" s="20"/>
      <c r="K99" s="20"/>
      <c r="L99" s="20"/>
    </row>
    <row r="100">
      <c r="B100" s="13"/>
      <c r="C100" s="7"/>
      <c r="F100" s="21"/>
      <c r="G100" s="20"/>
      <c r="H100" s="20"/>
      <c r="I100" s="20"/>
      <c r="J100" s="20"/>
      <c r="K100" s="20"/>
      <c r="L100" s="20"/>
    </row>
    <row r="101">
      <c r="B101" s="13"/>
      <c r="C101" s="7"/>
      <c r="F101" s="21"/>
      <c r="G101" s="20"/>
      <c r="H101" s="20"/>
      <c r="I101" s="20"/>
      <c r="J101" s="20"/>
      <c r="K101" s="20"/>
      <c r="L101" s="20"/>
    </row>
    <row r="102">
      <c r="B102" s="13"/>
      <c r="C102" s="7"/>
      <c r="F102" s="21"/>
      <c r="G102" s="20"/>
      <c r="H102" s="20"/>
      <c r="I102" s="20"/>
      <c r="J102" s="20"/>
      <c r="K102" s="20"/>
      <c r="L102" s="20"/>
    </row>
    <row r="103">
      <c r="B103" s="13"/>
      <c r="C103" s="7"/>
      <c r="F103" s="21"/>
      <c r="G103" s="20"/>
      <c r="H103" s="20"/>
      <c r="I103" s="20"/>
      <c r="J103" s="20"/>
      <c r="K103" s="20"/>
      <c r="L103" s="20"/>
    </row>
    <row r="104">
      <c r="B104" s="13"/>
      <c r="C104" s="7"/>
      <c r="F104" s="21"/>
      <c r="G104" s="20"/>
      <c r="H104" s="20"/>
      <c r="I104" s="20"/>
      <c r="J104" s="20"/>
      <c r="K104" s="20"/>
      <c r="L104" s="20"/>
    </row>
    <row r="105">
      <c r="B105" s="13"/>
      <c r="C105" s="7"/>
      <c r="F105" s="21"/>
      <c r="G105" s="20"/>
      <c r="H105" s="20"/>
      <c r="I105" s="20"/>
      <c r="J105" s="20"/>
      <c r="K105" s="20"/>
      <c r="L105" s="20"/>
    </row>
    <row r="106">
      <c r="B106" s="13"/>
      <c r="C106" s="7"/>
      <c r="F106" s="21"/>
      <c r="G106" s="20"/>
      <c r="H106" s="20"/>
      <c r="I106" s="20"/>
      <c r="J106" s="20"/>
      <c r="K106" s="20"/>
      <c r="L106" s="20"/>
    </row>
    <row r="107">
      <c r="B107" s="13"/>
      <c r="C107" s="7"/>
      <c r="F107" s="21"/>
      <c r="G107" s="20"/>
      <c r="H107" s="20"/>
      <c r="I107" s="20"/>
      <c r="J107" s="20"/>
      <c r="K107" s="20"/>
      <c r="L107" s="20"/>
    </row>
    <row r="108">
      <c r="B108" s="13"/>
      <c r="C108" s="7"/>
      <c r="F108" s="21"/>
      <c r="G108" s="20"/>
      <c r="H108" s="20"/>
      <c r="I108" s="20"/>
      <c r="J108" s="20"/>
      <c r="K108" s="20"/>
      <c r="L108" s="20"/>
    </row>
    <row r="109">
      <c r="B109" s="13"/>
      <c r="C109" s="7"/>
      <c r="F109" s="21"/>
      <c r="G109" s="20"/>
      <c r="H109" s="20"/>
      <c r="I109" s="20"/>
      <c r="J109" s="20"/>
      <c r="K109" s="20"/>
      <c r="L109" s="20"/>
    </row>
    <row r="110">
      <c r="B110" s="13"/>
      <c r="C110" s="7"/>
      <c r="F110" s="21"/>
      <c r="G110" s="20"/>
      <c r="H110" s="20"/>
      <c r="I110" s="20"/>
      <c r="J110" s="20"/>
      <c r="K110" s="20"/>
      <c r="L110" s="20"/>
    </row>
    <row r="111">
      <c r="B111" s="13"/>
      <c r="C111" s="7"/>
      <c r="F111" s="21"/>
      <c r="G111" s="20"/>
      <c r="H111" s="20"/>
      <c r="I111" s="20"/>
      <c r="J111" s="20"/>
      <c r="K111" s="20"/>
      <c r="L111" s="20"/>
    </row>
    <row r="112">
      <c r="B112" s="13"/>
      <c r="C112" s="7"/>
      <c r="F112" s="21"/>
      <c r="G112" s="20"/>
      <c r="H112" s="20"/>
      <c r="I112" s="20"/>
      <c r="J112" s="20"/>
      <c r="K112" s="20"/>
      <c r="L112" s="20"/>
    </row>
    <row r="113">
      <c r="B113" s="13"/>
      <c r="C113" s="7"/>
      <c r="F113" s="19"/>
      <c r="G113" s="20"/>
      <c r="H113" s="20"/>
      <c r="I113" s="20"/>
      <c r="J113" s="20"/>
      <c r="K113" s="20"/>
      <c r="L113" s="20"/>
    </row>
    <row r="114">
      <c r="B114" s="13"/>
      <c r="C114" s="7"/>
      <c r="F114" s="19"/>
      <c r="G114" s="20"/>
      <c r="H114" s="20"/>
      <c r="I114" s="20"/>
      <c r="J114" s="20"/>
      <c r="K114" s="20"/>
      <c r="L114" s="20"/>
    </row>
    <row r="115">
      <c r="B115" s="13"/>
      <c r="C115" s="7"/>
      <c r="F115" s="20"/>
      <c r="G115" s="20"/>
      <c r="H115" s="20"/>
      <c r="I115" s="20"/>
      <c r="J115" s="20"/>
      <c r="K115" s="20"/>
      <c r="L115" s="20"/>
    </row>
    <row r="116">
      <c r="B116" s="13"/>
      <c r="C116" s="7"/>
      <c r="F116" s="19"/>
      <c r="G116" s="20"/>
      <c r="H116" s="20"/>
      <c r="I116" s="20"/>
      <c r="J116" s="20"/>
      <c r="K116" s="20"/>
      <c r="L116" s="20"/>
    </row>
    <row r="117">
      <c r="B117" s="13"/>
      <c r="C117" s="7"/>
      <c r="F117" s="20"/>
      <c r="G117" s="20"/>
      <c r="H117" s="20"/>
      <c r="I117" s="20"/>
      <c r="J117" s="20"/>
      <c r="K117" s="20"/>
      <c r="L117" s="20"/>
    </row>
    <row r="118">
      <c r="B118" s="13"/>
      <c r="C118" s="7"/>
      <c r="F118" s="22"/>
      <c r="G118" s="20"/>
      <c r="H118" s="20"/>
      <c r="I118" s="20"/>
      <c r="J118" s="20"/>
      <c r="K118" s="20"/>
      <c r="L118" s="20"/>
    </row>
    <row r="119">
      <c r="B119" s="13"/>
      <c r="C119" s="7"/>
      <c r="F119" s="23"/>
      <c r="G119" s="20"/>
      <c r="H119" s="20"/>
      <c r="I119" s="20"/>
      <c r="J119" s="20"/>
      <c r="K119" s="20"/>
      <c r="L119" s="20"/>
    </row>
    <row r="120">
      <c r="B120" s="13"/>
      <c r="C120" s="7"/>
      <c r="G120" s="13"/>
    </row>
    <row r="121">
      <c r="B121" s="13"/>
      <c r="C121" s="7"/>
      <c r="G121" s="13"/>
    </row>
    <row r="122">
      <c r="B122" s="13"/>
      <c r="C122" s="7"/>
      <c r="G122" s="13"/>
    </row>
    <row r="123">
      <c r="B123" s="13"/>
      <c r="C123" s="7"/>
      <c r="G123" s="13"/>
    </row>
    <row r="124">
      <c r="B124" s="13"/>
      <c r="C124" s="7"/>
      <c r="G124" s="13"/>
    </row>
    <row r="125">
      <c r="B125" s="13"/>
      <c r="C125" s="7"/>
      <c r="G125" s="13"/>
    </row>
    <row r="126">
      <c r="B126" s="13"/>
      <c r="C126" s="7"/>
      <c r="G126" s="13"/>
    </row>
    <row r="127">
      <c r="B127" s="13"/>
      <c r="C127" s="7"/>
      <c r="G127" s="13"/>
    </row>
    <row r="128">
      <c r="B128" s="13"/>
      <c r="C128" s="7"/>
      <c r="G128" s="13"/>
    </row>
    <row r="129">
      <c r="B129" s="13"/>
      <c r="C129" s="7"/>
      <c r="G129" s="13"/>
    </row>
    <row r="130">
      <c r="B130" s="13"/>
      <c r="C130" s="7"/>
      <c r="G130" s="13"/>
    </row>
    <row r="131">
      <c r="B131" s="13"/>
      <c r="C131" s="7"/>
      <c r="G131" s="13"/>
    </row>
    <row r="132">
      <c r="B132" s="13"/>
      <c r="C132" s="7"/>
      <c r="G132" s="13"/>
    </row>
    <row r="133">
      <c r="B133" s="13"/>
      <c r="C133" s="7"/>
      <c r="G133" s="13"/>
    </row>
    <row r="134">
      <c r="B134" s="13"/>
      <c r="C134" s="7"/>
      <c r="G134" s="13"/>
    </row>
    <row r="135">
      <c r="B135" s="13"/>
      <c r="C135" s="7"/>
      <c r="G135" s="13"/>
    </row>
    <row r="136">
      <c r="B136" s="13"/>
      <c r="C136" s="7"/>
      <c r="G136" s="13"/>
    </row>
    <row r="137">
      <c r="B137" s="13"/>
      <c r="C137" s="7"/>
      <c r="G137" s="13"/>
    </row>
    <row r="138">
      <c r="B138" s="13"/>
      <c r="C138" s="7"/>
      <c r="G138" s="13"/>
    </row>
    <row r="139">
      <c r="B139" s="13"/>
      <c r="C139" s="7"/>
      <c r="G139" s="13"/>
    </row>
    <row r="140">
      <c r="B140" s="13"/>
      <c r="C140" s="7"/>
      <c r="G140" s="13"/>
    </row>
    <row r="141">
      <c r="B141" s="13"/>
      <c r="C141" s="7"/>
      <c r="G141" s="13"/>
    </row>
    <row r="142">
      <c r="A142" s="16"/>
      <c r="B142" s="13"/>
      <c r="C142" s="7"/>
      <c r="G142" s="13"/>
    </row>
    <row r="143">
      <c r="A143" s="16"/>
      <c r="B143" s="13"/>
      <c r="C143" s="7"/>
      <c r="G143" s="13"/>
    </row>
    <row r="144">
      <c r="A144" s="16"/>
      <c r="B144" s="13"/>
      <c r="C144" s="7"/>
      <c r="G144" s="13"/>
    </row>
    <row r="145">
      <c r="A145" s="16"/>
      <c r="B145" s="13"/>
      <c r="C145" s="7"/>
      <c r="G145" s="13"/>
    </row>
    <row r="146">
      <c r="A146" s="16"/>
      <c r="B146" s="13"/>
      <c r="C146" s="7"/>
      <c r="G146" s="13"/>
    </row>
    <row r="147">
      <c r="A147" s="16"/>
      <c r="B147" s="13"/>
      <c r="C147" s="7"/>
      <c r="G147" s="13"/>
    </row>
    <row r="148">
      <c r="A148" s="16"/>
      <c r="B148" s="13"/>
      <c r="C148" s="7"/>
      <c r="G148" s="13"/>
    </row>
    <row r="149">
      <c r="A149" s="16"/>
      <c r="B149" s="13"/>
      <c r="C149" s="7"/>
      <c r="G149" s="13"/>
    </row>
    <row r="150">
      <c r="A150" s="16"/>
      <c r="B150" s="13"/>
      <c r="C150" s="7"/>
      <c r="G150" s="13"/>
    </row>
    <row r="151">
      <c r="A151" s="16"/>
      <c r="B151" s="13"/>
      <c r="C151" s="7"/>
      <c r="G151" s="13"/>
    </row>
    <row r="152">
      <c r="A152" s="16"/>
      <c r="B152" s="13"/>
      <c r="C152" s="7"/>
      <c r="G152" s="13"/>
    </row>
    <row r="153">
      <c r="A153" s="16"/>
      <c r="B153" s="13"/>
      <c r="C153" s="7"/>
      <c r="G153" s="13"/>
    </row>
    <row r="154">
      <c r="A154" s="16"/>
      <c r="B154" s="13"/>
      <c r="C154" s="7"/>
      <c r="G154" s="13"/>
    </row>
    <row r="155">
      <c r="A155" s="16"/>
      <c r="B155" s="13"/>
      <c r="C155" s="7"/>
      <c r="G155" s="13"/>
    </row>
    <row r="156">
      <c r="A156" s="16"/>
      <c r="B156" s="13"/>
      <c r="C156" s="7"/>
      <c r="G156" s="13"/>
    </row>
    <row r="157">
      <c r="A157" s="16"/>
      <c r="B157" s="13"/>
      <c r="C157" s="7"/>
      <c r="G157" s="13"/>
    </row>
    <row r="158">
      <c r="A158" s="16"/>
      <c r="B158" s="13"/>
      <c r="C158" s="7"/>
      <c r="G158" s="13"/>
    </row>
    <row r="159">
      <c r="A159" s="16"/>
      <c r="B159" s="13"/>
      <c r="C159" s="7"/>
      <c r="G159" s="13"/>
    </row>
    <row r="160">
      <c r="A160" s="16"/>
      <c r="B160" s="13"/>
      <c r="C160" s="7"/>
      <c r="G160" s="13"/>
    </row>
    <row r="161">
      <c r="A161" s="16"/>
      <c r="B161" s="13"/>
      <c r="C161" s="7"/>
      <c r="G161" s="13"/>
    </row>
    <row r="162">
      <c r="A162" s="16"/>
      <c r="B162" s="13"/>
      <c r="C162" s="7"/>
      <c r="G162" s="13"/>
    </row>
    <row r="163">
      <c r="A163" s="16"/>
      <c r="B163" s="13"/>
      <c r="C163" s="7"/>
      <c r="G163" s="13"/>
    </row>
    <row r="164">
      <c r="A164" s="16"/>
      <c r="B164" s="13"/>
      <c r="C164" s="7"/>
      <c r="G164" s="13"/>
    </row>
    <row r="165">
      <c r="A165" s="16"/>
      <c r="B165" s="13"/>
      <c r="C165" s="7"/>
      <c r="G165" s="13"/>
    </row>
    <row r="166">
      <c r="A166" s="16"/>
      <c r="B166" s="13"/>
      <c r="C166" s="7"/>
      <c r="G166" s="13"/>
    </row>
    <row r="167">
      <c r="A167" s="16"/>
      <c r="B167" s="13"/>
      <c r="C167" s="7"/>
      <c r="G167" s="13"/>
    </row>
    <row r="168">
      <c r="A168" s="16"/>
      <c r="B168" s="13"/>
      <c r="C168" s="7"/>
      <c r="G168" s="13"/>
    </row>
    <row r="169">
      <c r="A169" s="16"/>
      <c r="B169" s="13"/>
      <c r="C169" s="7"/>
      <c r="G169" s="13"/>
    </row>
    <row r="170">
      <c r="A170" s="16"/>
      <c r="B170" s="13"/>
      <c r="C170" s="7"/>
      <c r="G170" s="13"/>
    </row>
    <row r="171">
      <c r="A171" s="16"/>
      <c r="B171" s="13"/>
      <c r="C171" s="7"/>
      <c r="G171" s="13"/>
    </row>
    <row r="172">
      <c r="A172" s="16"/>
      <c r="B172" s="13"/>
      <c r="C172" s="7"/>
      <c r="G172" s="13"/>
    </row>
    <row r="173">
      <c r="A173" s="16"/>
      <c r="B173" s="13"/>
      <c r="C173" s="7"/>
      <c r="G173" s="13"/>
    </row>
    <row r="174">
      <c r="A174" s="16"/>
      <c r="B174" s="13"/>
      <c r="C174" s="7"/>
      <c r="G174" s="13"/>
    </row>
    <row r="175">
      <c r="A175" s="16"/>
      <c r="B175" s="13"/>
      <c r="C175" s="7"/>
      <c r="G175" s="13"/>
    </row>
    <row r="176">
      <c r="A176" s="16"/>
      <c r="B176" s="13"/>
      <c r="C176" s="7"/>
      <c r="G176" s="13"/>
    </row>
    <row r="177">
      <c r="A177" s="16"/>
      <c r="B177" s="13"/>
      <c r="C177" s="7"/>
      <c r="G177" s="13"/>
    </row>
    <row r="178">
      <c r="A178" s="16"/>
      <c r="B178" s="13"/>
      <c r="C178" s="7"/>
      <c r="G178" s="13"/>
    </row>
    <row r="179">
      <c r="A179" s="16"/>
      <c r="B179" s="13"/>
      <c r="C179" s="7"/>
      <c r="G179" s="13"/>
    </row>
    <row r="180">
      <c r="A180" s="16"/>
      <c r="B180" s="13"/>
      <c r="C180" s="7"/>
      <c r="G180" s="13"/>
    </row>
    <row r="181">
      <c r="A181" s="16"/>
      <c r="B181" s="13"/>
      <c r="C181" s="7"/>
      <c r="G181" s="13"/>
    </row>
    <row r="182">
      <c r="A182" s="16"/>
      <c r="B182" s="13"/>
      <c r="C182" s="7"/>
      <c r="G182" s="13"/>
    </row>
    <row r="183">
      <c r="A183" s="16"/>
      <c r="B183" s="13"/>
      <c r="C183" s="7"/>
      <c r="G183" s="13"/>
    </row>
    <row r="184">
      <c r="A184" s="16"/>
      <c r="B184" s="13"/>
      <c r="C184" s="7"/>
      <c r="G184" s="13"/>
    </row>
    <row r="185">
      <c r="A185" s="16"/>
      <c r="B185" s="13"/>
      <c r="C185" s="7"/>
      <c r="G185" s="13"/>
    </row>
    <row r="186">
      <c r="A186" s="16"/>
      <c r="B186" s="13"/>
      <c r="C186" s="7"/>
      <c r="G186" s="13"/>
    </row>
    <row r="187">
      <c r="A187" s="16"/>
      <c r="B187" s="13"/>
      <c r="C187" s="7"/>
      <c r="G187" s="13"/>
    </row>
    <row r="188">
      <c r="A188" s="16"/>
      <c r="B188" s="13"/>
      <c r="C188" s="7"/>
      <c r="G188" s="13"/>
    </row>
    <row r="189">
      <c r="A189" s="16"/>
      <c r="B189" s="13"/>
      <c r="C189" s="7"/>
      <c r="G189" s="13"/>
    </row>
    <row r="190">
      <c r="A190" s="16"/>
      <c r="B190" s="13"/>
      <c r="C190" s="7"/>
      <c r="G190" s="13"/>
    </row>
    <row r="191">
      <c r="A191" s="16"/>
      <c r="B191" s="13"/>
      <c r="C191" s="7"/>
      <c r="G191" s="13"/>
    </row>
    <row r="192">
      <c r="A192" s="16"/>
      <c r="B192" s="13"/>
      <c r="C192" s="7"/>
      <c r="G192" s="13"/>
    </row>
    <row r="193">
      <c r="A193" s="16"/>
      <c r="B193" s="13"/>
      <c r="C193" s="7"/>
      <c r="G193" s="13"/>
    </row>
    <row r="194">
      <c r="A194" s="16"/>
      <c r="B194" s="13"/>
      <c r="C194" s="7"/>
      <c r="G194" s="13"/>
    </row>
    <row r="195">
      <c r="A195" s="16"/>
      <c r="B195" s="13"/>
      <c r="C195" s="7"/>
      <c r="G195" s="13"/>
    </row>
    <row r="196">
      <c r="A196" s="16"/>
      <c r="B196" s="13"/>
      <c r="C196" s="7"/>
      <c r="G196" s="13"/>
    </row>
    <row r="197">
      <c r="A197" s="16"/>
      <c r="B197" s="13"/>
      <c r="C197" s="7"/>
      <c r="G197" s="13"/>
    </row>
    <row r="198">
      <c r="A198" s="16"/>
      <c r="B198" s="13"/>
      <c r="C198" s="7"/>
      <c r="G198" s="13"/>
    </row>
    <row r="199">
      <c r="A199" s="16"/>
      <c r="B199" s="13"/>
      <c r="C199" s="7"/>
      <c r="G199" s="13"/>
    </row>
    <row r="200">
      <c r="A200" s="16"/>
      <c r="B200" s="13"/>
      <c r="C200" s="7"/>
      <c r="G200" s="13"/>
    </row>
    <row r="201">
      <c r="A201" s="16"/>
      <c r="B201" s="13"/>
      <c r="C201" s="7"/>
      <c r="G201" s="13"/>
    </row>
    <row r="202">
      <c r="A202" s="16"/>
      <c r="B202" s="13"/>
      <c r="C202" s="7"/>
      <c r="G202" s="13"/>
    </row>
    <row r="203">
      <c r="A203" s="16"/>
      <c r="B203" s="13"/>
      <c r="C203" s="7"/>
      <c r="G203" s="13"/>
    </row>
    <row r="204">
      <c r="A204" s="16"/>
      <c r="B204" s="13"/>
      <c r="C204" s="7"/>
      <c r="G204" s="13"/>
    </row>
    <row r="205">
      <c r="A205" s="16"/>
      <c r="B205" s="13"/>
      <c r="C205" s="7"/>
      <c r="G205" s="13"/>
    </row>
    <row r="206">
      <c r="A206" s="16"/>
      <c r="B206" s="13"/>
      <c r="C206" s="7"/>
      <c r="G206" s="13"/>
    </row>
    <row r="207">
      <c r="A207" s="16"/>
      <c r="B207" s="13"/>
      <c r="C207" s="7"/>
      <c r="G207" s="13"/>
    </row>
    <row r="208">
      <c r="A208" s="16"/>
      <c r="B208" s="13"/>
      <c r="C208" s="7"/>
      <c r="G208" s="13"/>
    </row>
    <row r="209">
      <c r="A209" s="16"/>
      <c r="B209" s="13"/>
      <c r="C209" s="7"/>
      <c r="G209" s="13"/>
    </row>
    <row r="210">
      <c r="A210" s="16"/>
      <c r="B210" s="13"/>
      <c r="C210" s="7"/>
      <c r="G210" s="13"/>
    </row>
    <row r="211">
      <c r="A211" s="16"/>
      <c r="B211" s="13"/>
      <c r="C211" s="7"/>
      <c r="G211" s="13"/>
    </row>
    <row r="212">
      <c r="A212" s="16"/>
      <c r="B212" s="13"/>
      <c r="C212" s="7"/>
      <c r="G212" s="13"/>
    </row>
    <row r="213">
      <c r="A213" s="16"/>
      <c r="B213" s="13"/>
      <c r="C213" s="7"/>
      <c r="G213" s="13"/>
    </row>
    <row r="214">
      <c r="A214" s="16"/>
      <c r="B214" s="13"/>
      <c r="C214" s="7"/>
      <c r="G214" s="13"/>
    </row>
    <row r="215">
      <c r="A215" s="16"/>
      <c r="B215" s="13"/>
      <c r="C215" s="7"/>
      <c r="G215" s="13"/>
    </row>
    <row r="216">
      <c r="A216" s="16"/>
      <c r="B216" s="13"/>
      <c r="C216" s="7"/>
      <c r="G216" s="13"/>
    </row>
    <row r="217">
      <c r="A217" s="16"/>
      <c r="B217" s="13"/>
      <c r="C217" s="7"/>
      <c r="G217" s="13"/>
    </row>
    <row r="218">
      <c r="A218" s="16"/>
      <c r="B218" s="13"/>
      <c r="C218" s="7"/>
      <c r="G218" s="13"/>
    </row>
    <row r="219">
      <c r="A219" s="16"/>
      <c r="B219" s="13"/>
      <c r="C219" s="7"/>
      <c r="G219" s="13"/>
    </row>
    <row r="220">
      <c r="A220" s="16"/>
      <c r="B220" s="13"/>
      <c r="C220" s="7"/>
      <c r="G220" s="13"/>
    </row>
    <row r="221">
      <c r="A221" s="16"/>
      <c r="B221" s="13"/>
      <c r="C221" s="7"/>
      <c r="G221" s="13"/>
    </row>
    <row r="222">
      <c r="A222" s="16"/>
      <c r="B222" s="13"/>
      <c r="C222" s="7"/>
      <c r="G222" s="13"/>
    </row>
    <row r="223">
      <c r="A223" s="16"/>
      <c r="B223" s="13"/>
      <c r="C223" s="7"/>
      <c r="G223" s="13"/>
    </row>
    <row r="224">
      <c r="A224" s="16"/>
      <c r="B224" s="13"/>
      <c r="C224" s="7"/>
      <c r="G224" s="13"/>
    </row>
    <row r="225">
      <c r="A225" s="16"/>
      <c r="B225" s="13"/>
      <c r="C225" s="7"/>
      <c r="G225" s="13"/>
    </row>
    <row r="226">
      <c r="A226" s="16"/>
      <c r="B226" s="13"/>
      <c r="C226" s="7"/>
      <c r="G226" s="13"/>
    </row>
    <row r="227">
      <c r="A227" s="16"/>
      <c r="B227" s="13"/>
      <c r="C227" s="7"/>
      <c r="G227" s="13"/>
    </row>
    <row r="228">
      <c r="A228" s="16"/>
      <c r="B228" s="13"/>
      <c r="C228" s="7"/>
      <c r="G228" s="13"/>
    </row>
    <row r="229">
      <c r="A229" s="16"/>
      <c r="B229" s="13"/>
      <c r="C229" s="7"/>
      <c r="G229" s="13"/>
    </row>
    <row r="230">
      <c r="A230" s="16"/>
      <c r="B230" s="13"/>
      <c r="C230" s="7"/>
      <c r="G230" s="13"/>
    </row>
    <row r="231">
      <c r="A231" s="16"/>
      <c r="B231" s="13"/>
      <c r="C231" s="7"/>
      <c r="G231" s="13"/>
    </row>
    <row r="232">
      <c r="A232" s="16"/>
      <c r="B232" s="13"/>
      <c r="C232" s="7"/>
      <c r="G232" s="13"/>
    </row>
    <row r="233">
      <c r="A233" s="16"/>
      <c r="B233" s="13"/>
      <c r="C233" s="7"/>
      <c r="G233" s="13"/>
    </row>
    <row r="234">
      <c r="A234" s="16"/>
      <c r="B234" s="13"/>
      <c r="C234" s="7"/>
      <c r="G234" s="13"/>
    </row>
    <row r="235">
      <c r="A235" s="16"/>
      <c r="B235" s="13"/>
      <c r="C235" s="7"/>
      <c r="G235" s="13"/>
    </row>
    <row r="236">
      <c r="A236" s="16"/>
      <c r="B236" s="13"/>
      <c r="C236" s="7"/>
      <c r="G236" s="13"/>
    </row>
    <row r="237">
      <c r="A237" s="16"/>
      <c r="B237" s="13"/>
      <c r="C237" s="7"/>
      <c r="G237" s="13"/>
    </row>
    <row r="238">
      <c r="A238" s="16"/>
      <c r="B238" s="13"/>
      <c r="C238" s="7"/>
      <c r="G238" s="13"/>
    </row>
    <row r="239">
      <c r="A239" s="16"/>
      <c r="B239" s="13"/>
      <c r="C239" s="7"/>
      <c r="G239" s="13"/>
    </row>
    <row r="240">
      <c r="A240" s="16"/>
      <c r="B240" s="13"/>
      <c r="C240" s="7"/>
      <c r="G240" s="13"/>
    </row>
    <row r="241">
      <c r="A241" s="16"/>
      <c r="B241" s="13"/>
      <c r="C241" s="7"/>
      <c r="G241" s="13"/>
    </row>
    <row r="242">
      <c r="A242" s="16"/>
      <c r="B242" s="13"/>
      <c r="C242" s="7"/>
      <c r="G242" s="13"/>
    </row>
    <row r="243">
      <c r="A243" s="16"/>
      <c r="B243" s="13"/>
      <c r="C243" s="7"/>
      <c r="G243" s="13"/>
    </row>
    <row r="244">
      <c r="A244" s="16"/>
      <c r="B244" s="13"/>
      <c r="C244" s="7"/>
      <c r="G244" s="13"/>
    </row>
    <row r="245">
      <c r="A245" s="16"/>
      <c r="B245" s="13"/>
      <c r="C245" s="7"/>
      <c r="G245" s="13"/>
    </row>
    <row r="246">
      <c r="A246" s="16"/>
      <c r="B246" s="13"/>
      <c r="C246" s="7"/>
      <c r="G246" s="13"/>
    </row>
    <row r="247">
      <c r="A247" s="16"/>
      <c r="B247" s="13"/>
      <c r="C247" s="7"/>
      <c r="G247" s="13"/>
    </row>
    <row r="248">
      <c r="A248" s="16"/>
      <c r="B248" s="13"/>
      <c r="C248" s="7"/>
      <c r="G248" s="13"/>
    </row>
    <row r="249">
      <c r="A249" s="16"/>
      <c r="B249" s="13"/>
      <c r="C249" s="7"/>
      <c r="G249" s="13"/>
    </row>
    <row r="250">
      <c r="A250" s="16"/>
      <c r="B250" s="13"/>
      <c r="C250" s="7"/>
      <c r="G250" s="13"/>
    </row>
    <row r="251">
      <c r="A251" s="16"/>
      <c r="B251" s="13"/>
      <c r="C251" s="7"/>
      <c r="G251" s="13"/>
    </row>
    <row r="252">
      <c r="A252" s="16"/>
      <c r="B252" s="13"/>
      <c r="C252" s="7"/>
      <c r="G252" s="13"/>
    </row>
    <row r="253">
      <c r="A253" s="16"/>
      <c r="B253" s="13"/>
      <c r="C253" s="7"/>
      <c r="G253" s="13"/>
    </row>
    <row r="254">
      <c r="A254" s="16"/>
      <c r="B254" s="13"/>
      <c r="C254" s="7"/>
      <c r="G254" s="13"/>
    </row>
    <row r="255">
      <c r="A255" s="16"/>
      <c r="B255" s="13"/>
      <c r="C255" s="7"/>
      <c r="G255" s="13"/>
    </row>
    <row r="256">
      <c r="A256" s="16"/>
      <c r="B256" s="13"/>
      <c r="C256" s="7"/>
      <c r="G256" s="13"/>
    </row>
    <row r="257">
      <c r="A257" s="16"/>
      <c r="B257" s="13"/>
      <c r="C257" s="7"/>
      <c r="G257" s="13"/>
    </row>
    <row r="258">
      <c r="A258" s="16"/>
      <c r="B258" s="13"/>
      <c r="C258" s="7"/>
      <c r="G258" s="13"/>
    </row>
    <row r="259">
      <c r="A259" s="16"/>
      <c r="B259" s="13"/>
      <c r="C259" s="7"/>
      <c r="G259" s="13"/>
    </row>
    <row r="260">
      <c r="A260" s="16"/>
      <c r="B260" s="13"/>
      <c r="C260" s="7"/>
      <c r="G260" s="13"/>
    </row>
    <row r="261">
      <c r="A261" s="16"/>
      <c r="B261" s="13"/>
      <c r="C261" s="7"/>
      <c r="G261" s="13"/>
    </row>
    <row r="262">
      <c r="A262" s="16"/>
      <c r="B262" s="13"/>
      <c r="C262" s="7"/>
      <c r="G262" s="13"/>
    </row>
    <row r="263">
      <c r="A263" s="16"/>
      <c r="B263" s="13"/>
      <c r="C263" s="7"/>
      <c r="G263" s="13"/>
    </row>
    <row r="264">
      <c r="A264" s="16"/>
      <c r="B264" s="13"/>
      <c r="C264" s="7"/>
      <c r="G264" s="13"/>
    </row>
    <row r="265">
      <c r="A265" s="16"/>
      <c r="B265" s="13"/>
      <c r="C265" s="7"/>
      <c r="G265" s="13"/>
    </row>
    <row r="266">
      <c r="A266" s="16"/>
      <c r="B266" s="13"/>
      <c r="C266" s="7"/>
      <c r="G266" s="13"/>
    </row>
    <row r="267">
      <c r="A267" s="16"/>
      <c r="B267" s="13"/>
      <c r="C267" s="7"/>
      <c r="G267" s="13"/>
    </row>
    <row r="268">
      <c r="A268" s="16"/>
      <c r="B268" s="13"/>
      <c r="C268" s="7"/>
      <c r="G268" s="13"/>
    </row>
    <row r="269">
      <c r="A269" s="16"/>
      <c r="B269" s="13"/>
      <c r="C269" s="7"/>
      <c r="G269" s="13"/>
    </row>
    <row r="270">
      <c r="A270" s="16"/>
      <c r="B270" s="13"/>
      <c r="C270" s="7"/>
      <c r="G270" s="13"/>
    </row>
    <row r="271">
      <c r="A271" s="16"/>
      <c r="B271" s="13"/>
      <c r="C271" s="7"/>
      <c r="G271" s="13"/>
    </row>
    <row r="272">
      <c r="A272" s="16"/>
      <c r="B272" s="13"/>
      <c r="C272" s="7"/>
      <c r="G272" s="13"/>
    </row>
    <row r="273">
      <c r="A273" s="16"/>
      <c r="B273" s="13"/>
      <c r="C273" s="7"/>
      <c r="G273" s="13"/>
    </row>
    <row r="274">
      <c r="A274" s="16"/>
      <c r="B274" s="13"/>
      <c r="C274" s="7"/>
      <c r="G274" s="13"/>
    </row>
    <row r="275">
      <c r="A275" s="16"/>
      <c r="B275" s="13"/>
      <c r="C275" s="7"/>
      <c r="G275" s="13"/>
    </row>
    <row r="276">
      <c r="A276" s="16"/>
      <c r="B276" s="13"/>
      <c r="C276" s="7"/>
      <c r="G276" s="13"/>
    </row>
    <row r="277">
      <c r="A277" s="16"/>
      <c r="B277" s="13"/>
      <c r="C277" s="7"/>
      <c r="G277" s="13"/>
    </row>
    <row r="278">
      <c r="A278" s="16"/>
      <c r="B278" s="13"/>
      <c r="C278" s="7"/>
      <c r="G278" s="13"/>
    </row>
    <row r="279">
      <c r="A279" s="16"/>
      <c r="B279" s="13"/>
      <c r="C279" s="7"/>
      <c r="G279" s="13"/>
    </row>
    <row r="280">
      <c r="A280" s="16"/>
      <c r="B280" s="13"/>
      <c r="C280" s="7"/>
      <c r="G280" s="13"/>
    </row>
    <row r="281">
      <c r="A281" s="16"/>
      <c r="B281" s="13"/>
      <c r="C281" s="7"/>
      <c r="G281" s="13"/>
    </row>
    <row r="282">
      <c r="A282" s="16"/>
      <c r="B282" s="13"/>
      <c r="C282" s="7"/>
      <c r="G282" s="13"/>
    </row>
    <row r="283">
      <c r="A283" s="16"/>
      <c r="B283" s="13"/>
      <c r="C283" s="7"/>
      <c r="G283" s="13"/>
    </row>
    <row r="284">
      <c r="A284" s="16"/>
      <c r="B284" s="13"/>
      <c r="C284" s="7"/>
      <c r="G284" s="13"/>
    </row>
    <row r="285">
      <c r="A285" s="16"/>
      <c r="B285" s="13"/>
      <c r="C285" s="7"/>
      <c r="G285" s="13"/>
    </row>
    <row r="286">
      <c r="A286" s="16"/>
      <c r="B286" s="13"/>
      <c r="C286" s="7"/>
      <c r="G286" s="13"/>
    </row>
    <row r="287">
      <c r="A287" s="16"/>
      <c r="B287" s="13"/>
      <c r="C287" s="7"/>
      <c r="G287" s="13"/>
    </row>
    <row r="288">
      <c r="A288" s="16"/>
      <c r="B288" s="13"/>
      <c r="C288" s="7"/>
      <c r="G288" s="13"/>
    </row>
    <row r="289">
      <c r="A289" s="16"/>
      <c r="B289" s="13"/>
      <c r="C289" s="7"/>
      <c r="G289" s="13"/>
    </row>
    <row r="290">
      <c r="A290" s="16"/>
      <c r="B290" s="13"/>
      <c r="C290" s="7"/>
      <c r="G290" s="13"/>
    </row>
    <row r="291">
      <c r="A291" s="16"/>
      <c r="B291" s="13"/>
      <c r="C291" s="7"/>
      <c r="G291" s="13"/>
    </row>
    <row r="292">
      <c r="A292" s="16"/>
      <c r="B292" s="13"/>
      <c r="C292" s="7"/>
      <c r="G292" s="13"/>
    </row>
    <row r="293">
      <c r="A293" s="16"/>
      <c r="B293" s="13"/>
      <c r="C293" s="7"/>
      <c r="G293" s="13"/>
    </row>
    <row r="294">
      <c r="A294" s="16"/>
      <c r="B294" s="13"/>
      <c r="C294" s="7"/>
      <c r="G294" s="13"/>
    </row>
    <row r="295">
      <c r="A295" s="16"/>
      <c r="B295" s="13"/>
      <c r="C295" s="7"/>
      <c r="G295" s="13"/>
    </row>
    <row r="296">
      <c r="A296" s="16"/>
      <c r="B296" s="13"/>
      <c r="C296" s="7"/>
      <c r="G296" s="13"/>
    </row>
    <row r="297">
      <c r="A297" s="16"/>
      <c r="B297" s="13"/>
      <c r="C297" s="7"/>
      <c r="G297" s="13"/>
    </row>
    <row r="298">
      <c r="A298" s="16"/>
      <c r="B298" s="13"/>
      <c r="C298" s="7"/>
      <c r="G298" s="13"/>
    </row>
    <row r="299">
      <c r="A299" s="16"/>
      <c r="B299" s="13"/>
      <c r="C299" s="7"/>
      <c r="G299" s="13"/>
    </row>
    <row r="300">
      <c r="A300" s="16"/>
      <c r="B300" s="13"/>
      <c r="C300" s="7"/>
      <c r="G300" s="13"/>
    </row>
    <row r="301">
      <c r="A301" s="16"/>
      <c r="B301" s="13"/>
      <c r="C301" s="7"/>
      <c r="G301" s="13"/>
    </row>
    <row r="302">
      <c r="A302" s="16"/>
      <c r="B302" s="13"/>
      <c r="C302" s="7"/>
      <c r="G302" s="13"/>
    </row>
    <row r="303">
      <c r="A303" s="16"/>
      <c r="B303" s="13"/>
      <c r="C303" s="7"/>
      <c r="G303" s="13"/>
    </row>
    <row r="304">
      <c r="A304" s="16"/>
      <c r="B304" s="13"/>
      <c r="C304" s="7"/>
      <c r="G304" s="13"/>
    </row>
    <row r="305">
      <c r="A305" s="16"/>
      <c r="B305" s="13"/>
      <c r="C305" s="7"/>
      <c r="G305" s="13"/>
    </row>
    <row r="306">
      <c r="A306" s="16"/>
      <c r="B306" s="13"/>
      <c r="C306" s="7"/>
      <c r="G306" s="13"/>
    </row>
    <row r="307">
      <c r="A307" s="16"/>
      <c r="B307" s="13"/>
      <c r="C307" s="7"/>
      <c r="G307" s="13"/>
    </row>
    <row r="308">
      <c r="A308" s="16"/>
      <c r="B308" s="13"/>
      <c r="C308" s="7"/>
      <c r="G308" s="13"/>
    </row>
    <row r="309">
      <c r="A309" s="16"/>
      <c r="B309" s="13"/>
      <c r="C309" s="7"/>
      <c r="G309" s="13"/>
    </row>
    <row r="310">
      <c r="A310" s="16"/>
      <c r="B310" s="13"/>
      <c r="C310" s="7"/>
      <c r="G310" s="13"/>
    </row>
    <row r="311">
      <c r="A311" s="16"/>
      <c r="B311" s="13"/>
      <c r="C311" s="7"/>
      <c r="G311" s="13"/>
    </row>
    <row r="312">
      <c r="A312" s="16"/>
      <c r="B312" s="13"/>
      <c r="C312" s="7"/>
      <c r="G312" s="13"/>
    </row>
    <row r="313">
      <c r="A313" s="16"/>
      <c r="B313" s="13"/>
      <c r="C313" s="7"/>
      <c r="G313" s="13"/>
    </row>
    <row r="314">
      <c r="A314" s="16"/>
      <c r="B314" s="13"/>
      <c r="C314" s="7"/>
      <c r="G314" s="13"/>
    </row>
    <row r="315">
      <c r="A315" s="16"/>
      <c r="B315" s="13"/>
      <c r="C315" s="7"/>
      <c r="G315" s="13"/>
    </row>
    <row r="316">
      <c r="A316" s="16"/>
      <c r="B316" s="13"/>
      <c r="C316" s="7"/>
      <c r="G316" s="13"/>
    </row>
    <row r="317">
      <c r="A317" s="16"/>
      <c r="B317" s="13"/>
      <c r="C317" s="7"/>
      <c r="G317" s="13"/>
    </row>
    <row r="318">
      <c r="A318" s="16"/>
      <c r="B318" s="13"/>
      <c r="C318" s="7"/>
      <c r="G318" s="13"/>
    </row>
    <row r="319">
      <c r="A319" s="16"/>
      <c r="B319" s="13"/>
      <c r="C319" s="7"/>
      <c r="G319" s="13"/>
    </row>
    <row r="320">
      <c r="A320" s="16"/>
      <c r="B320" s="13"/>
      <c r="C320" s="7"/>
      <c r="G320" s="13"/>
    </row>
    <row r="321">
      <c r="A321" s="16"/>
      <c r="B321" s="13"/>
      <c r="C321" s="7"/>
      <c r="G321" s="13"/>
    </row>
    <row r="322">
      <c r="A322" s="16"/>
      <c r="B322" s="13"/>
      <c r="C322" s="7"/>
      <c r="G322" s="13"/>
    </row>
    <row r="323">
      <c r="A323" s="16"/>
      <c r="B323" s="13"/>
      <c r="C323" s="7"/>
      <c r="G323" s="13"/>
    </row>
    <row r="324">
      <c r="A324" s="16"/>
      <c r="B324" s="13"/>
      <c r="C324" s="7"/>
      <c r="G324" s="13"/>
    </row>
    <row r="325">
      <c r="A325" s="16"/>
      <c r="B325" s="13"/>
      <c r="C325" s="7"/>
      <c r="G325" s="13"/>
    </row>
    <row r="326">
      <c r="A326" s="16"/>
      <c r="B326" s="13"/>
      <c r="C326" s="7"/>
      <c r="G326" s="13"/>
    </row>
    <row r="327">
      <c r="A327" s="16"/>
      <c r="B327" s="13"/>
      <c r="C327" s="7"/>
      <c r="G327" s="13"/>
    </row>
    <row r="328">
      <c r="A328" s="16"/>
      <c r="B328" s="13"/>
      <c r="C328" s="7"/>
      <c r="G328" s="13"/>
    </row>
    <row r="329">
      <c r="A329" s="16"/>
      <c r="B329" s="13"/>
      <c r="C329" s="7"/>
      <c r="G329" s="13"/>
    </row>
    <row r="330">
      <c r="A330" s="16"/>
      <c r="B330" s="13"/>
      <c r="C330" s="7"/>
      <c r="G330" s="13"/>
    </row>
    <row r="331">
      <c r="A331" s="16"/>
      <c r="B331" s="13"/>
      <c r="C331" s="7"/>
      <c r="G331" s="13"/>
    </row>
    <row r="332">
      <c r="A332" s="16"/>
      <c r="B332" s="13"/>
      <c r="C332" s="7"/>
      <c r="G332" s="13"/>
    </row>
    <row r="333">
      <c r="A333" s="16"/>
      <c r="B333" s="13"/>
      <c r="C333" s="7"/>
      <c r="G333" s="13"/>
    </row>
    <row r="334">
      <c r="A334" s="16"/>
      <c r="B334" s="13"/>
      <c r="C334" s="7"/>
      <c r="G334" s="13"/>
    </row>
    <row r="335">
      <c r="A335" s="16"/>
      <c r="B335" s="13"/>
      <c r="C335" s="7"/>
      <c r="G335" s="13"/>
    </row>
    <row r="336">
      <c r="A336" s="16"/>
      <c r="B336" s="13"/>
      <c r="C336" s="7"/>
      <c r="G336" s="13"/>
    </row>
    <row r="337">
      <c r="A337" s="16"/>
      <c r="B337" s="13"/>
      <c r="C337" s="7"/>
      <c r="G337" s="13"/>
    </row>
    <row r="338">
      <c r="A338" s="16"/>
      <c r="B338" s="13"/>
      <c r="C338" s="7"/>
      <c r="G338" s="13"/>
    </row>
    <row r="339">
      <c r="A339" s="16"/>
      <c r="B339" s="13"/>
      <c r="C339" s="7"/>
      <c r="G339" s="13"/>
    </row>
    <row r="340">
      <c r="A340" s="16"/>
      <c r="B340" s="13"/>
      <c r="C340" s="7"/>
      <c r="G340" s="13"/>
    </row>
    <row r="341">
      <c r="A341" s="16"/>
      <c r="B341" s="13"/>
      <c r="C341" s="7"/>
      <c r="G341" s="13"/>
    </row>
    <row r="342">
      <c r="A342" s="16"/>
      <c r="B342" s="13"/>
      <c r="C342" s="7"/>
      <c r="G342" s="13"/>
    </row>
    <row r="343">
      <c r="A343" s="16"/>
      <c r="B343" s="13"/>
      <c r="C343" s="7"/>
      <c r="G343" s="13"/>
    </row>
    <row r="344">
      <c r="A344" s="16"/>
      <c r="B344" s="13"/>
      <c r="C344" s="7"/>
      <c r="G344" s="13"/>
    </row>
    <row r="345">
      <c r="A345" s="16"/>
      <c r="B345" s="13"/>
      <c r="C345" s="7"/>
      <c r="G345" s="13"/>
    </row>
    <row r="346">
      <c r="A346" s="16"/>
      <c r="B346" s="13"/>
      <c r="C346" s="7"/>
      <c r="G346" s="13"/>
    </row>
    <row r="347">
      <c r="A347" s="16"/>
      <c r="B347" s="13"/>
      <c r="C347" s="7"/>
      <c r="G347" s="13"/>
    </row>
    <row r="348">
      <c r="A348" s="16"/>
      <c r="B348" s="13"/>
      <c r="C348" s="7"/>
      <c r="G348" s="13"/>
    </row>
    <row r="349">
      <c r="A349" s="16"/>
      <c r="B349" s="13"/>
      <c r="C349" s="7"/>
      <c r="G349" s="13"/>
    </row>
    <row r="350">
      <c r="A350" s="16"/>
      <c r="B350" s="13"/>
      <c r="C350" s="7"/>
      <c r="G350" s="13"/>
    </row>
    <row r="351">
      <c r="A351" s="16"/>
      <c r="B351" s="13"/>
      <c r="C351" s="7"/>
      <c r="G351" s="13"/>
    </row>
    <row r="352">
      <c r="A352" s="16"/>
      <c r="B352" s="13"/>
      <c r="C352" s="7"/>
      <c r="G352" s="13"/>
    </row>
    <row r="353">
      <c r="A353" s="16"/>
      <c r="B353" s="13"/>
      <c r="C353" s="7"/>
      <c r="G353" s="13"/>
    </row>
    <row r="354">
      <c r="A354" s="16"/>
      <c r="B354" s="13"/>
      <c r="C354" s="7"/>
      <c r="G354" s="13"/>
    </row>
    <row r="355">
      <c r="A355" s="16"/>
      <c r="B355" s="13"/>
      <c r="C355" s="7"/>
      <c r="G355" s="13"/>
    </row>
    <row r="356">
      <c r="A356" s="16"/>
      <c r="B356" s="13"/>
      <c r="C356" s="7"/>
      <c r="G356" s="13"/>
    </row>
    <row r="357">
      <c r="A357" s="16"/>
      <c r="B357" s="13"/>
      <c r="C357" s="7"/>
      <c r="G357" s="13"/>
    </row>
    <row r="358">
      <c r="A358" s="16"/>
      <c r="B358" s="13"/>
      <c r="C358" s="7"/>
      <c r="G358" s="13"/>
    </row>
    <row r="359">
      <c r="A359" s="16"/>
      <c r="B359" s="13"/>
      <c r="C359" s="7"/>
      <c r="G359" s="13"/>
    </row>
    <row r="360">
      <c r="A360" s="16"/>
      <c r="B360" s="13"/>
      <c r="C360" s="7"/>
      <c r="G360" s="13"/>
    </row>
    <row r="361">
      <c r="A361" s="16"/>
      <c r="B361" s="13"/>
      <c r="C361" s="7"/>
      <c r="G361" s="13"/>
    </row>
    <row r="362">
      <c r="A362" s="16"/>
      <c r="B362" s="13"/>
      <c r="C362" s="7"/>
      <c r="G362" s="13"/>
    </row>
    <row r="363">
      <c r="A363" s="16"/>
      <c r="B363" s="13"/>
      <c r="C363" s="7"/>
      <c r="G363" s="13"/>
    </row>
    <row r="364">
      <c r="A364" s="16"/>
      <c r="B364" s="13"/>
      <c r="C364" s="7"/>
      <c r="G364" s="13"/>
    </row>
    <row r="365">
      <c r="A365" s="16"/>
      <c r="B365" s="13"/>
      <c r="C365" s="7"/>
      <c r="G365" s="13"/>
    </row>
    <row r="366">
      <c r="A366" s="16"/>
      <c r="B366" s="13"/>
      <c r="C366" s="7"/>
      <c r="G366" s="13"/>
    </row>
    <row r="367">
      <c r="A367" s="16"/>
      <c r="B367" s="13"/>
      <c r="C367" s="7"/>
      <c r="G367" s="13"/>
    </row>
    <row r="368">
      <c r="A368" s="16"/>
      <c r="B368" s="13"/>
      <c r="C368" s="7"/>
      <c r="G368" s="13"/>
    </row>
    <row r="369">
      <c r="A369" s="16"/>
      <c r="B369" s="13"/>
      <c r="C369" s="7"/>
      <c r="G369" s="13"/>
    </row>
    <row r="370">
      <c r="A370" s="16"/>
      <c r="B370" s="13"/>
      <c r="C370" s="7"/>
      <c r="G370" s="13"/>
    </row>
    <row r="371">
      <c r="A371" s="16"/>
      <c r="B371" s="13"/>
      <c r="C371" s="7"/>
      <c r="G371" s="13"/>
    </row>
    <row r="372">
      <c r="A372" s="16"/>
      <c r="B372" s="13"/>
      <c r="C372" s="7"/>
      <c r="G372" s="13"/>
    </row>
    <row r="373">
      <c r="A373" s="16"/>
      <c r="B373" s="13"/>
      <c r="C373" s="7"/>
      <c r="G373" s="13"/>
    </row>
    <row r="374">
      <c r="A374" s="16"/>
      <c r="B374" s="13"/>
      <c r="C374" s="7"/>
      <c r="G374" s="13"/>
    </row>
    <row r="375">
      <c r="A375" s="16"/>
      <c r="B375" s="13"/>
      <c r="C375" s="7"/>
      <c r="G375" s="13"/>
    </row>
    <row r="376">
      <c r="A376" s="16"/>
      <c r="B376" s="13"/>
      <c r="C376" s="7"/>
      <c r="G376" s="13"/>
    </row>
    <row r="377">
      <c r="A377" s="16"/>
      <c r="B377" s="13"/>
      <c r="C377" s="7"/>
      <c r="G377" s="13"/>
    </row>
    <row r="378">
      <c r="A378" s="16"/>
      <c r="B378" s="13"/>
      <c r="C378" s="7"/>
      <c r="G378" s="13"/>
    </row>
    <row r="379">
      <c r="A379" s="16"/>
      <c r="B379" s="13"/>
      <c r="C379" s="7"/>
      <c r="G379" s="13"/>
    </row>
    <row r="380">
      <c r="A380" s="16"/>
      <c r="B380" s="13"/>
      <c r="C380" s="7"/>
      <c r="G380" s="13"/>
    </row>
    <row r="381">
      <c r="A381" s="16"/>
      <c r="B381" s="13"/>
      <c r="C381" s="7"/>
      <c r="G381" s="13"/>
    </row>
    <row r="382">
      <c r="A382" s="16"/>
      <c r="B382" s="13"/>
      <c r="C382" s="7"/>
      <c r="G382" s="13"/>
    </row>
    <row r="383">
      <c r="A383" s="16"/>
      <c r="B383" s="13"/>
      <c r="C383" s="7"/>
      <c r="G383" s="13"/>
    </row>
    <row r="384">
      <c r="A384" s="16"/>
      <c r="B384" s="13"/>
      <c r="C384" s="7"/>
      <c r="G384" s="13"/>
    </row>
    <row r="385">
      <c r="A385" s="16"/>
      <c r="B385" s="13"/>
      <c r="C385" s="7"/>
      <c r="G385" s="13"/>
    </row>
    <row r="386">
      <c r="A386" s="16"/>
      <c r="B386" s="13"/>
      <c r="C386" s="7"/>
      <c r="G386" s="13"/>
    </row>
    <row r="387">
      <c r="A387" s="16"/>
      <c r="B387" s="13"/>
      <c r="C387" s="7"/>
      <c r="G387" s="13"/>
    </row>
    <row r="388">
      <c r="A388" s="16"/>
      <c r="B388" s="13"/>
      <c r="C388" s="7"/>
      <c r="G388" s="13"/>
    </row>
    <row r="389">
      <c r="A389" s="16"/>
      <c r="B389" s="13"/>
      <c r="C389" s="7"/>
      <c r="G389" s="13"/>
    </row>
    <row r="390">
      <c r="A390" s="16"/>
      <c r="B390" s="13"/>
      <c r="C390" s="7"/>
      <c r="G390" s="13"/>
    </row>
    <row r="391">
      <c r="A391" s="16"/>
      <c r="B391" s="13"/>
      <c r="C391" s="7"/>
      <c r="G391" s="13"/>
    </row>
    <row r="392">
      <c r="A392" s="16"/>
      <c r="B392" s="13"/>
      <c r="C392" s="7"/>
      <c r="G392" s="13"/>
    </row>
    <row r="393">
      <c r="A393" s="16"/>
      <c r="B393" s="13"/>
      <c r="C393" s="7"/>
      <c r="G393" s="13"/>
    </row>
    <row r="394">
      <c r="A394" s="16"/>
      <c r="B394" s="13"/>
      <c r="C394" s="7"/>
      <c r="G394" s="13"/>
    </row>
    <row r="395">
      <c r="A395" s="16"/>
      <c r="B395" s="13"/>
      <c r="C395" s="7"/>
      <c r="G395" s="13"/>
    </row>
    <row r="396">
      <c r="A396" s="16"/>
      <c r="B396" s="13"/>
      <c r="C396" s="7"/>
      <c r="G396" s="13"/>
    </row>
    <row r="397">
      <c r="A397" s="16"/>
      <c r="B397" s="13"/>
      <c r="C397" s="7"/>
      <c r="G397" s="13"/>
    </row>
    <row r="398">
      <c r="A398" s="16"/>
      <c r="B398" s="13"/>
      <c r="C398" s="7"/>
      <c r="G398" s="13"/>
    </row>
    <row r="399">
      <c r="A399" s="16"/>
      <c r="B399" s="13"/>
      <c r="C399" s="7"/>
      <c r="G399" s="13"/>
    </row>
    <row r="400">
      <c r="A400" s="16"/>
      <c r="B400" s="13"/>
      <c r="C400" s="7"/>
      <c r="G400" s="13"/>
    </row>
    <row r="401">
      <c r="A401" s="16"/>
      <c r="B401" s="13"/>
      <c r="C401" s="7"/>
      <c r="G401" s="13"/>
    </row>
    <row r="402">
      <c r="A402" s="16"/>
      <c r="B402" s="13"/>
      <c r="C402" s="7"/>
      <c r="G402" s="13"/>
    </row>
    <row r="403">
      <c r="A403" s="16"/>
      <c r="B403" s="13"/>
      <c r="C403" s="7"/>
      <c r="G403" s="13"/>
    </row>
    <row r="404">
      <c r="A404" s="16"/>
      <c r="B404" s="13"/>
      <c r="C404" s="7"/>
      <c r="G404" s="13"/>
    </row>
    <row r="405">
      <c r="A405" s="16"/>
      <c r="B405" s="13"/>
      <c r="C405" s="7"/>
      <c r="G405" s="13"/>
    </row>
    <row r="406">
      <c r="A406" s="16"/>
      <c r="B406" s="13"/>
      <c r="C406" s="7"/>
      <c r="G406" s="13"/>
    </row>
    <row r="407">
      <c r="A407" s="16"/>
      <c r="B407" s="13"/>
      <c r="C407" s="7"/>
      <c r="G407" s="13"/>
    </row>
    <row r="408">
      <c r="A408" s="16"/>
      <c r="B408" s="13"/>
      <c r="C408" s="7"/>
      <c r="G408" s="13"/>
    </row>
    <row r="409">
      <c r="A409" s="16"/>
      <c r="B409" s="13"/>
      <c r="C409" s="7"/>
      <c r="G409" s="13"/>
    </row>
    <row r="410">
      <c r="A410" s="16"/>
      <c r="B410" s="13"/>
      <c r="C410" s="7"/>
      <c r="G410" s="13"/>
    </row>
    <row r="411">
      <c r="A411" s="16"/>
      <c r="B411" s="13"/>
      <c r="C411" s="7"/>
      <c r="G411" s="13"/>
    </row>
    <row r="412">
      <c r="A412" s="16"/>
      <c r="B412" s="13"/>
      <c r="C412" s="7"/>
      <c r="G412" s="13"/>
    </row>
    <row r="413">
      <c r="A413" s="16"/>
      <c r="B413" s="13"/>
      <c r="C413" s="7"/>
      <c r="G413" s="13"/>
    </row>
    <row r="414">
      <c r="A414" s="16"/>
      <c r="B414" s="13"/>
      <c r="C414" s="7"/>
      <c r="G414" s="13"/>
    </row>
    <row r="415">
      <c r="A415" s="16"/>
      <c r="B415" s="13"/>
      <c r="C415" s="7"/>
      <c r="G415" s="13"/>
    </row>
    <row r="416">
      <c r="A416" s="16"/>
      <c r="B416" s="13"/>
      <c r="C416" s="7"/>
      <c r="G416" s="13"/>
    </row>
    <row r="417">
      <c r="A417" s="16"/>
      <c r="B417" s="13"/>
      <c r="C417" s="7"/>
      <c r="G417" s="13"/>
    </row>
    <row r="418">
      <c r="A418" s="16"/>
      <c r="B418" s="13"/>
      <c r="C418" s="7"/>
      <c r="G418" s="13"/>
    </row>
    <row r="419">
      <c r="A419" s="16"/>
      <c r="B419" s="13"/>
      <c r="C419" s="7"/>
      <c r="G419" s="13"/>
    </row>
    <row r="420">
      <c r="A420" s="16"/>
      <c r="B420" s="13"/>
      <c r="C420" s="7"/>
      <c r="G420" s="13"/>
    </row>
    <row r="421">
      <c r="A421" s="16"/>
      <c r="B421" s="13"/>
      <c r="C421" s="7"/>
      <c r="G421" s="13"/>
    </row>
    <row r="422">
      <c r="A422" s="16"/>
      <c r="B422" s="13"/>
      <c r="C422" s="7"/>
      <c r="G422" s="13"/>
    </row>
    <row r="423">
      <c r="A423" s="16"/>
      <c r="B423" s="13"/>
      <c r="C423" s="7"/>
      <c r="G423" s="13"/>
    </row>
    <row r="424">
      <c r="A424" s="16"/>
      <c r="B424" s="13"/>
      <c r="C424" s="7"/>
      <c r="G424" s="13"/>
    </row>
    <row r="425">
      <c r="A425" s="16"/>
      <c r="B425" s="13"/>
      <c r="C425" s="7"/>
      <c r="G425" s="13"/>
    </row>
    <row r="426">
      <c r="A426" s="16"/>
      <c r="B426" s="13"/>
      <c r="C426" s="7"/>
      <c r="G426" s="13"/>
    </row>
    <row r="427">
      <c r="A427" s="16"/>
      <c r="B427" s="13"/>
      <c r="C427" s="7"/>
      <c r="G427" s="13"/>
    </row>
    <row r="428">
      <c r="A428" s="16"/>
      <c r="B428" s="13"/>
      <c r="C428" s="7"/>
      <c r="G428" s="13"/>
    </row>
    <row r="429">
      <c r="A429" s="16"/>
      <c r="B429" s="13"/>
      <c r="C429" s="7"/>
      <c r="G429" s="13"/>
    </row>
    <row r="430">
      <c r="A430" s="16"/>
      <c r="B430" s="13"/>
      <c r="C430" s="7"/>
      <c r="G430" s="13"/>
    </row>
    <row r="431">
      <c r="A431" s="16"/>
      <c r="B431" s="13"/>
      <c r="C431" s="7"/>
      <c r="G431" s="13"/>
    </row>
    <row r="432">
      <c r="A432" s="16"/>
      <c r="B432" s="13"/>
      <c r="C432" s="7"/>
      <c r="G432" s="13"/>
    </row>
    <row r="433">
      <c r="A433" s="16"/>
      <c r="B433" s="13"/>
      <c r="C433" s="7"/>
      <c r="G433" s="13"/>
    </row>
    <row r="434">
      <c r="A434" s="16"/>
      <c r="B434" s="13"/>
      <c r="C434" s="7"/>
      <c r="G434" s="13"/>
    </row>
    <row r="435">
      <c r="A435" s="16"/>
      <c r="B435" s="13"/>
      <c r="C435" s="7"/>
      <c r="G435" s="13"/>
    </row>
    <row r="436">
      <c r="A436" s="16"/>
      <c r="B436" s="13"/>
      <c r="C436" s="7"/>
      <c r="G436" s="13"/>
    </row>
    <row r="437">
      <c r="A437" s="16"/>
      <c r="B437" s="13"/>
      <c r="C437" s="7"/>
      <c r="G437" s="13"/>
    </row>
    <row r="438">
      <c r="A438" s="16"/>
      <c r="B438" s="13"/>
      <c r="C438" s="7"/>
      <c r="G438" s="13"/>
    </row>
    <row r="439">
      <c r="A439" s="16"/>
      <c r="B439" s="13"/>
      <c r="C439" s="7"/>
      <c r="G439" s="13"/>
    </row>
    <row r="440">
      <c r="A440" s="16"/>
      <c r="B440" s="13"/>
      <c r="C440" s="7"/>
      <c r="G440" s="13"/>
    </row>
    <row r="441">
      <c r="A441" s="16"/>
      <c r="B441" s="13"/>
      <c r="C441" s="7"/>
      <c r="G441" s="13"/>
    </row>
    <row r="442">
      <c r="A442" s="16"/>
      <c r="B442" s="13"/>
      <c r="C442" s="7"/>
      <c r="G442" s="13"/>
    </row>
    <row r="443">
      <c r="A443" s="16"/>
      <c r="B443" s="13"/>
      <c r="C443" s="7"/>
      <c r="G443" s="13"/>
    </row>
    <row r="444">
      <c r="A444" s="16"/>
      <c r="B444" s="13"/>
      <c r="C444" s="7"/>
      <c r="G444" s="13"/>
    </row>
    <row r="445">
      <c r="A445" s="16"/>
      <c r="B445" s="13"/>
      <c r="C445" s="7"/>
      <c r="G445" s="13"/>
    </row>
    <row r="446">
      <c r="A446" s="16"/>
      <c r="B446" s="13"/>
      <c r="C446" s="7"/>
      <c r="G446" s="13"/>
    </row>
    <row r="447">
      <c r="A447" s="16"/>
      <c r="B447" s="13"/>
      <c r="C447" s="7"/>
      <c r="G447" s="13"/>
    </row>
    <row r="448">
      <c r="A448" s="16"/>
      <c r="B448" s="13"/>
      <c r="C448" s="7"/>
      <c r="G448" s="13"/>
    </row>
    <row r="449">
      <c r="A449" s="16"/>
      <c r="B449" s="13"/>
      <c r="C449" s="7"/>
      <c r="G449" s="13"/>
    </row>
    <row r="450">
      <c r="A450" s="16"/>
      <c r="B450" s="13"/>
      <c r="C450" s="7"/>
      <c r="G450" s="13"/>
    </row>
    <row r="451">
      <c r="A451" s="16"/>
      <c r="B451" s="13"/>
      <c r="C451" s="7"/>
      <c r="G451" s="13"/>
    </row>
    <row r="452">
      <c r="A452" s="16"/>
      <c r="B452" s="13"/>
      <c r="C452" s="7"/>
      <c r="G452" s="13"/>
    </row>
    <row r="453">
      <c r="A453" s="16"/>
      <c r="B453" s="13"/>
      <c r="C453" s="7"/>
      <c r="G453" s="13"/>
    </row>
    <row r="454">
      <c r="A454" s="16"/>
      <c r="B454" s="13"/>
      <c r="C454" s="7"/>
      <c r="G454" s="13"/>
    </row>
    <row r="455">
      <c r="A455" s="16"/>
      <c r="B455" s="13"/>
      <c r="C455" s="7"/>
      <c r="G455" s="13"/>
    </row>
    <row r="456">
      <c r="A456" s="16"/>
      <c r="B456" s="13"/>
      <c r="C456" s="7"/>
      <c r="G456" s="13"/>
    </row>
    <row r="457">
      <c r="A457" s="16"/>
      <c r="B457" s="13"/>
      <c r="C457" s="7"/>
      <c r="G457" s="13"/>
    </row>
    <row r="458">
      <c r="A458" s="16"/>
      <c r="B458" s="13"/>
      <c r="C458" s="7"/>
      <c r="G458" s="13"/>
    </row>
    <row r="459">
      <c r="A459" s="16"/>
      <c r="B459" s="13"/>
      <c r="C459" s="7"/>
      <c r="G459" s="13"/>
    </row>
    <row r="460">
      <c r="A460" s="16"/>
      <c r="B460" s="13"/>
      <c r="C460" s="7"/>
      <c r="G460" s="13"/>
    </row>
    <row r="461">
      <c r="A461" s="16"/>
      <c r="B461" s="13"/>
      <c r="C461" s="7"/>
      <c r="G461" s="13"/>
    </row>
    <row r="462">
      <c r="A462" s="16"/>
      <c r="B462" s="13"/>
      <c r="C462" s="7"/>
      <c r="G462" s="13"/>
    </row>
    <row r="463">
      <c r="A463" s="16"/>
      <c r="B463" s="13"/>
      <c r="C463" s="7"/>
      <c r="G463" s="13"/>
    </row>
    <row r="464">
      <c r="A464" s="16"/>
      <c r="B464" s="13"/>
      <c r="C464" s="7"/>
      <c r="G464" s="13"/>
    </row>
    <row r="465">
      <c r="A465" s="16"/>
      <c r="B465" s="13"/>
      <c r="C465" s="7"/>
      <c r="G465" s="13"/>
    </row>
    <row r="466">
      <c r="A466" s="16"/>
      <c r="B466" s="13"/>
      <c r="C466" s="7"/>
      <c r="G466" s="13"/>
    </row>
    <row r="467">
      <c r="A467" s="16"/>
      <c r="B467" s="13"/>
      <c r="C467" s="7"/>
      <c r="G467" s="13"/>
    </row>
    <row r="468">
      <c r="A468" s="16"/>
      <c r="B468" s="13"/>
      <c r="C468" s="7"/>
      <c r="G468" s="13"/>
    </row>
    <row r="469">
      <c r="A469" s="16"/>
      <c r="B469" s="13"/>
      <c r="C469" s="7"/>
      <c r="G469" s="13"/>
    </row>
    <row r="470">
      <c r="A470" s="16"/>
      <c r="B470" s="13"/>
      <c r="C470" s="7"/>
      <c r="G470" s="13"/>
    </row>
    <row r="471">
      <c r="A471" s="16"/>
      <c r="B471" s="13"/>
      <c r="C471" s="7"/>
      <c r="G471" s="13"/>
    </row>
    <row r="472">
      <c r="A472" s="16"/>
      <c r="B472" s="13"/>
      <c r="C472" s="7"/>
      <c r="G472" s="13"/>
    </row>
    <row r="473">
      <c r="A473" s="16"/>
      <c r="B473" s="13"/>
      <c r="C473" s="7"/>
      <c r="G473" s="13"/>
    </row>
    <row r="474">
      <c r="A474" s="16"/>
      <c r="B474" s="13"/>
      <c r="C474" s="7"/>
      <c r="G474" s="13"/>
    </row>
    <row r="475">
      <c r="A475" s="16"/>
      <c r="B475" s="13"/>
      <c r="C475" s="7"/>
      <c r="G475" s="13"/>
    </row>
    <row r="476">
      <c r="A476" s="16"/>
      <c r="B476" s="13"/>
      <c r="C476" s="7"/>
      <c r="G476" s="13"/>
    </row>
    <row r="477">
      <c r="A477" s="16"/>
      <c r="B477" s="13"/>
      <c r="C477" s="7"/>
      <c r="G477" s="13"/>
    </row>
    <row r="478">
      <c r="A478" s="16"/>
      <c r="B478" s="13"/>
      <c r="C478" s="7"/>
      <c r="G478" s="13"/>
    </row>
    <row r="479">
      <c r="A479" s="16"/>
      <c r="B479" s="13"/>
      <c r="C479" s="7"/>
      <c r="G479" s="13"/>
    </row>
    <row r="480">
      <c r="A480" s="16"/>
      <c r="B480" s="13"/>
      <c r="C480" s="7"/>
      <c r="G480" s="13"/>
    </row>
    <row r="481">
      <c r="A481" s="16"/>
      <c r="B481" s="13"/>
      <c r="C481" s="7"/>
      <c r="G481" s="13"/>
    </row>
    <row r="482">
      <c r="A482" s="16"/>
      <c r="B482" s="13"/>
      <c r="C482" s="7"/>
      <c r="G482" s="13"/>
    </row>
    <row r="483">
      <c r="A483" s="16"/>
      <c r="B483" s="13"/>
      <c r="C483" s="7"/>
      <c r="G483" s="13"/>
    </row>
    <row r="484">
      <c r="A484" s="16"/>
      <c r="B484" s="13"/>
      <c r="C484" s="7"/>
      <c r="G484" s="13"/>
    </row>
    <row r="485">
      <c r="A485" s="16"/>
      <c r="B485" s="13"/>
      <c r="C485" s="7"/>
      <c r="G485" s="13"/>
    </row>
    <row r="486">
      <c r="A486" s="16"/>
      <c r="B486" s="13"/>
      <c r="C486" s="7"/>
      <c r="G486" s="13"/>
    </row>
    <row r="487">
      <c r="A487" s="16"/>
      <c r="B487" s="13"/>
      <c r="C487" s="7"/>
      <c r="G487" s="13"/>
    </row>
    <row r="488">
      <c r="A488" s="16"/>
      <c r="B488" s="13"/>
      <c r="C488" s="7"/>
      <c r="G488" s="13"/>
    </row>
    <row r="489">
      <c r="A489" s="16"/>
      <c r="B489" s="13"/>
      <c r="C489" s="7"/>
      <c r="G489" s="13"/>
    </row>
    <row r="490">
      <c r="A490" s="16"/>
      <c r="B490" s="13"/>
      <c r="C490" s="7"/>
      <c r="G490" s="13"/>
    </row>
    <row r="491">
      <c r="A491" s="16"/>
      <c r="B491" s="13"/>
      <c r="C491" s="7"/>
      <c r="G491" s="13"/>
    </row>
    <row r="492">
      <c r="A492" s="16"/>
      <c r="B492" s="13"/>
      <c r="C492" s="7"/>
      <c r="G492" s="13"/>
    </row>
    <row r="493">
      <c r="A493" s="16"/>
      <c r="B493" s="13"/>
      <c r="C493" s="7"/>
      <c r="G493" s="13"/>
    </row>
    <row r="494">
      <c r="A494" s="16"/>
      <c r="B494" s="13"/>
      <c r="C494" s="7"/>
      <c r="G494" s="13"/>
    </row>
    <row r="495">
      <c r="A495" s="16"/>
      <c r="B495" s="13"/>
      <c r="C495" s="7"/>
      <c r="G495" s="13"/>
    </row>
    <row r="496">
      <c r="A496" s="16"/>
      <c r="B496" s="13"/>
      <c r="C496" s="7"/>
      <c r="G496" s="13"/>
    </row>
    <row r="497">
      <c r="A497" s="16"/>
      <c r="B497" s="13"/>
      <c r="C497" s="7"/>
      <c r="G497" s="13"/>
    </row>
    <row r="498">
      <c r="A498" s="16"/>
      <c r="B498" s="13"/>
      <c r="C498" s="7"/>
      <c r="G498" s="13"/>
    </row>
    <row r="499">
      <c r="A499" s="16"/>
      <c r="B499" s="13"/>
      <c r="C499" s="7"/>
      <c r="G499" s="13"/>
    </row>
    <row r="500">
      <c r="A500" s="16"/>
      <c r="B500" s="13"/>
      <c r="C500" s="7"/>
      <c r="G500" s="13"/>
    </row>
    <row r="501">
      <c r="A501" s="16"/>
      <c r="B501" s="13"/>
      <c r="C501" s="7"/>
      <c r="G501" s="13"/>
    </row>
    <row r="502">
      <c r="A502" s="16"/>
      <c r="B502" s="13"/>
      <c r="C502" s="7"/>
      <c r="G502" s="13"/>
    </row>
    <row r="503">
      <c r="A503" s="16"/>
      <c r="B503" s="13"/>
      <c r="C503" s="7"/>
      <c r="G503" s="13"/>
    </row>
    <row r="504">
      <c r="A504" s="16"/>
      <c r="B504" s="13"/>
      <c r="C504" s="7"/>
      <c r="G504" s="13"/>
    </row>
    <row r="505">
      <c r="A505" s="16"/>
      <c r="B505" s="13"/>
      <c r="C505" s="7"/>
      <c r="G505" s="13"/>
    </row>
    <row r="506">
      <c r="A506" s="16"/>
      <c r="B506" s="13"/>
      <c r="C506" s="7"/>
      <c r="G506" s="13"/>
    </row>
    <row r="507">
      <c r="A507" s="16"/>
      <c r="B507" s="13"/>
      <c r="C507" s="7"/>
      <c r="G507" s="13"/>
    </row>
    <row r="508">
      <c r="A508" s="16"/>
      <c r="B508" s="13"/>
      <c r="C508" s="7"/>
      <c r="G508" s="13"/>
    </row>
    <row r="509">
      <c r="A509" s="16"/>
      <c r="B509" s="13"/>
      <c r="C509" s="7"/>
      <c r="G509" s="13"/>
    </row>
    <row r="510">
      <c r="A510" s="16"/>
      <c r="B510" s="13"/>
      <c r="C510" s="7"/>
      <c r="G510" s="13"/>
    </row>
    <row r="511">
      <c r="A511" s="16"/>
      <c r="B511" s="13"/>
      <c r="C511" s="7"/>
      <c r="G511" s="13"/>
    </row>
    <row r="512">
      <c r="A512" s="16"/>
      <c r="B512" s="13"/>
      <c r="C512" s="7"/>
      <c r="G512" s="13"/>
    </row>
    <row r="513">
      <c r="A513" s="16"/>
      <c r="B513" s="13"/>
      <c r="C513" s="7"/>
      <c r="G513" s="13"/>
    </row>
    <row r="514">
      <c r="A514" s="16"/>
      <c r="B514" s="13"/>
      <c r="C514" s="7"/>
      <c r="G514" s="13"/>
    </row>
    <row r="515">
      <c r="A515" s="16"/>
      <c r="B515" s="13"/>
      <c r="C515" s="7"/>
      <c r="G515" s="13"/>
    </row>
    <row r="516">
      <c r="A516" s="16"/>
      <c r="B516" s="13"/>
      <c r="C516" s="7"/>
      <c r="G516" s="13"/>
    </row>
    <row r="517">
      <c r="A517" s="16"/>
      <c r="B517" s="13"/>
      <c r="C517" s="7"/>
      <c r="G517" s="13"/>
    </row>
    <row r="518">
      <c r="A518" s="16"/>
      <c r="B518" s="13"/>
      <c r="C518" s="7"/>
      <c r="G518" s="13"/>
    </row>
    <row r="519">
      <c r="A519" s="16"/>
      <c r="B519" s="13"/>
      <c r="C519" s="7"/>
      <c r="G519" s="13"/>
    </row>
    <row r="520">
      <c r="A520" s="16"/>
      <c r="B520" s="13"/>
      <c r="C520" s="7"/>
      <c r="G520" s="13"/>
    </row>
    <row r="521">
      <c r="A521" s="16"/>
      <c r="B521" s="13"/>
      <c r="C521" s="7"/>
      <c r="G521" s="13"/>
    </row>
    <row r="522">
      <c r="A522" s="16"/>
      <c r="B522" s="13"/>
      <c r="C522" s="7"/>
      <c r="G522" s="13"/>
    </row>
    <row r="523">
      <c r="A523" s="16"/>
      <c r="B523" s="13"/>
      <c r="C523" s="7"/>
      <c r="G523" s="13"/>
    </row>
    <row r="524">
      <c r="A524" s="16"/>
      <c r="B524" s="13"/>
      <c r="C524" s="7"/>
      <c r="G524" s="13"/>
    </row>
    <row r="525">
      <c r="A525" s="16"/>
      <c r="B525" s="13"/>
      <c r="C525" s="7"/>
      <c r="G525" s="13"/>
    </row>
    <row r="526">
      <c r="A526" s="16"/>
      <c r="B526" s="13"/>
      <c r="C526" s="7"/>
      <c r="G526" s="13"/>
    </row>
    <row r="527">
      <c r="A527" s="16"/>
      <c r="B527" s="13"/>
      <c r="C527" s="7"/>
      <c r="G527" s="13"/>
    </row>
    <row r="528">
      <c r="A528" s="16"/>
      <c r="B528" s="13"/>
      <c r="C528" s="7"/>
      <c r="G528" s="13"/>
    </row>
    <row r="529">
      <c r="A529" s="16"/>
      <c r="B529" s="13"/>
      <c r="C529" s="7"/>
      <c r="G529" s="13"/>
    </row>
    <row r="530">
      <c r="A530" s="16"/>
      <c r="B530" s="13"/>
      <c r="C530" s="7"/>
      <c r="G530" s="13"/>
    </row>
    <row r="531">
      <c r="A531" s="16"/>
      <c r="B531" s="13"/>
      <c r="C531" s="7"/>
      <c r="G531" s="13"/>
    </row>
    <row r="532">
      <c r="A532" s="16"/>
      <c r="B532" s="13"/>
      <c r="C532" s="7"/>
      <c r="G532" s="13"/>
    </row>
    <row r="533">
      <c r="A533" s="16"/>
      <c r="B533" s="13"/>
      <c r="C533" s="7"/>
      <c r="G533" s="13"/>
    </row>
    <row r="534">
      <c r="A534" s="16"/>
      <c r="B534" s="13"/>
      <c r="C534" s="7"/>
      <c r="G534" s="13"/>
    </row>
    <row r="535">
      <c r="A535" s="16"/>
      <c r="B535" s="13"/>
      <c r="C535" s="7"/>
      <c r="G535" s="13"/>
    </row>
    <row r="536">
      <c r="A536" s="16"/>
      <c r="B536" s="13"/>
      <c r="C536" s="7"/>
      <c r="G536" s="13"/>
    </row>
    <row r="537">
      <c r="A537" s="16"/>
      <c r="B537" s="13"/>
      <c r="C537" s="7"/>
      <c r="G537" s="13"/>
    </row>
    <row r="538">
      <c r="A538" s="16"/>
      <c r="B538" s="13"/>
      <c r="C538" s="7"/>
      <c r="G538" s="13"/>
    </row>
    <row r="539">
      <c r="A539" s="16"/>
      <c r="B539" s="13"/>
      <c r="C539" s="7"/>
      <c r="G539" s="13"/>
    </row>
    <row r="540">
      <c r="A540" s="16"/>
      <c r="B540" s="13"/>
      <c r="C540" s="7"/>
      <c r="G540" s="13"/>
    </row>
    <row r="541">
      <c r="A541" s="16"/>
      <c r="B541" s="13"/>
      <c r="C541" s="7"/>
      <c r="G541" s="13"/>
    </row>
    <row r="542">
      <c r="A542" s="16"/>
      <c r="B542" s="13"/>
      <c r="C542" s="7"/>
      <c r="G542" s="13"/>
    </row>
    <row r="543">
      <c r="A543" s="16"/>
      <c r="B543" s="13"/>
      <c r="C543" s="7"/>
      <c r="G543" s="13"/>
    </row>
    <row r="544">
      <c r="A544" s="16"/>
      <c r="B544" s="13"/>
      <c r="C544" s="7"/>
      <c r="G544" s="13"/>
    </row>
    <row r="545">
      <c r="A545" s="16"/>
      <c r="B545" s="13"/>
      <c r="C545" s="7"/>
      <c r="G545" s="13"/>
    </row>
    <row r="546">
      <c r="A546" s="16"/>
      <c r="B546" s="13"/>
      <c r="C546" s="7"/>
      <c r="G546" s="13"/>
    </row>
    <row r="547">
      <c r="A547" s="16"/>
      <c r="B547" s="13"/>
      <c r="C547" s="7"/>
      <c r="G547" s="13"/>
    </row>
    <row r="548">
      <c r="A548" s="16"/>
      <c r="B548" s="13"/>
      <c r="C548" s="7"/>
      <c r="G548" s="13"/>
    </row>
    <row r="549">
      <c r="A549" s="16"/>
      <c r="B549" s="13"/>
      <c r="C549" s="7"/>
      <c r="G549" s="13"/>
    </row>
    <row r="550">
      <c r="A550" s="16"/>
      <c r="B550" s="13"/>
      <c r="C550" s="7"/>
      <c r="G550" s="13"/>
    </row>
    <row r="551">
      <c r="A551" s="16"/>
      <c r="B551" s="13"/>
      <c r="C551" s="7"/>
      <c r="G551" s="13"/>
    </row>
    <row r="552">
      <c r="A552" s="16"/>
      <c r="B552" s="13"/>
      <c r="C552" s="7"/>
      <c r="G552" s="13"/>
    </row>
    <row r="553">
      <c r="A553" s="16"/>
      <c r="B553" s="13"/>
      <c r="C553" s="7"/>
      <c r="G553" s="13"/>
    </row>
    <row r="554">
      <c r="A554" s="16"/>
      <c r="B554" s="13"/>
      <c r="C554" s="7"/>
      <c r="G554" s="13"/>
    </row>
    <row r="555">
      <c r="A555" s="16"/>
      <c r="B555" s="13"/>
      <c r="C555" s="7"/>
      <c r="G555" s="13"/>
    </row>
    <row r="556">
      <c r="A556" s="16"/>
      <c r="B556" s="13"/>
      <c r="C556" s="7"/>
      <c r="G556" s="13"/>
    </row>
    <row r="557">
      <c r="A557" s="16"/>
      <c r="B557" s="13"/>
      <c r="C557" s="7"/>
      <c r="G557" s="13"/>
    </row>
    <row r="558">
      <c r="A558" s="16"/>
      <c r="B558" s="13"/>
      <c r="C558" s="7"/>
      <c r="G558" s="13"/>
    </row>
    <row r="559">
      <c r="A559" s="16"/>
      <c r="B559" s="13"/>
      <c r="C559" s="7"/>
      <c r="G559" s="13"/>
    </row>
    <row r="560">
      <c r="A560" s="16"/>
      <c r="B560" s="13"/>
      <c r="C560" s="7"/>
      <c r="G560" s="13"/>
    </row>
    <row r="561">
      <c r="A561" s="16"/>
      <c r="B561" s="13"/>
      <c r="C561" s="7"/>
      <c r="G561" s="13"/>
    </row>
    <row r="562">
      <c r="A562" s="16"/>
      <c r="B562" s="13"/>
      <c r="C562" s="7"/>
      <c r="G562" s="13"/>
    </row>
    <row r="563">
      <c r="A563" s="16"/>
      <c r="B563" s="13"/>
      <c r="C563" s="7"/>
      <c r="G563" s="13"/>
    </row>
    <row r="564">
      <c r="A564" s="16"/>
      <c r="B564" s="13"/>
      <c r="C564" s="7"/>
      <c r="G564" s="13"/>
    </row>
    <row r="565">
      <c r="A565" s="16"/>
      <c r="B565" s="13"/>
      <c r="C565" s="7"/>
      <c r="G565" s="13"/>
    </row>
    <row r="566">
      <c r="A566" s="16"/>
      <c r="B566" s="13"/>
      <c r="C566" s="7"/>
      <c r="G566" s="13"/>
    </row>
    <row r="567">
      <c r="A567" s="16"/>
      <c r="B567" s="13"/>
      <c r="C567" s="7"/>
      <c r="G567" s="13"/>
    </row>
    <row r="568">
      <c r="A568" s="16"/>
      <c r="B568" s="13"/>
      <c r="C568" s="7"/>
      <c r="G568" s="13"/>
    </row>
    <row r="569">
      <c r="A569" s="16"/>
      <c r="B569" s="13"/>
      <c r="C569" s="7"/>
      <c r="G569" s="13"/>
    </row>
    <row r="570">
      <c r="A570" s="16"/>
      <c r="B570" s="13"/>
      <c r="C570" s="7"/>
      <c r="G570" s="13"/>
    </row>
    <row r="571">
      <c r="A571" s="16"/>
      <c r="B571" s="13"/>
      <c r="C571" s="7"/>
      <c r="G571" s="13"/>
    </row>
    <row r="572">
      <c r="A572" s="16"/>
      <c r="B572" s="13"/>
      <c r="C572" s="7"/>
      <c r="G572" s="13"/>
    </row>
    <row r="573">
      <c r="A573" s="16"/>
      <c r="B573" s="13"/>
      <c r="C573" s="7"/>
      <c r="G573" s="13"/>
    </row>
    <row r="574">
      <c r="A574" s="16"/>
      <c r="B574" s="13"/>
      <c r="C574" s="7"/>
      <c r="G574" s="13"/>
    </row>
    <row r="575">
      <c r="A575" s="16"/>
      <c r="B575" s="13"/>
      <c r="C575" s="7"/>
      <c r="G575" s="13"/>
    </row>
    <row r="576">
      <c r="A576" s="16"/>
      <c r="B576" s="13"/>
      <c r="C576" s="7"/>
      <c r="G576" s="13"/>
    </row>
    <row r="577">
      <c r="A577" s="16"/>
      <c r="B577" s="13"/>
      <c r="C577" s="7"/>
      <c r="G577" s="13"/>
    </row>
    <row r="578">
      <c r="A578" s="16"/>
      <c r="B578" s="13"/>
      <c r="C578" s="7"/>
      <c r="G578" s="13"/>
    </row>
    <row r="579">
      <c r="A579" s="16"/>
      <c r="B579" s="13"/>
      <c r="C579" s="7"/>
      <c r="G579" s="13"/>
    </row>
    <row r="580">
      <c r="A580" s="16"/>
      <c r="B580" s="13"/>
      <c r="C580" s="7"/>
      <c r="G580" s="13"/>
    </row>
    <row r="581">
      <c r="A581" s="16"/>
      <c r="B581" s="13"/>
      <c r="C581" s="7"/>
      <c r="G581" s="13"/>
    </row>
    <row r="582">
      <c r="A582" s="16"/>
      <c r="B582" s="13"/>
      <c r="C582" s="7"/>
      <c r="G582" s="13"/>
    </row>
    <row r="583">
      <c r="A583" s="16"/>
      <c r="B583" s="13"/>
      <c r="C583" s="7"/>
      <c r="G583" s="13"/>
    </row>
    <row r="584">
      <c r="A584" s="16"/>
      <c r="B584" s="13"/>
      <c r="C584" s="7"/>
      <c r="G584" s="13"/>
    </row>
    <row r="585">
      <c r="A585" s="16"/>
      <c r="B585" s="13"/>
      <c r="C585" s="7"/>
      <c r="G585" s="13"/>
    </row>
    <row r="586">
      <c r="A586" s="16"/>
      <c r="B586" s="13"/>
      <c r="C586" s="7"/>
      <c r="G586" s="13"/>
    </row>
    <row r="587">
      <c r="A587" s="16"/>
      <c r="B587" s="13"/>
      <c r="C587" s="7"/>
      <c r="G587" s="13"/>
    </row>
    <row r="588">
      <c r="A588" s="16"/>
      <c r="B588" s="13"/>
      <c r="C588" s="7"/>
      <c r="G588" s="13"/>
    </row>
    <row r="589">
      <c r="A589" s="16"/>
      <c r="B589" s="13"/>
      <c r="C589" s="7"/>
      <c r="G589" s="13"/>
    </row>
    <row r="590">
      <c r="A590" s="16"/>
      <c r="B590" s="13"/>
      <c r="C590" s="7"/>
      <c r="G590" s="13"/>
    </row>
    <row r="591">
      <c r="A591" s="16"/>
      <c r="B591" s="13"/>
      <c r="C591" s="7"/>
      <c r="G591" s="13"/>
    </row>
    <row r="592">
      <c r="A592" s="16"/>
      <c r="B592" s="13"/>
      <c r="C592" s="7"/>
      <c r="G592" s="13"/>
    </row>
    <row r="593">
      <c r="A593" s="16"/>
      <c r="B593" s="13"/>
      <c r="C593" s="7"/>
      <c r="G593" s="13"/>
    </row>
    <row r="594">
      <c r="A594" s="16"/>
      <c r="B594" s="13"/>
      <c r="C594" s="7"/>
      <c r="G594" s="13"/>
    </row>
    <row r="595">
      <c r="A595" s="16"/>
      <c r="B595" s="13"/>
      <c r="C595" s="7"/>
      <c r="G595" s="13"/>
    </row>
    <row r="596">
      <c r="A596" s="16"/>
      <c r="B596" s="13"/>
      <c r="C596" s="7"/>
      <c r="G596" s="13"/>
    </row>
    <row r="597">
      <c r="A597" s="16"/>
      <c r="B597" s="13"/>
      <c r="C597" s="7"/>
      <c r="G597" s="13"/>
    </row>
    <row r="598">
      <c r="A598" s="16"/>
      <c r="B598" s="13"/>
      <c r="C598" s="7"/>
      <c r="G598" s="13"/>
    </row>
    <row r="599">
      <c r="A599" s="16"/>
      <c r="B599" s="13"/>
      <c r="C599" s="7"/>
      <c r="G599" s="13"/>
    </row>
    <row r="600">
      <c r="A600" s="16"/>
      <c r="B600" s="13"/>
      <c r="C600" s="7"/>
      <c r="G600" s="13"/>
    </row>
    <row r="601">
      <c r="A601" s="16"/>
      <c r="B601" s="13"/>
      <c r="C601" s="7"/>
      <c r="G601" s="13"/>
    </row>
    <row r="602">
      <c r="A602" s="16"/>
      <c r="B602" s="13"/>
      <c r="C602" s="7"/>
      <c r="G602" s="13"/>
    </row>
    <row r="603">
      <c r="A603" s="16"/>
      <c r="B603" s="13"/>
      <c r="C603" s="7"/>
      <c r="G603" s="13"/>
    </row>
    <row r="604">
      <c r="A604" s="16"/>
      <c r="B604" s="13"/>
      <c r="C604" s="7"/>
      <c r="G604" s="13"/>
    </row>
    <row r="605">
      <c r="A605" s="16"/>
      <c r="B605" s="13"/>
      <c r="C605" s="7"/>
      <c r="G605" s="13"/>
    </row>
    <row r="606">
      <c r="A606" s="16"/>
      <c r="B606" s="13"/>
      <c r="C606" s="7"/>
      <c r="G606" s="13"/>
    </row>
    <row r="607">
      <c r="A607" s="16"/>
      <c r="B607" s="13"/>
      <c r="C607" s="7"/>
      <c r="G607" s="13"/>
    </row>
    <row r="608">
      <c r="A608" s="16"/>
      <c r="B608" s="13"/>
      <c r="C608" s="7"/>
      <c r="G608" s="13"/>
    </row>
    <row r="609">
      <c r="A609" s="16"/>
      <c r="B609" s="13"/>
      <c r="C609" s="7"/>
      <c r="G609" s="13"/>
    </row>
    <row r="610">
      <c r="A610" s="16"/>
      <c r="B610" s="13"/>
      <c r="C610" s="7"/>
      <c r="G610" s="13"/>
    </row>
    <row r="611">
      <c r="A611" s="16"/>
      <c r="B611" s="13"/>
      <c r="C611" s="7"/>
      <c r="G611" s="13"/>
    </row>
    <row r="612">
      <c r="A612" s="16"/>
      <c r="B612" s="13"/>
      <c r="C612" s="7"/>
      <c r="G612" s="13"/>
    </row>
    <row r="613">
      <c r="A613" s="16"/>
      <c r="B613" s="13"/>
      <c r="C613" s="7"/>
      <c r="G613" s="13"/>
    </row>
    <row r="614">
      <c r="A614" s="16"/>
      <c r="B614" s="13"/>
      <c r="C614" s="7"/>
      <c r="G614" s="13"/>
    </row>
    <row r="615">
      <c r="A615" s="16"/>
      <c r="B615" s="13"/>
      <c r="C615" s="7"/>
      <c r="G615" s="13"/>
    </row>
    <row r="616">
      <c r="A616" s="16"/>
      <c r="B616" s="13"/>
      <c r="C616" s="7"/>
      <c r="G616" s="13"/>
    </row>
    <row r="617">
      <c r="A617" s="16"/>
      <c r="B617" s="13"/>
      <c r="C617" s="7"/>
      <c r="G617" s="13"/>
    </row>
    <row r="618">
      <c r="A618" s="16"/>
      <c r="B618" s="13"/>
      <c r="C618" s="7"/>
      <c r="G618" s="13"/>
    </row>
    <row r="619">
      <c r="A619" s="16"/>
      <c r="B619" s="13"/>
      <c r="C619" s="7"/>
      <c r="G619" s="13"/>
    </row>
    <row r="620">
      <c r="A620" s="16"/>
      <c r="B620" s="13"/>
      <c r="C620" s="7"/>
      <c r="G620" s="13"/>
    </row>
    <row r="621">
      <c r="A621" s="16"/>
      <c r="B621" s="13"/>
      <c r="C621" s="7"/>
      <c r="G621" s="13"/>
    </row>
    <row r="622">
      <c r="A622" s="16"/>
      <c r="B622" s="13"/>
      <c r="C622" s="7"/>
      <c r="G622" s="13"/>
    </row>
    <row r="623">
      <c r="A623" s="16"/>
      <c r="B623" s="13"/>
      <c r="C623" s="7"/>
      <c r="G623" s="13"/>
    </row>
    <row r="624">
      <c r="A624" s="16"/>
      <c r="B624" s="13"/>
      <c r="C624" s="7"/>
      <c r="G624" s="13"/>
    </row>
    <row r="625">
      <c r="A625" s="16"/>
      <c r="B625" s="13"/>
      <c r="C625" s="7"/>
      <c r="G625" s="13"/>
    </row>
    <row r="626">
      <c r="A626" s="16"/>
      <c r="B626" s="13"/>
      <c r="C626" s="7"/>
      <c r="G626" s="13"/>
    </row>
    <row r="627">
      <c r="A627" s="16"/>
      <c r="B627" s="13"/>
      <c r="C627" s="7"/>
      <c r="G627" s="13"/>
    </row>
    <row r="628">
      <c r="A628" s="16"/>
      <c r="B628" s="13"/>
      <c r="C628" s="7"/>
      <c r="G628" s="13"/>
    </row>
    <row r="629">
      <c r="A629" s="16"/>
      <c r="B629" s="13"/>
      <c r="C629" s="7"/>
      <c r="G629" s="13"/>
    </row>
    <row r="630">
      <c r="A630" s="16"/>
      <c r="B630" s="13"/>
      <c r="C630" s="7"/>
      <c r="G630" s="13"/>
    </row>
    <row r="631">
      <c r="A631" s="16"/>
      <c r="B631" s="13"/>
      <c r="C631" s="7"/>
      <c r="G631" s="13"/>
    </row>
    <row r="632">
      <c r="A632" s="16"/>
      <c r="B632" s="13"/>
      <c r="C632" s="7"/>
      <c r="G632" s="13"/>
    </row>
    <row r="633">
      <c r="A633" s="16"/>
      <c r="B633" s="13"/>
      <c r="C633" s="7"/>
      <c r="G633" s="13"/>
    </row>
    <row r="634">
      <c r="A634" s="16"/>
      <c r="B634" s="13"/>
      <c r="C634" s="7"/>
      <c r="G634" s="13"/>
    </row>
    <row r="635">
      <c r="A635" s="16"/>
      <c r="B635" s="13"/>
      <c r="C635" s="7"/>
      <c r="G635" s="13"/>
    </row>
    <row r="636">
      <c r="A636" s="16"/>
      <c r="B636" s="13"/>
      <c r="C636" s="7"/>
      <c r="G636" s="13"/>
    </row>
    <row r="637">
      <c r="A637" s="16"/>
      <c r="B637" s="13"/>
      <c r="C637" s="7"/>
      <c r="G637" s="13"/>
    </row>
    <row r="638">
      <c r="A638" s="16"/>
      <c r="B638" s="13"/>
      <c r="C638" s="7"/>
      <c r="G638" s="13"/>
    </row>
    <row r="639">
      <c r="A639" s="16"/>
      <c r="B639" s="13"/>
      <c r="C639" s="7"/>
      <c r="G639" s="13"/>
    </row>
    <row r="640">
      <c r="A640" s="16"/>
      <c r="B640" s="13"/>
      <c r="C640" s="7"/>
      <c r="G640" s="13"/>
    </row>
    <row r="641">
      <c r="A641" s="16"/>
      <c r="B641" s="13"/>
      <c r="C641" s="7"/>
      <c r="G641" s="13"/>
    </row>
    <row r="642">
      <c r="A642" s="16"/>
      <c r="B642" s="13"/>
      <c r="C642" s="7"/>
      <c r="G642" s="13"/>
    </row>
    <row r="643">
      <c r="A643" s="16"/>
      <c r="B643" s="13"/>
      <c r="C643" s="7"/>
      <c r="G643" s="13"/>
    </row>
    <row r="644">
      <c r="A644" s="16"/>
      <c r="B644" s="13"/>
      <c r="C644" s="7"/>
      <c r="G644" s="13"/>
    </row>
    <row r="645">
      <c r="A645" s="16"/>
      <c r="B645" s="13"/>
      <c r="C645" s="7"/>
      <c r="G645" s="13"/>
    </row>
    <row r="646">
      <c r="A646" s="16"/>
      <c r="B646" s="13"/>
      <c r="C646" s="7"/>
      <c r="G646" s="13"/>
    </row>
    <row r="647">
      <c r="A647" s="16"/>
      <c r="B647" s="13"/>
      <c r="C647" s="7"/>
      <c r="G647" s="13"/>
    </row>
    <row r="648">
      <c r="A648" s="16"/>
      <c r="B648" s="13"/>
      <c r="C648" s="7"/>
      <c r="G648" s="13"/>
    </row>
    <row r="649">
      <c r="A649" s="16"/>
      <c r="B649" s="13"/>
      <c r="C649" s="7"/>
      <c r="G649" s="13"/>
    </row>
    <row r="650">
      <c r="A650" s="16"/>
      <c r="B650" s="13"/>
      <c r="C650" s="7"/>
      <c r="G650" s="13"/>
    </row>
    <row r="651">
      <c r="A651" s="16"/>
      <c r="B651" s="13"/>
      <c r="C651" s="7"/>
      <c r="G651" s="13"/>
    </row>
    <row r="652">
      <c r="A652" s="16"/>
      <c r="B652" s="13"/>
      <c r="C652" s="7"/>
      <c r="G652" s="13"/>
    </row>
    <row r="653">
      <c r="A653" s="16"/>
      <c r="B653" s="13"/>
      <c r="C653" s="7"/>
      <c r="G653" s="13"/>
    </row>
    <row r="654">
      <c r="A654" s="16"/>
      <c r="B654" s="13"/>
      <c r="C654" s="7"/>
      <c r="G654" s="13"/>
    </row>
    <row r="655">
      <c r="A655" s="16"/>
      <c r="B655" s="13"/>
      <c r="C655" s="7"/>
      <c r="G655" s="13"/>
    </row>
    <row r="656">
      <c r="A656" s="16"/>
      <c r="B656" s="13"/>
      <c r="C656" s="7"/>
      <c r="G656" s="13"/>
    </row>
    <row r="657">
      <c r="A657" s="16"/>
      <c r="B657" s="13"/>
      <c r="C657" s="7"/>
      <c r="G657" s="13"/>
    </row>
    <row r="658">
      <c r="A658" s="16"/>
      <c r="B658" s="13"/>
      <c r="C658" s="7"/>
      <c r="G658" s="13"/>
    </row>
    <row r="659">
      <c r="A659" s="16"/>
      <c r="B659" s="13"/>
      <c r="C659" s="7"/>
      <c r="G659" s="13"/>
    </row>
    <row r="660">
      <c r="A660" s="16"/>
      <c r="B660" s="13"/>
      <c r="C660" s="7"/>
      <c r="G660" s="13"/>
    </row>
    <row r="661">
      <c r="A661" s="16"/>
      <c r="B661" s="13"/>
      <c r="C661" s="7"/>
      <c r="G661" s="13"/>
    </row>
    <row r="662">
      <c r="A662" s="16"/>
      <c r="B662" s="13"/>
      <c r="C662" s="7"/>
      <c r="G662" s="13"/>
    </row>
    <row r="663">
      <c r="A663" s="16"/>
      <c r="B663" s="13"/>
      <c r="C663" s="7"/>
      <c r="G663" s="13"/>
    </row>
    <row r="664">
      <c r="A664" s="16"/>
      <c r="B664" s="13"/>
      <c r="C664" s="7"/>
      <c r="G664" s="13"/>
    </row>
    <row r="665">
      <c r="A665" s="16"/>
      <c r="B665" s="13"/>
      <c r="C665" s="7"/>
      <c r="G665" s="13"/>
    </row>
    <row r="666">
      <c r="A666" s="16"/>
      <c r="B666" s="13"/>
      <c r="C666" s="7"/>
      <c r="G666" s="13"/>
    </row>
    <row r="667">
      <c r="A667" s="16"/>
      <c r="B667" s="13"/>
      <c r="C667" s="7"/>
      <c r="G667" s="13"/>
    </row>
    <row r="668">
      <c r="A668" s="16"/>
      <c r="B668" s="13"/>
      <c r="C668" s="7"/>
      <c r="G668" s="13"/>
    </row>
    <row r="669">
      <c r="A669" s="16"/>
      <c r="B669" s="13"/>
      <c r="C669" s="7"/>
      <c r="G669" s="13"/>
    </row>
    <row r="670">
      <c r="A670" s="16"/>
      <c r="B670" s="13"/>
      <c r="C670" s="7"/>
      <c r="G670" s="13"/>
    </row>
    <row r="671">
      <c r="A671" s="16"/>
      <c r="B671" s="13"/>
      <c r="C671" s="7"/>
      <c r="G671" s="13"/>
    </row>
    <row r="672">
      <c r="A672" s="16"/>
      <c r="B672" s="13"/>
      <c r="C672" s="7"/>
      <c r="G672" s="13"/>
    </row>
    <row r="673">
      <c r="A673" s="16"/>
      <c r="B673" s="13"/>
      <c r="C673" s="7"/>
      <c r="G673" s="13"/>
    </row>
    <row r="674">
      <c r="A674" s="16"/>
      <c r="B674" s="13"/>
      <c r="C674" s="7"/>
      <c r="G674" s="13"/>
    </row>
    <row r="675">
      <c r="A675" s="16"/>
      <c r="B675" s="13"/>
      <c r="C675" s="7"/>
      <c r="G675" s="13"/>
    </row>
    <row r="676">
      <c r="A676" s="16"/>
      <c r="B676" s="13"/>
      <c r="C676" s="7"/>
      <c r="G676" s="13"/>
    </row>
    <row r="677">
      <c r="A677" s="16"/>
      <c r="B677" s="13"/>
      <c r="C677" s="7"/>
      <c r="G677" s="13"/>
    </row>
    <row r="678">
      <c r="A678" s="16"/>
      <c r="B678" s="13"/>
      <c r="C678" s="7"/>
      <c r="G678" s="13"/>
    </row>
    <row r="679">
      <c r="A679" s="16"/>
      <c r="B679" s="13"/>
      <c r="C679" s="7"/>
      <c r="G679" s="13"/>
    </row>
    <row r="680">
      <c r="A680" s="16"/>
      <c r="B680" s="13"/>
      <c r="C680" s="7"/>
      <c r="G680" s="13"/>
    </row>
    <row r="681">
      <c r="A681" s="16"/>
      <c r="B681" s="13"/>
      <c r="C681" s="7"/>
      <c r="G681" s="13"/>
    </row>
    <row r="682">
      <c r="A682" s="16"/>
      <c r="B682" s="13"/>
      <c r="C682" s="7"/>
      <c r="G682" s="13"/>
    </row>
    <row r="683">
      <c r="A683" s="16"/>
      <c r="B683" s="13"/>
      <c r="C683" s="7"/>
      <c r="G683" s="13"/>
    </row>
    <row r="684">
      <c r="A684" s="16"/>
      <c r="B684" s="13"/>
      <c r="C684" s="7"/>
      <c r="G684" s="13"/>
    </row>
    <row r="685">
      <c r="A685" s="16"/>
      <c r="B685" s="13"/>
      <c r="C685" s="7"/>
      <c r="G685" s="13"/>
    </row>
    <row r="686">
      <c r="A686" s="16"/>
      <c r="B686" s="13"/>
      <c r="C686" s="7"/>
      <c r="G686" s="13"/>
    </row>
    <row r="687">
      <c r="A687" s="16"/>
      <c r="B687" s="13"/>
      <c r="C687" s="7"/>
      <c r="G687" s="13"/>
    </row>
    <row r="688">
      <c r="A688" s="16"/>
      <c r="B688" s="13"/>
      <c r="C688" s="7"/>
      <c r="G688" s="13"/>
    </row>
    <row r="689">
      <c r="A689" s="16"/>
      <c r="B689" s="13"/>
      <c r="C689" s="7"/>
      <c r="G689" s="13"/>
    </row>
    <row r="690">
      <c r="A690" s="16"/>
      <c r="B690" s="13"/>
      <c r="C690" s="7"/>
      <c r="G690" s="13"/>
    </row>
    <row r="691">
      <c r="A691" s="16"/>
      <c r="B691" s="13"/>
      <c r="C691" s="7"/>
      <c r="G691" s="13"/>
    </row>
    <row r="692">
      <c r="A692" s="16"/>
      <c r="B692" s="13"/>
      <c r="C692" s="7"/>
      <c r="G692" s="13"/>
    </row>
    <row r="693">
      <c r="A693" s="16"/>
      <c r="B693" s="13"/>
      <c r="C693" s="7"/>
      <c r="G693" s="13"/>
    </row>
    <row r="694">
      <c r="A694" s="16"/>
      <c r="B694" s="13"/>
      <c r="C694" s="7"/>
      <c r="G694" s="13"/>
    </row>
    <row r="695">
      <c r="A695" s="16"/>
      <c r="B695" s="13"/>
      <c r="C695" s="7"/>
      <c r="G695" s="13"/>
    </row>
    <row r="696">
      <c r="A696" s="16"/>
      <c r="B696" s="13"/>
      <c r="C696" s="7"/>
      <c r="G696" s="13"/>
    </row>
    <row r="697">
      <c r="A697" s="16"/>
      <c r="B697" s="13"/>
      <c r="C697" s="7"/>
      <c r="G697" s="13"/>
    </row>
    <row r="698">
      <c r="A698" s="16"/>
      <c r="B698" s="13"/>
      <c r="C698" s="7"/>
      <c r="G698" s="13"/>
    </row>
    <row r="699">
      <c r="A699" s="16"/>
      <c r="B699" s="13"/>
      <c r="C699" s="7"/>
      <c r="G699" s="13"/>
    </row>
    <row r="700">
      <c r="A700" s="16"/>
      <c r="B700" s="13"/>
      <c r="C700" s="7"/>
      <c r="G700" s="13"/>
    </row>
    <row r="701">
      <c r="A701" s="16"/>
      <c r="B701" s="13"/>
      <c r="C701" s="7"/>
      <c r="G701" s="13"/>
    </row>
    <row r="702">
      <c r="A702" s="16"/>
      <c r="B702" s="13"/>
      <c r="C702" s="7"/>
      <c r="G702" s="13"/>
    </row>
    <row r="703">
      <c r="A703" s="16"/>
      <c r="B703" s="13"/>
      <c r="C703" s="7"/>
      <c r="G703" s="13"/>
    </row>
    <row r="704">
      <c r="A704" s="16"/>
      <c r="B704" s="13"/>
      <c r="C704" s="7"/>
      <c r="G704" s="13"/>
    </row>
    <row r="705">
      <c r="A705" s="16"/>
      <c r="B705" s="13"/>
      <c r="C705" s="7"/>
      <c r="G705" s="13"/>
    </row>
    <row r="706">
      <c r="A706" s="16"/>
      <c r="B706" s="13"/>
      <c r="C706" s="7"/>
      <c r="G706" s="13"/>
    </row>
    <row r="707">
      <c r="A707" s="16"/>
      <c r="B707" s="13"/>
      <c r="C707" s="7"/>
      <c r="G707" s="13"/>
    </row>
    <row r="708">
      <c r="A708" s="16"/>
      <c r="B708" s="13"/>
      <c r="C708" s="7"/>
      <c r="G708" s="13"/>
    </row>
    <row r="709">
      <c r="A709" s="16"/>
      <c r="B709" s="13"/>
      <c r="C709" s="7"/>
      <c r="G709" s="13"/>
    </row>
    <row r="710">
      <c r="A710" s="16"/>
      <c r="B710" s="13"/>
      <c r="C710" s="7"/>
      <c r="G710" s="13"/>
    </row>
    <row r="711">
      <c r="A711" s="16"/>
      <c r="B711" s="13"/>
      <c r="C711" s="7"/>
      <c r="G711" s="13"/>
    </row>
    <row r="712">
      <c r="A712" s="16"/>
      <c r="B712" s="13"/>
      <c r="C712" s="7"/>
      <c r="G712" s="13"/>
    </row>
    <row r="713">
      <c r="A713" s="16"/>
      <c r="B713" s="13"/>
      <c r="C713" s="7"/>
      <c r="G713" s="13"/>
    </row>
    <row r="714">
      <c r="A714" s="16"/>
      <c r="B714" s="13"/>
      <c r="C714" s="7"/>
      <c r="G714" s="13"/>
    </row>
    <row r="715">
      <c r="A715" s="16"/>
      <c r="B715" s="13"/>
      <c r="C715" s="7"/>
      <c r="G715" s="13"/>
    </row>
    <row r="716">
      <c r="A716" s="16"/>
      <c r="B716" s="13"/>
      <c r="C716" s="7"/>
      <c r="G716" s="13"/>
    </row>
    <row r="717">
      <c r="A717" s="16"/>
      <c r="B717" s="13"/>
      <c r="C717" s="7"/>
      <c r="G717" s="13"/>
    </row>
    <row r="718">
      <c r="A718" s="16"/>
      <c r="B718" s="13"/>
      <c r="C718" s="7"/>
      <c r="G718" s="13"/>
    </row>
    <row r="719">
      <c r="A719" s="16"/>
      <c r="B719" s="13"/>
      <c r="C719" s="7"/>
      <c r="G719" s="13"/>
    </row>
    <row r="720">
      <c r="A720" s="16"/>
      <c r="B720" s="13"/>
      <c r="C720" s="7"/>
      <c r="G720" s="13"/>
    </row>
    <row r="721">
      <c r="A721" s="16"/>
      <c r="B721" s="13"/>
      <c r="C721" s="7"/>
      <c r="G721" s="13"/>
    </row>
    <row r="722">
      <c r="A722" s="16"/>
      <c r="B722" s="13"/>
      <c r="C722" s="7"/>
      <c r="G722" s="13"/>
    </row>
    <row r="723">
      <c r="A723" s="16"/>
      <c r="B723" s="13"/>
      <c r="C723" s="7"/>
      <c r="G723" s="13"/>
    </row>
    <row r="724">
      <c r="A724" s="16"/>
      <c r="B724" s="13"/>
      <c r="C724" s="7"/>
      <c r="G724" s="13"/>
    </row>
    <row r="725">
      <c r="A725" s="16"/>
      <c r="B725" s="13"/>
      <c r="C725" s="7"/>
      <c r="G725" s="13"/>
    </row>
    <row r="726">
      <c r="A726" s="16"/>
      <c r="B726" s="13"/>
      <c r="C726" s="7"/>
      <c r="G726" s="13"/>
    </row>
    <row r="727">
      <c r="A727" s="16"/>
      <c r="B727" s="13"/>
      <c r="C727" s="7"/>
      <c r="G727" s="13"/>
    </row>
    <row r="728">
      <c r="A728" s="16"/>
      <c r="B728" s="13"/>
      <c r="C728" s="7"/>
      <c r="G728" s="13"/>
    </row>
    <row r="729">
      <c r="A729" s="16"/>
      <c r="B729" s="13"/>
      <c r="C729" s="7"/>
      <c r="G729" s="13"/>
    </row>
    <row r="730">
      <c r="A730" s="16"/>
      <c r="B730" s="13"/>
      <c r="C730" s="7"/>
      <c r="G730" s="13"/>
    </row>
    <row r="731">
      <c r="A731" s="16"/>
      <c r="B731" s="13"/>
      <c r="C731" s="7"/>
      <c r="G731" s="13"/>
    </row>
    <row r="732">
      <c r="A732" s="16"/>
      <c r="B732" s="13"/>
      <c r="C732" s="7"/>
      <c r="G732" s="13"/>
    </row>
    <row r="733">
      <c r="A733" s="16"/>
      <c r="B733" s="13"/>
      <c r="C733" s="7"/>
      <c r="G733" s="13"/>
    </row>
    <row r="734">
      <c r="A734" s="16"/>
      <c r="B734" s="13"/>
      <c r="C734" s="7"/>
      <c r="G734" s="13"/>
    </row>
    <row r="735">
      <c r="A735" s="16"/>
      <c r="B735" s="13"/>
      <c r="C735" s="7"/>
      <c r="G735" s="13"/>
    </row>
    <row r="736">
      <c r="A736" s="16"/>
      <c r="B736" s="13"/>
      <c r="C736" s="7"/>
      <c r="G736" s="13"/>
    </row>
    <row r="737">
      <c r="A737" s="16"/>
      <c r="B737" s="13"/>
      <c r="C737" s="7"/>
      <c r="G737" s="13"/>
    </row>
    <row r="738">
      <c r="A738" s="16"/>
      <c r="B738" s="13"/>
      <c r="C738" s="7"/>
      <c r="G738" s="13"/>
    </row>
    <row r="739">
      <c r="A739" s="16"/>
      <c r="B739" s="13"/>
      <c r="C739" s="7"/>
      <c r="G739" s="13"/>
    </row>
    <row r="740">
      <c r="A740" s="16"/>
      <c r="B740" s="13"/>
      <c r="C740" s="7"/>
      <c r="G740" s="13"/>
    </row>
    <row r="741">
      <c r="A741" s="16"/>
      <c r="B741" s="13"/>
      <c r="C741" s="7"/>
      <c r="G741" s="13"/>
    </row>
    <row r="742">
      <c r="A742" s="16"/>
      <c r="B742" s="13"/>
      <c r="C742" s="7"/>
      <c r="G742" s="13"/>
    </row>
    <row r="743">
      <c r="A743" s="16"/>
      <c r="B743" s="13"/>
      <c r="C743" s="7"/>
      <c r="G743" s="13"/>
    </row>
    <row r="744">
      <c r="A744" s="16"/>
      <c r="B744" s="13"/>
      <c r="C744" s="7"/>
      <c r="G744" s="13"/>
    </row>
    <row r="745">
      <c r="A745" s="16"/>
      <c r="B745" s="13"/>
      <c r="C745" s="7"/>
      <c r="G745" s="13"/>
    </row>
    <row r="746">
      <c r="A746" s="16"/>
      <c r="B746" s="13"/>
      <c r="C746" s="7"/>
      <c r="G746" s="13"/>
    </row>
    <row r="747">
      <c r="A747" s="16"/>
      <c r="B747" s="13"/>
      <c r="C747" s="7"/>
      <c r="G747" s="13"/>
    </row>
    <row r="748">
      <c r="A748" s="16"/>
      <c r="B748" s="13"/>
      <c r="C748" s="7"/>
      <c r="G748" s="13"/>
    </row>
    <row r="749">
      <c r="A749" s="16"/>
      <c r="B749" s="13"/>
      <c r="C749" s="7"/>
      <c r="G749" s="13"/>
    </row>
    <row r="750">
      <c r="A750" s="16"/>
      <c r="B750" s="13"/>
      <c r="C750" s="7"/>
      <c r="G750" s="13"/>
    </row>
    <row r="751">
      <c r="A751" s="16"/>
      <c r="B751" s="13"/>
      <c r="C751" s="7"/>
      <c r="G751" s="13"/>
    </row>
    <row r="752">
      <c r="A752" s="16"/>
      <c r="B752" s="13"/>
      <c r="C752" s="7"/>
      <c r="G752" s="13"/>
    </row>
    <row r="753">
      <c r="A753" s="16"/>
      <c r="B753" s="13"/>
      <c r="C753" s="7"/>
      <c r="G753" s="13"/>
    </row>
    <row r="754">
      <c r="A754" s="16"/>
      <c r="B754" s="13"/>
      <c r="C754" s="7"/>
      <c r="G754" s="13"/>
    </row>
    <row r="755">
      <c r="A755" s="16"/>
      <c r="B755" s="13"/>
      <c r="C755" s="7"/>
      <c r="G755" s="13"/>
    </row>
    <row r="756">
      <c r="A756" s="16"/>
      <c r="B756" s="13"/>
      <c r="C756" s="7"/>
      <c r="G756" s="13"/>
    </row>
    <row r="757">
      <c r="A757" s="16"/>
      <c r="B757" s="13"/>
      <c r="C757" s="7"/>
      <c r="G757" s="13"/>
    </row>
    <row r="758">
      <c r="A758" s="16"/>
      <c r="B758" s="13"/>
      <c r="C758" s="7"/>
      <c r="G758" s="13"/>
    </row>
    <row r="759">
      <c r="A759" s="16"/>
      <c r="B759" s="13"/>
      <c r="C759" s="7"/>
      <c r="G759" s="13"/>
    </row>
    <row r="760">
      <c r="A760" s="16"/>
      <c r="B760" s="13"/>
      <c r="C760" s="7"/>
      <c r="G760" s="13"/>
    </row>
    <row r="761">
      <c r="A761" s="16"/>
      <c r="B761" s="13"/>
      <c r="C761" s="7"/>
      <c r="G761" s="13"/>
    </row>
    <row r="762">
      <c r="A762" s="16"/>
      <c r="B762" s="13"/>
      <c r="C762" s="7"/>
      <c r="G762" s="13"/>
    </row>
    <row r="763">
      <c r="A763" s="16"/>
      <c r="B763" s="13"/>
      <c r="C763" s="7"/>
      <c r="G763" s="13"/>
    </row>
    <row r="764">
      <c r="A764" s="16"/>
      <c r="B764" s="13"/>
      <c r="C764" s="7"/>
      <c r="G764" s="13"/>
    </row>
    <row r="765">
      <c r="A765" s="16"/>
      <c r="B765" s="13"/>
      <c r="C765" s="7"/>
      <c r="G765" s="13"/>
    </row>
    <row r="766">
      <c r="A766" s="16"/>
      <c r="B766" s="13"/>
      <c r="C766" s="7"/>
      <c r="G766" s="13"/>
    </row>
    <row r="767">
      <c r="A767" s="16"/>
      <c r="B767" s="13"/>
      <c r="C767" s="7"/>
      <c r="G767" s="13"/>
    </row>
    <row r="768">
      <c r="A768" s="16"/>
      <c r="B768" s="13"/>
      <c r="C768" s="7"/>
      <c r="G768" s="13"/>
    </row>
    <row r="769">
      <c r="A769" s="16"/>
      <c r="B769" s="13"/>
      <c r="C769" s="7"/>
      <c r="G769" s="13"/>
    </row>
    <row r="770">
      <c r="A770" s="16"/>
      <c r="B770" s="13"/>
      <c r="C770" s="7"/>
      <c r="G770" s="13"/>
    </row>
    <row r="771">
      <c r="A771" s="16"/>
      <c r="B771" s="13"/>
      <c r="C771" s="7"/>
      <c r="G771" s="13"/>
    </row>
    <row r="772">
      <c r="A772" s="16"/>
      <c r="B772" s="13"/>
      <c r="C772" s="7"/>
      <c r="G772" s="13"/>
    </row>
    <row r="773">
      <c r="A773" s="16"/>
      <c r="B773" s="13"/>
      <c r="C773" s="7"/>
      <c r="G773" s="13"/>
    </row>
    <row r="774">
      <c r="A774" s="16"/>
      <c r="B774" s="13"/>
      <c r="C774" s="7"/>
      <c r="G774" s="13"/>
    </row>
    <row r="775">
      <c r="A775" s="16"/>
      <c r="B775" s="13"/>
      <c r="C775" s="7"/>
      <c r="G775" s="13"/>
    </row>
    <row r="776">
      <c r="A776" s="16"/>
      <c r="B776" s="13"/>
      <c r="C776" s="7"/>
      <c r="G776" s="13"/>
    </row>
    <row r="777">
      <c r="A777" s="16"/>
      <c r="B777" s="13"/>
      <c r="C777" s="7"/>
      <c r="G777" s="13"/>
    </row>
    <row r="778">
      <c r="A778" s="16"/>
      <c r="B778" s="13"/>
      <c r="C778" s="7"/>
      <c r="G778" s="13"/>
    </row>
    <row r="779">
      <c r="A779" s="16"/>
      <c r="B779" s="13"/>
      <c r="C779" s="7"/>
      <c r="G779" s="13"/>
    </row>
    <row r="780">
      <c r="A780" s="16"/>
      <c r="B780" s="13"/>
      <c r="C780" s="7"/>
      <c r="G780" s="13"/>
    </row>
    <row r="781">
      <c r="A781" s="16"/>
      <c r="B781" s="13"/>
      <c r="C781" s="7"/>
      <c r="G781" s="13"/>
    </row>
    <row r="782">
      <c r="A782" s="16"/>
      <c r="B782" s="13"/>
      <c r="C782" s="7"/>
      <c r="G782" s="13"/>
    </row>
    <row r="783">
      <c r="A783" s="16"/>
      <c r="B783" s="13"/>
      <c r="C783" s="7"/>
      <c r="G783" s="13"/>
    </row>
    <row r="784">
      <c r="A784" s="16"/>
      <c r="B784" s="13"/>
      <c r="C784" s="7"/>
      <c r="G784" s="13"/>
    </row>
    <row r="785">
      <c r="A785" s="16"/>
      <c r="B785" s="13"/>
      <c r="C785" s="7"/>
      <c r="G785" s="13"/>
    </row>
    <row r="786">
      <c r="A786" s="16"/>
      <c r="B786" s="13"/>
      <c r="C786" s="7"/>
      <c r="G786" s="13"/>
    </row>
    <row r="787">
      <c r="A787" s="16"/>
      <c r="B787" s="13"/>
      <c r="C787" s="7"/>
      <c r="G787" s="13"/>
    </row>
    <row r="788">
      <c r="A788" s="16"/>
      <c r="B788" s="13"/>
      <c r="C788" s="7"/>
      <c r="G788" s="13"/>
    </row>
    <row r="789">
      <c r="A789" s="16"/>
      <c r="B789" s="13"/>
      <c r="C789" s="7"/>
      <c r="G789" s="13"/>
    </row>
    <row r="790">
      <c r="A790" s="16"/>
      <c r="B790" s="13"/>
      <c r="C790" s="7"/>
      <c r="G790" s="13"/>
    </row>
    <row r="791">
      <c r="A791" s="16"/>
      <c r="B791" s="13"/>
      <c r="C791" s="7"/>
      <c r="G791" s="13"/>
    </row>
    <row r="792">
      <c r="A792" s="16"/>
      <c r="B792" s="13"/>
      <c r="C792" s="7"/>
      <c r="G792" s="13"/>
    </row>
    <row r="793">
      <c r="A793" s="16"/>
      <c r="B793" s="13"/>
      <c r="C793" s="7"/>
      <c r="G793" s="13"/>
    </row>
    <row r="794">
      <c r="A794" s="16"/>
      <c r="B794" s="13"/>
      <c r="C794" s="7"/>
      <c r="G794" s="13"/>
    </row>
    <row r="795">
      <c r="A795" s="16"/>
      <c r="B795" s="13"/>
      <c r="C795" s="7"/>
      <c r="G795" s="13"/>
    </row>
    <row r="796">
      <c r="A796" s="16"/>
      <c r="B796" s="13"/>
      <c r="C796" s="7"/>
      <c r="G796" s="13"/>
    </row>
    <row r="797">
      <c r="A797" s="16"/>
      <c r="B797" s="13"/>
      <c r="C797" s="7"/>
      <c r="G797" s="13"/>
    </row>
    <row r="798">
      <c r="A798" s="16"/>
      <c r="B798" s="13"/>
      <c r="C798" s="7"/>
      <c r="G798" s="13"/>
    </row>
    <row r="799">
      <c r="A799" s="16"/>
      <c r="B799" s="13"/>
      <c r="C799" s="7"/>
      <c r="G799" s="13"/>
    </row>
    <row r="800">
      <c r="A800" s="16"/>
      <c r="B800" s="13"/>
      <c r="C800" s="7"/>
      <c r="G800" s="13"/>
    </row>
    <row r="801">
      <c r="A801" s="16"/>
      <c r="B801" s="13"/>
      <c r="C801" s="7"/>
      <c r="G801" s="13"/>
    </row>
    <row r="802">
      <c r="A802" s="16"/>
      <c r="B802" s="13"/>
      <c r="C802" s="7"/>
      <c r="G802" s="13"/>
    </row>
    <row r="803">
      <c r="A803" s="16"/>
      <c r="B803" s="13"/>
      <c r="C803" s="7"/>
      <c r="G803" s="13"/>
    </row>
    <row r="804">
      <c r="A804" s="16"/>
      <c r="B804" s="13"/>
      <c r="C804" s="7"/>
      <c r="G804" s="13"/>
    </row>
    <row r="805">
      <c r="A805" s="16"/>
      <c r="B805" s="13"/>
      <c r="C805" s="7"/>
      <c r="G805" s="13"/>
    </row>
    <row r="806">
      <c r="A806" s="16"/>
      <c r="B806" s="13"/>
      <c r="C806" s="7"/>
      <c r="G806" s="13"/>
    </row>
    <row r="807">
      <c r="A807" s="16"/>
      <c r="B807" s="13"/>
      <c r="C807" s="7"/>
      <c r="G807" s="13"/>
    </row>
    <row r="808">
      <c r="A808" s="16"/>
      <c r="B808" s="13"/>
      <c r="C808" s="7"/>
      <c r="G808" s="13"/>
    </row>
    <row r="809">
      <c r="A809" s="16"/>
      <c r="B809" s="13"/>
      <c r="C809" s="7"/>
      <c r="G809" s="13"/>
    </row>
    <row r="810">
      <c r="A810" s="16"/>
      <c r="B810" s="13"/>
      <c r="C810" s="7"/>
      <c r="G810" s="13"/>
    </row>
    <row r="811">
      <c r="A811" s="16"/>
      <c r="B811" s="13"/>
      <c r="C811" s="7"/>
      <c r="G811" s="13"/>
    </row>
    <row r="812">
      <c r="A812" s="16"/>
      <c r="B812" s="13"/>
      <c r="C812" s="7"/>
      <c r="G812" s="13"/>
    </row>
    <row r="813">
      <c r="A813" s="16"/>
      <c r="B813" s="13"/>
      <c r="C813" s="7"/>
      <c r="G813" s="13"/>
    </row>
    <row r="814">
      <c r="A814" s="16"/>
      <c r="B814" s="13"/>
      <c r="C814" s="7"/>
      <c r="G814" s="13"/>
    </row>
    <row r="815">
      <c r="A815" s="16"/>
      <c r="B815" s="13"/>
      <c r="C815" s="7"/>
      <c r="G815" s="13"/>
    </row>
    <row r="816">
      <c r="A816" s="16"/>
      <c r="B816" s="13"/>
      <c r="C816" s="7"/>
      <c r="G816" s="13"/>
    </row>
    <row r="817">
      <c r="A817" s="16"/>
      <c r="B817" s="13"/>
      <c r="C817" s="7"/>
      <c r="G817" s="13"/>
    </row>
    <row r="818">
      <c r="A818" s="16"/>
      <c r="B818" s="13"/>
      <c r="C818" s="7"/>
      <c r="G818" s="13"/>
    </row>
    <row r="819">
      <c r="A819" s="16"/>
      <c r="B819" s="13"/>
      <c r="C819" s="7"/>
      <c r="G819" s="13"/>
    </row>
    <row r="820">
      <c r="A820" s="16"/>
      <c r="B820" s="13"/>
      <c r="C820" s="7"/>
      <c r="G820" s="13"/>
    </row>
    <row r="821">
      <c r="A821" s="16"/>
      <c r="B821" s="13"/>
      <c r="C821" s="7"/>
      <c r="G821" s="13"/>
    </row>
    <row r="822">
      <c r="A822" s="16"/>
      <c r="B822" s="13"/>
      <c r="C822" s="7"/>
      <c r="G822" s="13"/>
    </row>
    <row r="823">
      <c r="A823" s="16"/>
      <c r="B823" s="13"/>
      <c r="C823" s="7"/>
      <c r="G823" s="13"/>
    </row>
    <row r="824">
      <c r="A824" s="16"/>
      <c r="B824" s="13"/>
      <c r="C824" s="7"/>
      <c r="G824" s="13"/>
    </row>
    <row r="825">
      <c r="A825" s="16"/>
      <c r="B825" s="13"/>
      <c r="C825" s="7"/>
      <c r="G825" s="13"/>
    </row>
    <row r="826">
      <c r="A826" s="16"/>
      <c r="B826" s="13"/>
      <c r="C826" s="7"/>
      <c r="G826" s="13"/>
    </row>
    <row r="827">
      <c r="A827" s="16"/>
      <c r="B827" s="13"/>
      <c r="C827" s="7"/>
      <c r="G827" s="13"/>
    </row>
    <row r="828">
      <c r="A828" s="16"/>
      <c r="B828" s="13"/>
      <c r="C828" s="7"/>
      <c r="G828" s="13"/>
    </row>
    <row r="829">
      <c r="A829" s="16"/>
      <c r="B829" s="13"/>
      <c r="C829" s="7"/>
      <c r="G829" s="13"/>
    </row>
    <row r="830">
      <c r="A830" s="16"/>
      <c r="B830" s="13"/>
      <c r="C830" s="7"/>
      <c r="G830" s="13"/>
    </row>
    <row r="831">
      <c r="A831" s="16"/>
      <c r="B831" s="13"/>
      <c r="C831" s="7"/>
      <c r="G831" s="13"/>
    </row>
    <row r="832">
      <c r="A832" s="16"/>
      <c r="B832" s="13"/>
      <c r="C832" s="7"/>
      <c r="G832" s="13"/>
    </row>
    <row r="833">
      <c r="A833" s="16"/>
      <c r="B833" s="13"/>
      <c r="C833" s="7"/>
      <c r="G833" s="13"/>
    </row>
    <row r="834">
      <c r="A834" s="16"/>
      <c r="B834" s="13"/>
      <c r="C834" s="7"/>
      <c r="G834" s="13"/>
    </row>
    <row r="835">
      <c r="A835" s="16"/>
      <c r="B835" s="13"/>
      <c r="C835" s="7"/>
      <c r="G835" s="13"/>
    </row>
    <row r="836">
      <c r="A836" s="16"/>
      <c r="B836" s="13"/>
      <c r="C836" s="7"/>
      <c r="G836" s="13"/>
    </row>
    <row r="837">
      <c r="A837" s="16"/>
      <c r="B837" s="13"/>
      <c r="C837" s="7"/>
      <c r="G837" s="13"/>
    </row>
    <row r="838">
      <c r="A838" s="16"/>
      <c r="B838" s="13"/>
      <c r="C838" s="7"/>
      <c r="G838" s="13"/>
    </row>
    <row r="839">
      <c r="A839" s="16"/>
      <c r="B839" s="13"/>
      <c r="C839" s="7"/>
      <c r="G839" s="13"/>
    </row>
    <row r="840">
      <c r="A840" s="16"/>
      <c r="B840" s="13"/>
      <c r="C840" s="7"/>
      <c r="G840" s="13"/>
    </row>
    <row r="841">
      <c r="A841" s="16"/>
      <c r="B841" s="13"/>
      <c r="C841" s="7"/>
      <c r="G841" s="13"/>
    </row>
    <row r="842">
      <c r="A842" s="16"/>
      <c r="B842" s="13"/>
      <c r="C842" s="7"/>
      <c r="G842" s="13"/>
    </row>
    <row r="843">
      <c r="A843" s="16"/>
      <c r="B843" s="13"/>
      <c r="C843" s="7"/>
      <c r="G843" s="13"/>
    </row>
    <row r="844">
      <c r="A844" s="16"/>
      <c r="B844" s="13"/>
      <c r="C844" s="7"/>
      <c r="G844" s="13"/>
    </row>
    <row r="845">
      <c r="A845" s="16"/>
      <c r="B845" s="13"/>
      <c r="C845" s="7"/>
      <c r="G845" s="13"/>
    </row>
    <row r="846">
      <c r="A846" s="16"/>
      <c r="B846" s="13"/>
      <c r="C846" s="7"/>
      <c r="G846" s="13"/>
    </row>
    <row r="847">
      <c r="A847" s="16"/>
      <c r="B847" s="13"/>
      <c r="C847" s="7"/>
      <c r="G847" s="13"/>
    </row>
    <row r="848">
      <c r="A848" s="16"/>
      <c r="B848" s="13"/>
      <c r="C848" s="7"/>
      <c r="G848" s="13"/>
    </row>
    <row r="849">
      <c r="A849" s="16"/>
      <c r="B849" s="13"/>
      <c r="C849" s="7"/>
      <c r="G849" s="13"/>
    </row>
    <row r="850">
      <c r="A850" s="16"/>
      <c r="B850" s="13"/>
      <c r="C850" s="7"/>
      <c r="G850" s="13"/>
    </row>
    <row r="851">
      <c r="A851" s="16"/>
      <c r="B851" s="13"/>
      <c r="C851" s="7"/>
      <c r="G851" s="13"/>
    </row>
    <row r="852">
      <c r="A852" s="16"/>
      <c r="B852" s="13"/>
      <c r="C852" s="7"/>
      <c r="G852" s="13"/>
    </row>
    <row r="853">
      <c r="A853" s="16"/>
      <c r="B853" s="13"/>
      <c r="C853" s="7"/>
      <c r="G853" s="13"/>
    </row>
    <row r="854">
      <c r="A854" s="16"/>
      <c r="B854" s="13"/>
      <c r="C854" s="7"/>
      <c r="G854" s="13"/>
    </row>
    <row r="855">
      <c r="A855" s="16"/>
      <c r="B855" s="13"/>
      <c r="C855" s="7"/>
      <c r="G855" s="13"/>
    </row>
    <row r="856">
      <c r="A856" s="16"/>
      <c r="B856" s="13"/>
      <c r="C856" s="7"/>
      <c r="G856" s="13"/>
    </row>
    <row r="857">
      <c r="A857" s="16"/>
      <c r="B857" s="13"/>
      <c r="C857" s="7"/>
      <c r="G857" s="13"/>
    </row>
    <row r="858">
      <c r="A858" s="16"/>
      <c r="B858" s="13"/>
      <c r="C858" s="7"/>
      <c r="G858" s="13"/>
    </row>
    <row r="859">
      <c r="A859" s="16"/>
      <c r="B859" s="13"/>
      <c r="C859" s="7"/>
      <c r="G859" s="13"/>
    </row>
    <row r="860">
      <c r="A860" s="16"/>
      <c r="B860" s="13"/>
      <c r="C860" s="7"/>
      <c r="G860" s="13"/>
    </row>
    <row r="861">
      <c r="A861" s="16"/>
      <c r="B861" s="13"/>
      <c r="C861" s="7"/>
      <c r="G861" s="13"/>
    </row>
    <row r="862">
      <c r="A862" s="16"/>
      <c r="B862" s="13"/>
      <c r="C862" s="7"/>
      <c r="G862" s="13"/>
    </row>
    <row r="863">
      <c r="A863" s="16"/>
      <c r="B863" s="13"/>
      <c r="C863" s="7"/>
      <c r="G863" s="13"/>
    </row>
    <row r="864">
      <c r="A864" s="16"/>
      <c r="B864" s="13"/>
      <c r="C864" s="7"/>
      <c r="G864" s="13"/>
    </row>
    <row r="865">
      <c r="A865" s="16"/>
      <c r="B865" s="13"/>
      <c r="C865" s="7"/>
      <c r="G865" s="13"/>
    </row>
    <row r="866">
      <c r="A866" s="16"/>
      <c r="B866" s="13"/>
      <c r="C866" s="7"/>
      <c r="G866" s="13"/>
    </row>
    <row r="867">
      <c r="A867" s="16"/>
      <c r="B867" s="13"/>
      <c r="C867" s="7"/>
      <c r="G867" s="13"/>
    </row>
    <row r="868">
      <c r="A868" s="16"/>
      <c r="B868" s="13"/>
      <c r="C868" s="7"/>
      <c r="G868" s="13"/>
    </row>
    <row r="869">
      <c r="A869" s="16"/>
      <c r="B869" s="13"/>
      <c r="C869" s="7"/>
      <c r="G869" s="13"/>
    </row>
    <row r="870">
      <c r="A870" s="16"/>
      <c r="B870" s="13"/>
      <c r="C870" s="7"/>
      <c r="G870" s="13"/>
    </row>
    <row r="871">
      <c r="A871" s="16"/>
      <c r="B871" s="13"/>
      <c r="C871" s="7"/>
      <c r="G871" s="13"/>
    </row>
    <row r="872">
      <c r="A872" s="16"/>
      <c r="B872" s="13"/>
      <c r="C872" s="7"/>
      <c r="G872" s="13"/>
    </row>
    <row r="873">
      <c r="A873" s="16"/>
      <c r="B873" s="13"/>
      <c r="C873" s="7"/>
      <c r="G873" s="13"/>
    </row>
    <row r="874">
      <c r="A874" s="16"/>
      <c r="B874" s="13"/>
      <c r="C874" s="7"/>
      <c r="G874" s="13"/>
    </row>
    <row r="875">
      <c r="A875" s="16"/>
      <c r="B875" s="13"/>
      <c r="C875" s="7"/>
      <c r="G875" s="13"/>
    </row>
    <row r="876">
      <c r="A876" s="16"/>
      <c r="B876" s="13"/>
      <c r="C876" s="7"/>
      <c r="G876" s="13"/>
    </row>
    <row r="877">
      <c r="A877" s="16"/>
      <c r="B877" s="13"/>
      <c r="C877" s="7"/>
      <c r="G877" s="13"/>
    </row>
    <row r="878">
      <c r="A878" s="16"/>
      <c r="B878" s="13"/>
      <c r="C878" s="7"/>
      <c r="G878" s="13"/>
    </row>
    <row r="879">
      <c r="A879" s="16"/>
      <c r="B879" s="13"/>
      <c r="C879" s="7"/>
      <c r="G879" s="13"/>
    </row>
    <row r="880">
      <c r="A880" s="16"/>
      <c r="B880" s="13"/>
      <c r="C880" s="7"/>
      <c r="G880" s="13"/>
    </row>
    <row r="881">
      <c r="A881" s="16"/>
      <c r="B881" s="13"/>
      <c r="C881" s="7"/>
      <c r="G881" s="13"/>
    </row>
    <row r="882">
      <c r="A882" s="16"/>
      <c r="B882" s="13"/>
      <c r="C882" s="7"/>
      <c r="G882" s="13"/>
    </row>
    <row r="883">
      <c r="A883" s="16"/>
      <c r="B883" s="13"/>
      <c r="C883" s="7"/>
      <c r="G883" s="13"/>
    </row>
    <row r="884">
      <c r="A884" s="16"/>
      <c r="B884" s="13"/>
      <c r="C884" s="7"/>
      <c r="G884" s="13"/>
    </row>
    <row r="885">
      <c r="A885" s="16"/>
      <c r="B885" s="13"/>
      <c r="C885" s="7"/>
      <c r="G885" s="13"/>
    </row>
    <row r="886">
      <c r="A886" s="16"/>
      <c r="B886" s="13"/>
      <c r="C886" s="7"/>
      <c r="G886" s="13"/>
    </row>
    <row r="887">
      <c r="A887" s="16"/>
      <c r="B887" s="13"/>
      <c r="C887" s="7"/>
      <c r="G887" s="13"/>
    </row>
    <row r="888">
      <c r="A888" s="16"/>
      <c r="B888" s="13"/>
      <c r="C888" s="7"/>
      <c r="G888" s="13"/>
    </row>
  </sheetData>
  <autoFilter ref="$A$1:$D$44">
    <sortState ref="A1:D44">
      <sortCondition descending="1" ref="C1:C44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75"/>
    <col customWidth="1" min="2" max="41" width="4.63"/>
    <col customWidth="1" min="42" max="43" width="4.13"/>
  </cols>
  <sheetData>
    <row r="1">
      <c r="A1" s="24" t="s">
        <v>48</v>
      </c>
      <c r="B1" s="24" t="s">
        <v>44</v>
      </c>
      <c r="C1" s="24" t="s">
        <v>18</v>
      </c>
      <c r="D1" s="24" t="s">
        <v>31</v>
      </c>
      <c r="E1" s="24" t="s">
        <v>46</v>
      </c>
      <c r="F1" s="24" t="s">
        <v>29</v>
      </c>
      <c r="G1" s="24" t="s">
        <v>35</v>
      </c>
      <c r="H1" s="24" t="s">
        <v>25</v>
      </c>
      <c r="I1" s="24" t="s">
        <v>34</v>
      </c>
      <c r="J1" s="24" t="s">
        <v>36</v>
      </c>
      <c r="K1" s="24" t="s">
        <v>30</v>
      </c>
      <c r="L1" s="24" t="s">
        <v>40</v>
      </c>
      <c r="M1" s="24" t="s">
        <v>39</v>
      </c>
      <c r="N1" s="24" t="s">
        <v>24</v>
      </c>
      <c r="O1" s="25" t="s">
        <v>12</v>
      </c>
      <c r="P1" s="24" t="s">
        <v>41</v>
      </c>
      <c r="Q1" s="24" t="s">
        <v>47</v>
      </c>
      <c r="R1" s="24" t="s">
        <v>37</v>
      </c>
      <c r="S1" s="24" t="s">
        <v>10</v>
      </c>
      <c r="T1" s="24" t="s">
        <v>22</v>
      </c>
      <c r="U1" s="24" t="s">
        <v>49</v>
      </c>
      <c r="V1" s="24" t="s">
        <v>7</v>
      </c>
      <c r="W1" s="24" t="s">
        <v>13</v>
      </c>
      <c r="X1" s="25" t="s">
        <v>43</v>
      </c>
      <c r="Y1" s="24" t="s">
        <v>45</v>
      </c>
      <c r="Z1" s="24" t="s">
        <v>38</v>
      </c>
      <c r="AA1" s="24" t="s">
        <v>26</v>
      </c>
      <c r="AB1" s="24" t="s">
        <v>19</v>
      </c>
      <c r="AC1" s="24" t="s">
        <v>3</v>
      </c>
      <c r="AD1" s="24" t="s">
        <v>20</v>
      </c>
      <c r="AE1" s="24" t="s">
        <v>28</v>
      </c>
      <c r="AF1" s="24" t="s">
        <v>6</v>
      </c>
      <c r="AG1" s="24" t="s">
        <v>33</v>
      </c>
      <c r="AH1" s="24" t="s">
        <v>32</v>
      </c>
      <c r="AI1" s="24" t="s">
        <v>14</v>
      </c>
      <c r="AJ1" s="24" t="s">
        <v>27</v>
      </c>
      <c r="AK1" s="25" t="s">
        <v>16</v>
      </c>
      <c r="AL1" s="24" t="s">
        <v>9</v>
      </c>
      <c r="AM1" s="24" t="s">
        <v>42</v>
      </c>
      <c r="AN1" s="24" t="s">
        <v>17</v>
      </c>
      <c r="AO1" s="24" t="s">
        <v>21</v>
      </c>
      <c r="AP1" s="26" t="s">
        <v>50</v>
      </c>
      <c r="AQ1" s="27"/>
    </row>
    <row r="2">
      <c r="A2" s="24" t="s">
        <v>51</v>
      </c>
      <c r="B2" s="28">
        <v>1.0</v>
      </c>
      <c r="C2" s="24">
        <v>5.0</v>
      </c>
      <c r="D2" s="24">
        <v>4.0</v>
      </c>
      <c r="E2" s="24">
        <v>2.0</v>
      </c>
      <c r="F2" s="24">
        <v>4.0</v>
      </c>
      <c r="G2" s="24">
        <v>3.0</v>
      </c>
      <c r="H2" s="24">
        <v>3.0</v>
      </c>
      <c r="I2" s="24">
        <v>3.0</v>
      </c>
      <c r="J2" s="24">
        <v>3.0</v>
      </c>
      <c r="K2" s="24">
        <v>3.0</v>
      </c>
      <c r="L2" s="24">
        <v>3.0</v>
      </c>
      <c r="M2" s="24">
        <v>2.0</v>
      </c>
      <c r="N2" s="24">
        <v>4.0</v>
      </c>
      <c r="O2" s="24">
        <v>3.0</v>
      </c>
      <c r="P2" s="24">
        <v>2.0</v>
      </c>
      <c r="Q2" s="24">
        <v>2.0</v>
      </c>
      <c r="R2" s="24">
        <v>3.0</v>
      </c>
      <c r="S2" s="24">
        <v>4.0</v>
      </c>
      <c r="T2" s="24">
        <v>4.0</v>
      </c>
      <c r="U2" s="24">
        <v>3.0</v>
      </c>
      <c r="V2" s="24">
        <v>5.0</v>
      </c>
      <c r="W2" s="24">
        <v>5.0</v>
      </c>
      <c r="X2" s="24">
        <v>3.0</v>
      </c>
      <c r="Y2" s="24">
        <v>2.0</v>
      </c>
      <c r="Z2" s="24">
        <v>4.0</v>
      </c>
      <c r="AA2" s="24">
        <v>4.0</v>
      </c>
      <c r="AB2" s="24">
        <v>4.0</v>
      </c>
      <c r="AC2" s="24">
        <v>4.0</v>
      </c>
      <c r="AD2" s="24">
        <v>4.0</v>
      </c>
      <c r="AE2" s="24">
        <v>4.0</v>
      </c>
      <c r="AF2" s="24">
        <v>2.0</v>
      </c>
      <c r="AG2" s="24">
        <v>3.0</v>
      </c>
      <c r="AH2" s="24">
        <v>3.0</v>
      </c>
      <c r="AI2" s="24">
        <v>5.0</v>
      </c>
      <c r="AJ2" s="24">
        <v>3.0</v>
      </c>
      <c r="AK2" s="24">
        <v>3.0</v>
      </c>
      <c r="AL2" s="24">
        <v>2.0</v>
      </c>
      <c r="AM2" s="24">
        <v>2.0</v>
      </c>
      <c r="AN2" s="24">
        <v>4.0</v>
      </c>
      <c r="AO2" s="24">
        <v>4.0</v>
      </c>
      <c r="AP2" s="29">
        <f t="shared" ref="AP2:AP42" si="1">SUM(B2:AO2)</f>
        <v>131</v>
      </c>
      <c r="AQ2" s="30">
        <f t="shared" ref="AQ2:AQ42" si="2">(AP2-$B$52)/$B$52</f>
        <v>-0.05456785777</v>
      </c>
    </row>
    <row r="3">
      <c r="A3" s="24" t="s">
        <v>52</v>
      </c>
      <c r="B3" s="24">
        <v>3.0</v>
      </c>
      <c r="C3" s="28">
        <v>1.0</v>
      </c>
      <c r="D3" s="24">
        <v>4.0</v>
      </c>
      <c r="E3" s="24">
        <v>3.0</v>
      </c>
      <c r="F3" s="24">
        <v>4.0</v>
      </c>
      <c r="G3" s="24">
        <v>4.0</v>
      </c>
      <c r="H3" s="24">
        <v>3.0</v>
      </c>
      <c r="I3" s="24">
        <v>4.0</v>
      </c>
      <c r="J3" s="24">
        <v>3.0</v>
      </c>
      <c r="K3" s="24">
        <v>4.0</v>
      </c>
      <c r="L3" s="24">
        <v>3.0</v>
      </c>
      <c r="M3" s="24">
        <v>4.0</v>
      </c>
      <c r="N3" s="24">
        <v>3.0</v>
      </c>
      <c r="O3" s="24">
        <v>4.0</v>
      </c>
      <c r="P3" s="24">
        <v>4.0</v>
      </c>
      <c r="Q3" s="24">
        <v>3.0</v>
      </c>
      <c r="R3" s="24">
        <v>4.0</v>
      </c>
      <c r="S3" s="24">
        <v>5.0</v>
      </c>
      <c r="T3" s="24">
        <v>4.0</v>
      </c>
      <c r="U3" s="24">
        <v>4.0</v>
      </c>
      <c r="V3" s="24">
        <v>5.0</v>
      </c>
      <c r="W3" s="24">
        <v>4.0</v>
      </c>
      <c r="X3" s="24">
        <v>3.0</v>
      </c>
      <c r="Y3" s="24">
        <v>3.0</v>
      </c>
      <c r="Z3" s="24">
        <v>4.0</v>
      </c>
      <c r="AA3" s="24">
        <v>4.0</v>
      </c>
      <c r="AB3" s="24">
        <v>4.0</v>
      </c>
      <c r="AC3" s="24">
        <v>4.0</v>
      </c>
      <c r="AD3" s="24">
        <v>4.0</v>
      </c>
      <c r="AE3" s="24">
        <v>3.0</v>
      </c>
      <c r="AF3" s="24">
        <v>3.0</v>
      </c>
      <c r="AG3" s="24">
        <v>4.0</v>
      </c>
      <c r="AH3" s="24">
        <v>3.0</v>
      </c>
      <c r="AI3" s="24">
        <v>5.0</v>
      </c>
      <c r="AJ3" s="24">
        <v>3.0</v>
      </c>
      <c r="AK3" s="24">
        <v>5.0</v>
      </c>
      <c r="AL3" s="24">
        <v>3.0</v>
      </c>
      <c r="AM3" s="24">
        <v>4.0</v>
      </c>
      <c r="AN3" s="24">
        <v>4.0</v>
      </c>
      <c r="AO3" s="24">
        <v>5.0</v>
      </c>
      <c r="AP3" s="29">
        <f t="shared" si="1"/>
        <v>148</v>
      </c>
      <c r="AQ3" s="30">
        <f t="shared" si="2"/>
        <v>0.06812180954</v>
      </c>
    </row>
    <row r="4">
      <c r="A4" s="24" t="s">
        <v>53</v>
      </c>
      <c r="B4" s="24">
        <v>4.0</v>
      </c>
      <c r="C4" s="24">
        <v>5.0</v>
      </c>
      <c r="D4" s="28">
        <v>1.0</v>
      </c>
      <c r="E4" s="24">
        <v>3.0</v>
      </c>
      <c r="F4" s="24">
        <v>4.0</v>
      </c>
      <c r="G4" s="24">
        <v>4.0</v>
      </c>
      <c r="H4" s="24">
        <v>5.0</v>
      </c>
      <c r="I4" s="24">
        <v>5.0</v>
      </c>
      <c r="J4" s="24">
        <v>4.0</v>
      </c>
      <c r="K4" s="24">
        <v>5.0</v>
      </c>
      <c r="L4" s="24">
        <v>4.0</v>
      </c>
      <c r="M4" s="24">
        <v>3.0</v>
      </c>
      <c r="N4" s="24">
        <v>5.0</v>
      </c>
      <c r="O4" s="24">
        <v>5.0</v>
      </c>
      <c r="P4" s="24">
        <v>3.0</v>
      </c>
      <c r="Q4" s="24">
        <v>3.0</v>
      </c>
      <c r="R4" s="24">
        <v>4.0</v>
      </c>
      <c r="S4" s="24">
        <v>5.0</v>
      </c>
      <c r="T4" s="24">
        <v>5.0</v>
      </c>
      <c r="U4" s="24">
        <v>5.0</v>
      </c>
      <c r="V4" s="24">
        <v>5.0</v>
      </c>
      <c r="W4" s="24">
        <v>5.0</v>
      </c>
      <c r="X4" s="24">
        <v>3.0</v>
      </c>
      <c r="Y4" s="24">
        <v>3.0</v>
      </c>
      <c r="Z4" s="24">
        <v>4.0</v>
      </c>
      <c r="AA4" s="24">
        <v>4.0</v>
      </c>
      <c r="AB4" s="24">
        <v>4.0</v>
      </c>
      <c r="AC4" s="24">
        <v>5.0</v>
      </c>
      <c r="AD4" s="24">
        <v>5.0</v>
      </c>
      <c r="AE4" s="24">
        <v>4.0</v>
      </c>
      <c r="AF4" s="24">
        <v>4.0</v>
      </c>
      <c r="AG4" s="24">
        <v>5.0</v>
      </c>
      <c r="AH4" s="24">
        <v>4.0</v>
      </c>
      <c r="AI4" s="24">
        <v>5.0</v>
      </c>
      <c r="AJ4" s="24">
        <v>4.0</v>
      </c>
      <c r="AK4" s="24">
        <v>4.0</v>
      </c>
      <c r="AL4" s="24">
        <v>4.0</v>
      </c>
      <c r="AM4" s="24">
        <v>3.0</v>
      </c>
      <c r="AN4" s="24">
        <v>4.0</v>
      </c>
      <c r="AO4" s="24">
        <v>5.0</v>
      </c>
      <c r="AP4" s="29">
        <f t="shared" si="1"/>
        <v>166</v>
      </c>
      <c r="AQ4" s="30">
        <f t="shared" si="2"/>
        <v>0.1980285161</v>
      </c>
    </row>
    <row r="5">
      <c r="A5" s="24" t="s">
        <v>54</v>
      </c>
      <c r="B5" s="24">
        <v>3.0</v>
      </c>
      <c r="C5" s="24">
        <v>5.0</v>
      </c>
      <c r="D5" s="24">
        <v>4.0</v>
      </c>
      <c r="E5" s="28">
        <v>1.0</v>
      </c>
      <c r="F5" s="24">
        <v>4.0</v>
      </c>
      <c r="G5" s="24">
        <v>4.0</v>
      </c>
      <c r="H5" s="24">
        <v>4.0</v>
      </c>
      <c r="I5" s="24">
        <v>4.0</v>
      </c>
      <c r="J5" s="24">
        <v>3.0</v>
      </c>
      <c r="K5" s="24">
        <v>4.0</v>
      </c>
      <c r="L5" s="24">
        <v>3.0</v>
      </c>
      <c r="M5" s="24">
        <v>4.0</v>
      </c>
      <c r="N5" s="24">
        <v>4.0</v>
      </c>
      <c r="O5" s="24">
        <v>3.0</v>
      </c>
      <c r="P5" s="24">
        <v>3.0</v>
      </c>
      <c r="Q5" s="24">
        <v>2.0</v>
      </c>
      <c r="R5" s="24">
        <v>3.0</v>
      </c>
      <c r="S5" s="24">
        <v>5.0</v>
      </c>
      <c r="T5" s="24">
        <v>4.0</v>
      </c>
      <c r="U5" s="24">
        <v>4.0</v>
      </c>
      <c r="V5" s="24">
        <v>5.0</v>
      </c>
      <c r="W5" s="24">
        <v>5.0</v>
      </c>
      <c r="X5" s="24">
        <v>3.0</v>
      </c>
      <c r="Y5" s="24">
        <v>3.0</v>
      </c>
      <c r="Z5" s="24">
        <v>2.0</v>
      </c>
      <c r="AA5" s="24">
        <v>4.0</v>
      </c>
      <c r="AB5" s="24">
        <v>5.0</v>
      </c>
      <c r="AC5" s="24">
        <v>5.0</v>
      </c>
      <c r="AD5" s="24">
        <v>4.0</v>
      </c>
      <c r="AE5" s="24">
        <v>4.0</v>
      </c>
      <c r="AF5" s="24">
        <v>3.0</v>
      </c>
      <c r="AG5" s="24">
        <v>3.0</v>
      </c>
      <c r="AH5" s="24">
        <v>3.0</v>
      </c>
      <c r="AI5" s="24">
        <v>5.0</v>
      </c>
      <c r="AJ5" s="24">
        <v>5.0</v>
      </c>
      <c r="AK5" s="24">
        <v>5.0</v>
      </c>
      <c r="AL5" s="24">
        <v>2.0</v>
      </c>
      <c r="AM5" s="24">
        <v>3.0</v>
      </c>
      <c r="AN5" s="24">
        <v>4.0</v>
      </c>
      <c r="AO5" s="24">
        <v>5.0</v>
      </c>
      <c r="AP5" s="29">
        <f t="shared" si="1"/>
        <v>149</v>
      </c>
      <c r="AQ5" s="30">
        <f t="shared" si="2"/>
        <v>0.07533884879</v>
      </c>
    </row>
    <row r="6">
      <c r="A6" s="24" t="s">
        <v>55</v>
      </c>
      <c r="B6" s="24">
        <v>3.0</v>
      </c>
      <c r="C6" s="24">
        <v>3.0</v>
      </c>
      <c r="D6" s="24">
        <v>3.0</v>
      </c>
      <c r="E6" s="24">
        <v>2.0</v>
      </c>
      <c r="F6" s="28">
        <v>1.0</v>
      </c>
      <c r="G6" s="24">
        <v>4.0</v>
      </c>
      <c r="H6" s="24">
        <v>5.0</v>
      </c>
      <c r="I6" s="24">
        <v>3.0</v>
      </c>
      <c r="J6" s="24">
        <v>3.0</v>
      </c>
      <c r="K6" s="24">
        <v>4.0</v>
      </c>
      <c r="L6" s="24">
        <v>3.0</v>
      </c>
      <c r="M6" s="24">
        <v>3.0</v>
      </c>
      <c r="N6" s="24">
        <v>4.0</v>
      </c>
      <c r="O6" s="24">
        <v>3.0</v>
      </c>
      <c r="P6" s="24">
        <v>2.0</v>
      </c>
      <c r="Q6" s="24">
        <v>2.0</v>
      </c>
      <c r="R6" s="24">
        <v>4.0</v>
      </c>
      <c r="S6" s="24">
        <v>5.0</v>
      </c>
      <c r="T6" s="24">
        <v>4.0</v>
      </c>
      <c r="U6" s="24">
        <v>3.0</v>
      </c>
      <c r="V6" s="24">
        <v>4.0</v>
      </c>
      <c r="W6" s="24">
        <v>4.0</v>
      </c>
      <c r="X6" s="24">
        <v>3.0</v>
      </c>
      <c r="Y6" s="24">
        <v>2.0</v>
      </c>
      <c r="Z6" s="24">
        <v>3.0</v>
      </c>
      <c r="AA6" s="24">
        <v>4.0</v>
      </c>
      <c r="AB6" s="24">
        <v>4.0</v>
      </c>
      <c r="AC6" s="24">
        <v>5.0</v>
      </c>
      <c r="AD6" s="24">
        <v>4.0</v>
      </c>
      <c r="AE6" s="24">
        <v>4.0</v>
      </c>
      <c r="AF6" s="24">
        <v>3.0</v>
      </c>
      <c r="AG6" s="24">
        <v>4.0</v>
      </c>
      <c r="AH6" s="24">
        <v>3.0</v>
      </c>
      <c r="AI6" s="24">
        <v>4.0</v>
      </c>
      <c r="AJ6" s="24">
        <v>4.0</v>
      </c>
      <c r="AK6" s="24">
        <v>4.0</v>
      </c>
      <c r="AL6" s="24">
        <v>2.0</v>
      </c>
      <c r="AM6" s="24">
        <v>3.0</v>
      </c>
      <c r="AN6" s="24">
        <v>4.0</v>
      </c>
      <c r="AO6" s="24">
        <v>3.0</v>
      </c>
      <c r="AP6" s="29">
        <f t="shared" si="1"/>
        <v>135</v>
      </c>
      <c r="AQ6" s="30">
        <f t="shared" si="2"/>
        <v>-0.02569970076</v>
      </c>
    </row>
    <row r="7">
      <c r="A7" s="24" t="s">
        <v>56</v>
      </c>
      <c r="B7" s="24">
        <v>1.0</v>
      </c>
      <c r="C7" s="24">
        <v>4.0</v>
      </c>
      <c r="D7" s="24">
        <v>4.0</v>
      </c>
      <c r="E7" s="24">
        <v>1.0</v>
      </c>
      <c r="F7" s="24">
        <v>3.0</v>
      </c>
      <c r="G7" s="28">
        <v>1.0</v>
      </c>
      <c r="H7" s="24">
        <v>2.0</v>
      </c>
      <c r="I7" s="24">
        <v>3.0</v>
      </c>
      <c r="J7" s="24">
        <v>3.0</v>
      </c>
      <c r="K7" s="24">
        <v>2.0</v>
      </c>
      <c r="L7" s="24">
        <v>3.0</v>
      </c>
      <c r="M7" s="24">
        <v>2.0</v>
      </c>
      <c r="N7" s="24">
        <v>3.0</v>
      </c>
      <c r="O7" s="24">
        <v>4.0</v>
      </c>
      <c r="P7" s="24">
        <v>3.0</v>
      </c>
      <c r="Q7" s="24">
        <v>1.0</v>
      </c>
      <c r="R7" s="24">
        <v>3.0</v>
      </c>
      <c r="S7" s="24">
        <v>4.0</v>
      </c>
      <c r="T7" s="24">
        <v>4.0</v>
      </c>
      <c r="U7" s="24">
        <v>3.0</v>
      </c>
      <c r="V7" s="24">
        <v>4.0</v>
      </c>
      <c r="W7" s="24">
        <v>3.0</v>
      </c>
      <c r="X7" s="24">
        <v>3.0</v>
      </c>
      <c r="Y7" s="24">
        <v>1.0</v>
      </c>
      <c r="Z7" s="24">
        <v>3.0</v>
      </c>
      <c r="AA7" s="24">
        <v>3.0</v>
      </c>
      <c r="AB7" s="24">
        <v>5.0</v>
      </c>
      <c r="AC7" s="24">
        <v>4.0</v>
      </c>
      <c r="AD7" s="24">
        <v>4.0</v>
      </c>
      <c r="AE7" s="24">
        <v>4.0</v>
      </c>
      <c r="AF7" s="24">
        <v>3.0</v>
      </c>
      <c r="AG7" s="24">
        <v>2.0</v>
      </c>
      <c r="AH7" s="24">
        <v>4.0</v>
      </c>
      <c r="AI7" s="24">
        <v>4.0</v>
      </c>
      <c r="AJ7" s="24">
        <v>2.0</v>
      </c>
      <c r="AK7" s="24">
        <v>4.0</v>
      </c>
      <c r="AL7" s="24">
        <v>2.0</v>
      </c>
      <c r="AM7" s="24">
        <v>2.0</v>
      </c>
      <c r="AN7" s="24">
        <v>4.0</v>
      </c>
      <c r="AO7" s="24">
        <v>4.0</v>
      </c>
      <c r="AP7" s="29">
        <f t="shared" si="1"/>
        <v>119</v>
      </c>
      <c r="AQ7" s="30">
        <f t="shared" si="2"/>
        <v>-0.1411723288</v>
      </c>
    </row>
    <row r="8">
      <c r="A8" s="24" t="s">
        <v>57</v>
      </c>
      <c r="B8" s="24">
        <v>3.0</v>
      </c>
      <c r="C8" s="24">
        <v>4.0</v>
      </c>
      <c r="D8" s="24">
        <v>4.0</v>
      </c>
      <c r="E8" s="24">
        <v>2.0</v>
      </c>
      <c r="F8" s="24">
        <v>4.0</v>
      </c>
      <c r="G8" s="24">
        <v>3.0</v>
      </c>
      <c r="H8" s="28">
        <v>1.0</v>
      </c>
      <c r="I8" s="24">
        <v>3.0</v>
      </c>
      <c r="J8" s="24">
        <v>3.0</v>
      </c>
      <c r="K8" s="24">
        <v>4.0</v>
      </c>
      <c r="L8" s="24">
        <v>2.0</v>
      </c>
      <c r="M8" s="24">
        <v>3.0</v>
      </c>
      <c r="N8" s="24">
        <v>4.0</v>
      </c>
      <c r="O8" s="24">
        <v>4.0</v>
      </c>
      <c r="P8" s="24">
        <v>2.0</v>
      </c>
      <c r="Q8" s="24">
        <v>2.0</v>
      </c>
      <c r="R8" s="24">
        <v>3.0</v>
      </c>
      <c r="S8" s="24">
        <v>5.0</v>
      </c>
      <c r="T8" s="24">
        <v>4.0</v>
      </c>
      <c r="U8" s="24">
        <v>4.0</v>
      </c>
      <c r="V8" s="24">
        <v>5.0</v>
      </c>
      <c r="W8" s="24">
        <v>5.0</v>
      </c>
      <c r="X8" s="24">
        <v>2.0</v>
      </c>
      <c r="Y8" s="24">
        <v>2.0</v>
      </c>
      <c r="Z8" s="24">
        <v>3.0</v>
      </c>
      <c r="AA8" s="24">
        <v>5.0</v>
      </c>
      <c r="AB8" s="24">
        <v>4.0</v>
      </c>
      <c r="AC8" s="24">
        <v>5.0</v>
      </c>
      <c r="AD8" s="24">
        <v>4.0</v>
      </c>
      <c r="AE8" s="24">
        <v>3.0</v>
      </c>
      <c r="AF8" s="24">
        <v>2.0</v>
      </c>
      <c r="AG8" s="24">
        <v>4.0</v>
      </c>
      <c r="AH8" s="24">
        <v>4.0</v>
      </c>
      <c r="AI8" s="24">
        <v>5.0</v>
      </c>
      <c r="AJ8" s="24">
        <v>4.0</v>
      </c>
      <c r="AK8" s="24">
        <v>5.0</v>
      </c>
      <c r="AL8" s="24">
        <v>2.0</v>
      </c>
      <c r="AM8" s="24">
        <v>3.0</v>
      </c>
      <c r="AN8" s="24">
        <v>4.0</v>
      </c>
      <c r="AO8" s="24">
        <v>4.0</v>
      </c>
      <c r="AP8" s="29">
        <f t="shared" si="1"/>
        <v>139</v>
      </c>
      <c r="AQ8" s="30">
        <f t="shared" si="2"/>
        <v>0.003168456258</v>
      </c>
    </row>
    <row r="9">
      <c r="A9" s="24" t="s">
        <v>58</v>
      </c>
      <c r="B9" s="24">
        <v>1.0</v>
      </c>
      <c r="C9" s="24">
        <v>5.0</v>
      </c>
      <c r="D9" s="24">
        <v>4.0</v>
      </c>
      <c r="E9" s="24">
        <v>2.0</v>
      </c>
      <c r="F9" s="24">
        <v>2.0</v>
      </c>
      <c r="G9" s="24">
        <v>4.0</v>
      </c>
      <c r="H9" s="24">
        <v>2.0</v>
      </c>
      <c r="I9" s="28">
        <v>1.0</v>
      </c>
      <c r="J9" s="24">
        <v>4.0</v>
      </c>
      <c r="K9" s="24">
        <v>3.0</v>
      </c>
      <c r="L9" s="24">
        <v>3.0</v>
      </c>
      <c r="M9" s="24">
        <v>2.0</v>
      </c>
      <c r="N9" s="24">
        <v>3.0</v>
      </c>
      <c r="O9" s="24">
        <v>5.0</v>
      </c>
      <c r="P9" s="24">
        <v>2.0</v>
      </c>
      <c r="Q9" s="24">
        <v>2.0</v>
      </c>
      <c r="R9" s="24">
        <v>3.0</v>
      </c>
      <c r="S9" s="24">
        <v>3.0</v>
      </c>
      <c r="T9" s="24">
        <v>3.0</v>
      </c>
      <c r="U9" s="24">
        <v>3.0</v>
      </c>
      <c r="V9" s="24">
        <v>5.0</v>
      </c>
      <c r="W9" s="24">
        <v>4.0</v>
      </c>
      <c r="X9" s="24">
        <v>2.0</v>
      </c>
      <c r="Y9" s="24">
        <v>3.0</v>
      </c>
      <c r="Z9" s="24">
        <v>2.0</v>
      </c>
      <c r="AA9" s="24">
        <v>5.0</v>
      </c>
      <c r="AB9" s="24">
        <v>4.0</v>
      </c>
      <c r="AC9" s="24">
        <v>4.0</v>
      </c>
      <c r="AD9" s="24">
        <v>4.0</v>
      </c>
      <c r="AE9" s="24">
        <v>3.0</v>
      </c>
      <c r="AF9" s="24">
        <v>2.0</v>
      </c>
      <c r="AG9" s="24">
        <v>3.0</v>
      </c>
      <c r="AH9" s="24">
        <v>4.0</v>
      </c>
      <c r="AI9" s="24">
        <v>5.0</v>
      </c>
      <c r="AJ9" s="24">
        <v>2.0</v>
      </c>
      <c r="AK9" s="24">
        <v>4.0</v>
      </c>
      <c r="AL9" s="24">
        <v>4.0</v>
      </c>
      <c r="AM9" s="24">
        <v>3.0</v>
      </c>
      <c r="AN9" s="24">
        <v>3.0</v>
      </c>
      <c r="AO9" s="24">
        <v>5.0</v>
      </c>
      <c r="AP9" s="29">
        <f t="shared" si="1"/>
        <v>128</v>
      </c>
      <c r="AQ9" s="30">
        <f t="shared" si="2"/>
        <v>-0.07621897553</v>
      </c>
    </row>
    <row r="10">
      <c r="A10" s="24" t="s">
        <v>59</v>
      </c>
      <c r="B10" s="24">
        <v>3.0</v>
      </c>
      <c r="C10" s="24">
        <v>2.0</v>
      </c>
      <c r="D10" s="24">
        <v>4.0</v>
      </c>
      <c r="E10" s="24">
        <v>2.0</v>
      </c>
      <c r="F10" s="24">
        <v>4.0</v>
      </c>
      <c r="G10" s="24">
        <v>4.0</v>
      </c>
      <c r="H10" s="24">
        <v>3.0</v>
      </c>
      <c r="I10" s="24">
        <v>3.0</v>
      </c>
      <c r="J10" s="28">
        <v>1.0</v>
      </c>
      <c r="K10" s="24">
        <v>4.0</v>
      </c>
      <c r="L10" s="24">
        <v>3.0</v>
      </c>
      <c r="M10" s="24">
        <v>3.0</v>
      </c>
      <c r="N10" s="24">
        <v>4.0</v>
      </c>
      <c r="O10" s="24">
        <v>2.0</v>
      </c>
      <c r="P10" s="24">
        <v>3.0</v>
      </c>
      <c r="Q10" s="24">
        <v>2.0</v>
      </c>
      <c r="R10" s="24">
        <v>4.0</v>
      </c>
      <c r="S10" s="24">
        <v>5.0</v>
      </c>
      <c r="T10" s="24">
        <v>5.0</v>
      </c>
      <c r="U10" s="24">
        <v>4.0</v>
      </c>
      <c r="V10" s="24">
        <v>5.0</v>
      </c>
      <c r="W10" s="24">
        <v>5.0</v>
      </c>
      <c r="X10" s="24">
        <v>2.0</v>
      </c>
      <c r="Y10" s="24">
        <v>3.0</v>
      </c>
      <c r="Z10" s="24">
        <v>3.0</v>
      </c>
      <c r="AA10" s="24">
        <v>3.0</v>
      </c>
      <c r="AB10" s="24">
        <v>4.0</v>
      </c>
      <c r="AC10" s="24">
        <v>5.0</v>
      </c>
      <c r="AD10" s="24">
        <v>3.0</v>
      </c>
      <c r="AE10" s="24">
        <v>4.0</v>
      </c>
      <c r="AF10" s="24">
        <v>5.0</v>
      </c>
      <c r="AG10" s="24">
        <v>3.0</v>
      </c>
      <c r="AH10" s="24">
        <v>4.0</v>
      </c>
      <c r="AI10" s="24">
        <v>4.0</v>
      </c>
      <c r="AJ10" s="24">
        <v>3.0</v>
      </c>
      <c r="AK10" s="24">
        <v>5.0</v>
      </c>
      <c r="AL10" s="24">
        <v>2.0</v>
      </c>
      <c r="AM10" s="24">
        <v>3.0</v>
      </c>
      <c r="AN10" s="24">
        <v>4.0</v>
      </c>
      <c r="AO10" s="24">
        <v>5.0</v>
      </c>
      <c r="AP10" s="29">
        <f t="shared" si="1"/>
        <v>140</v>
      </c>
      <c r="AQ10" s="30">
        <f t="shared" si="2"/>
        <v>0.01038549551</v>
      </c>
    </row>
    <row r="11">
      <c r="A11" s="24" t="s">
        <v>60</v>
      </c>
      <c r="B11" s="24">
        <v>3.0</v>
      </c>
      <c r="C11" s="24">
        <v>5.0</v>
      </c>
      <c r="D11" s="24">
        <v>4.0</v>
      </c>
      <c r="E11" s="24">
        <v>3.0</v>
      </c>
      <c r="F11" s="24">
        <v>4.0</v>
      </c>
      <c r="G11" s="24">
        <v>4.0</v>
      </c>
      <c r="H11" s="24">
        <v>5.0</v>
      </c>
      <c r="I11" s="24">
        <v>4.0</v>
      </c>
      <c r="J11" s="24">
        <v>4.0</v>
      </c>
      <c r="K11" s="28">
        <v>1.0</v>
      </c>
      <c r="L11" s="24">
        <v>4.0</v>
      </c>
      <c r="M11" s="24">
        <v>3.0</v>
      </c>
      <c r="N11" s="24">
        <v>4.0</v>
      </c>
      <c r="O11" s="24">
        <v>5.0</v>
      </c>
      <c r="P11" s="24">
        <v>3.0</v>
      </c>
      <c r="Q11" s="24">
        <v>3.0</v>
      </c>
      <c r="R11" s="24">
        <v>3.0</v>
      </c>
      <c r="S11" s="24">
        <v>5.0</v>
      </c>
      <c r="T11" s="24">
        <v>4.0</v>
      </c>
      <c r="U11" s="24">
        <v>4.0</v>
      </c>
      <c r="V11" s="24">
        <v>5.0</v>
      </c>
      <c r="W11" s="24">
        <v>5.0</v>
      </c>
      <c r="X11" s="24">
        <v>2.0</v>
      </c>
      <c r="Y11" s="24">
        <v>2.0</v>
      </c>
      <c r="Z11" s="24">
        <v>3.0</v>
      </c>
      <c r="AA11" s="24">
        <v>5.0</v>
      </c>
      <c r="AB11" s="24">
        <v>4.0</v>
      </c>
      <c r="AC11" s="24">
        <v>5.0</v>
      </c>
      <c r="AD11" s="24">
        <v>4.0</v>
      </c>
      <c r="AE11" s="24">
        <v>4.0</v>
      </c>
      <c r="AF11" s="24">
        <v>4.0</v>
      </c>
      <c r="AG11" s="24">
        <v>3.0</v>
      </c>
      <c r="AH11" s="24">
        <v>3.0</v>
      </c>
      <c r="AI11" s="24">
        <v>5.0</v>
      </c>
      <c r="AJ11" s="24">
        <v>4.0</v>
      </c>
      <c r="AK11" s="24">
        <v>5.0</v>
      </c>
      <c r="AL11" s="24">
        <v>3.0</v>
      </c>
      <c r="AM11" s="24">
        <v>4.0</v>
      </c>
      <c r="AN11" s="24">
        <v>5.0</v>
      </c>
      <c r="AO11" s="24">
        <v>5.0</v>
      </c>
      <c r="AP11" s="29">
        <f t="shared" si="1"/>
        <v>155</v>
      </c>
      <c r="AQ11" s="30">
        <f t="shared" si="2"/>
        <v>0.1186410843</v>
      </c>
    </row>
    <row r="12">
      <c r="A12" s="31" t="s">
        <v>61</v>
      </c>
      <c r="B12" s="24">
        <v>3.0</v>
      </c>
      <c r="C12" s="24">
        <v>2.0</v>
      </c>
      <c r="D12" s="24">
        <v>3.0</v>
      </c>
      <c r="E12" s="24">
        <v>3.0</v>
      </c>
      <c r="F12" s="24">
        <v>2.0</v>
      </c>
      <c r="G12" s="24">
        <v>5.0</v>
      </c>
      <c r="H12" s="24">
        <v>5.0</v>
      </c>
      <c r="I12" s="24">
        <v>4.0</v>
      </c>
      <c r="J12" s="24">
        <v>2.0</v>
      </c>
      <c r="K12" s="24">
        <v>3.0</v>
      </c>
      <c r="L12" s="24">
        <v>4.0</v>
      </c>
      <c r="M12" s="24">
        <v>2.0</v>
      </c>
      <c r="N12" s="24">
        <v>2.0</v>
      </c>
      <c r="O12" s="24">
        <v>2.0</v>
      </c>
      <c r="P12" s="24">
        <v>2.0</v>
      </c>
      <c r="Q12" s="24">
        <v>3.0</v>
      </c>
      <c r="R12" s="24">
        <v>3.0</v>
      </c>
      <c r="S12" s="24">
        <v>2.0</v>
      </c>
      <c r="T12" s="24">
        <v>3.0</v>
      </c>
      <c r="U12" s="24">
        <v>2.0</v>
      </c>
      <c r="V12" s="24">
        <v>2.0</v>
      </c>
      <c r="W12" s="24">
        <v>4.0</v>
      </c>
      <c r="X12" s="24">
        <v>2.0</v>
      </c>
      <c r="Y12" s="24">
        <v>2.0</v>
      </c>
      <c r="Z12" s="24">
        <v>2.0</v>
      </c>
      <c r="AA12" s="24">
        <v>3.0</v>
      </c>
      <c r="AB12" s="24">
        <v>3.0</v>
      </c>
      <c r="AC12" s="24">
        <v>2.0</v>
      </c>
      <c r="AD12" s="24">
        <v>4.0</v>
      </c>
      <c r="AE12" s="24">
        <v>2.0</v>
      </c>
      <c r="AF12" s="24">
        <v>3.0</v>
      </c>
      <c r="AG12" s="24">
        <v>3.0</v>
      </c>
      <c r="AH12" s="24">
        <v>3.0</v>
      </c>
      <c r="AI12" s="24">
        <v>4.0</v>
      </c>
      <c r="AJ12" s="24">
        <v>3.0</v>
      </c>
      <c r="AK12" s="24">
        <v>2.0</v>
      </c>
      <c r="AL12" s="24">
        <v>3.0</v>
      </c>
      <c r="AM12" s="24">
        <v>3.0</v>
      </c>
      <c r="AN12" s="24">
        <v>3.0</v>
      </c>
      <c r="AO12" s="24">
        <v>3.0</v>
      </c>
      <c r="AP12" s="29">
        <f t="shared" si="1"/>
        <v>113</v>
      </c>
      <c r="AQ12" s="30">
        <f t="shared" si="2"/>
        <v>-0.1844745643</v>
      </c>
    </row>
    <row r="13">
      <c r="A13" s="24" t="s">
        <v>62</v>
      </c>
      <c r="B13" s="24">
        <v>1.0</v>
      </c>
      <c r="C13" s="24">
        <v>1.0</v>
      </c>
      <c r="D13" s="24">
        <v>4.0</v>
      </c>
      <c r="E13" s="24">
        <v>2.0</v>
      </c>
      <c r="F13" s="24">
        <v>1.0</v>
      </c>
      <c r="G13" s="24">
        <v>1.0</v>
      </c>
      <c r="H13" s="24">
        <v>1.0</v>
      </c>
      <c r="I13" s="24">
        <v>1.0</v>
      </c>
      <c r="J13" s="24">
        <v>1.0</v>
      </c>
      <c r="K13" s="24">
        <v>2.0</v>
      </c>
      <c r="L13" s="28">
        <v>1.0</v>
      </c>
      <c r="M13" s="24">
        <v>1.0</v>
      </c>
      <c r="N13" s="24">
        <v>3.0</v>
      </c>
      <c r="O13" s="24">
        <v>2.0</v>
      </c>
      <c r="P13" s="24">
        <v>3.0</v>
      </c>
      <c r="Q13" s="24">
        <v>1.0</v>
      </c>
      <c r="R13" s="24">
        <v>4.0</v>
      </c>
      <c r="S13" s="24">
        <v>3.0</v>
      </c>
      <c r="T13" s="24">
        <v>3.0</v>
      </c>
      <c r="U13" s="24">
        <v>4.0</v>
      </c>
      <c r="V13" s="24">
        <v>2.0</v>
      </c>
      <c r="W13" s="24">
        <v>1.0</v>
      </c>
      <c r="X13" s="24">
        <v>1.0</v>
      </c>
      <c r="Y13" s="24">
        <v>3.0</v>
      </c>
      <c r="Z13" s="24">
        <v>1.0</v>
      </c>
      <c r="AA13" s="24">
        <v>2.0</v>
      </c>
      <c r="AB13" s="24">
        <v>4.0</v>
      </c>
      <c r="AC13" s="24">
        <v>5.0</v>
      </c>
      <c r="AD13" s="24">
        <v>4.0</v>
      </c>
      <c r="AE13" s="24">
        <v>2.0</v>
      </c>
      <c r="AF13" s="24">
        <v>2.0</v>
      </c>
      <c r="AG13" s="24">
        <v>1.0</v>
      </c>
      <c r="AH13" s="24">
        <v>2.0</v>
      </c>
      <c r="AI13" s="24">
        <v>1.0</v>
      </c>
      <c r="AJ13" s="24">
        <v>2.0</v>
      </c>
      <c r="AK13" s="24">
        <v>1.0</v>
      </c>
      <c r="AL13" s="24">
        <v>1.0</v>
      </c>
      <c r="AM13" s="24">
        <v>3.0</v>
      </c>
      <c r="AN13" s="24">
        <v>3.0</v>
      </c>
      <c r="AO13" s="24">
        <v>2.0</v>
      </c>
      <c r="AP13" s="29">
        <f t="shared" si="1"/>
        <v>83</v>
      </c>
      <c r="AQ13" s="30">
        <f t="shared" si="2"/>
        <v>-0.4009857419</v>
      </c>
    </row>
    <row r="14">
      <c r="A14" s="24" t="s">
        <v>63</v>
      </c>
      <c r="B14" s="24">
        <v>2.0</v>
      </c>
      <c r="C14" s="24">
        <v>5.0</v>
      </c>
      <c r="D14" s="24">
        <v>2.0</v>
      </c>
      <c r="E14" s="24">
        <v>2.0</v>
      </c>
      <c r="F14" s="24">
        <v>3.0</v>
      </c>
      <c r="G14" s="24">
        <v>3.0</v>
      </c>
      <c r="H14" s="24">
        <v>4.0</v>
      </c>
      <c r="I14" s="24">
        <v>5.0</v>
      </c>
      <c r="J14" s="24">
        <v>4.0</v>
      </c>
      <c r="K14" s="24">
        <v>5.0</v>
      </c>
      <c r="L14" s="24">
        <v>3.0</v>
      </c>
      <c r="M14" s="28">
        <v>1.0</v>
      </c>
      <c r="N14" s="24">
        <v>5.0</v>
      </c>
      <c r="O14" s="24">
        <v>2.0</v>
      </c>
      <c r="P14" s="24">
        <v>2.0</v>
      </c>
      <c r="Q14" s="24">
        <v>3.0</v>
      </c>
      <c r="R14" s="24">
        <v>3.0</v>
      </c>
      <c r="S14" s="24">
        <v>4.0</v>
      </c>
      <c r="T14" s="24">
        <v>4.0</v>
      </c>
      <c r="U14" s="24">
        <v>5.0</v>
      </c>
      <c r="V14" s="24">
        <v>5.0</v>
      </c>
      <c r="W14" s="24">
        <v>5.0</v>
      </c>
      <c r="X14" s="24">
        <v>4.0</v>
      </c>
      <c r="Y14" s="24">
        <v>2.0</v>
      </c>
      <c r="Z14" s="24">
        <v>5.0</v>
      </c>
      <c r="AA14" s="24">
        <v>5.0</v>
      </c>
      <c r="AB14" s="24">
        <v>3.0</v>
      </c>
      <c r="AC14" s="24">
        <v>5.0</v>
      </c>
      <c r="AD14" s="24">
        <v>3.0</v>
      </c>
      <c r="AE14" s="24">
        <v>3.0</v>
      </c>
      <c r="AF14" s="24">
        <v>2.0</v>
      </c>
      <c r="AG14" s="24">
        <v>3.0</v>
      </c>
      <c r="AH14" s="24">
        <v>4.0</v>
      </c>
      <c r="AI14" s="24">
        <v>4.0</v>
      </c>
      <c r="AJ14" s="24">
        <v>5.0</v>
      </c>
      <c r="AK14" s="24">
        <v>3.0</v>
      </c>
      <c r="AL14" s="24">
        <v>2.0</v>
      </c>
      <c r="AM14" s="24">
        <v>4.0</v>
      </c>
      <c r="AN14" s="24">
        <v>5.0</v>
      </c>
      <c r="AO14" s="24">
        <v>3.0</v>
      </c>
      <c r="AP14" s="29">
        <f t="shared" si="1"/>
        <v>142</v>
      </c>
      <c r="AQ14" s="30">
        <f t="shared" si="2"/>
        <v>0.02481957402</v>
      </c>
    </row>
    <row r="15">
      <c r="A15" s="24" t="s">
        <v>64</v>
      </c>
      <c r="B15" s="24">
        <v>3.0</v>
      </c>
      <c r="C15" s="24">
        <v>5.0</v>
      </c>
      <c r="D15" s="24">
        <v>4.0</v>
      </c>
      <c r="E15" s="24">
        <v>3.0</v>
      </c>
      <c r="F15" s="24">
        <v>5.0</v>
      </c>
      <c r="G15" s="24">
        <v>4.0</v>
      </c>
      <c r="H15" s="24">
        <v>5.0</v>
      </c>
      <c r="I15" s="24">
        <v>4.0</v>
      </c>
      <c r="J15" s="24">
        <v>4.0</v>
      </c>
      <c r="K15" s="24">
        <v>4.0</v>
      </c>
      <c r="L15" s="24">
        <v>4.0</v>
      </c>
      <c r="M15" s="24">
        <v>4.0</v>
      </c>
      <c r="N15" s="28">
        <v>1.0</v>
      </c>
      <c r="O15" s="24">
        <v>4.0</v>
      </c>
      <c r="P15" s="24">
        <v>4.0</v>
      </c>
      <c r="Q15" s="24">
        <v>3.0</v>
      </c>
      <c r="R15" s="24">
        <v>4.0</v>
      </c>
      <c r="S15" s="24">
        <v>5.0</v>
      </c>
      <c r="T15" s="24">
        <v>5.0</v>
      </c>
      <c r="U15" s="24">
        <v>4.0</v>
      </c>
      <c r="V15" s="24">
        <v>5.0</v>
      </c>
      <c r="W15" s="24">
        <v>5.0</v>
      </c>
      <c r="X15" s="24">
        <v>4.0</v>
      </c>
      <c r="Y15" s="24">
        <v>3.0</v>
      </c>
      <c r="Z15" s="24">
        <v>5.0</v>
      </c>
      <c r="AA15" s="24">
        <v>5.0</v>
      </c>
      <c r="AB15" s="24">
        <v>5.0</v>
      </c>
      <c r="AC15" s="24">
        <v>5.0</v>
      </c>
      <c r="AD15" s="24">
        <v>5.0</v>
      </c>
      <c r="AE15" s="24">
        <v>5.0</v>
      </c>
      <c r="AF15" s="24">
        <v>4.0</v>
      </c>
      <c r="AG15" s="24">
        <v>5.0</v>
      </c>
      <c r="AH15" s="24">
        <v>4.0</v>
      </c>
      <c r="AI15" s="24">
        <v>4.0</v>
      </c>
      <c r="AJ15" s="24">
        <v>5.0</v>
      </c>
      <c r="AK15" s="24">
        <v>4.0</v>
      </c>
      <c r="AL15" s="24">
        <v>3.0</v>
      </c>
      <c r="AM15" s="24">
        <v>3.0</v>
      </c>
      <c r="AN15" s="24">
        <v>5.0</v>
      </c>
      <c r="AO15" s="24">
        <v>4.0</v>
      </c>
      <c r="AP15" s="29">
        <f t="shared" si="1"/>
        <v>167</v>
      </c>
      <c r="AQ15" s="30">
        <f t="shared" si="2"/>
        <v>0.2052455554</v>
      </c>
    </row>
    <row r="16">
      <c r="A16" s="24" t="s">
        <v>65</v>
      </c>
      <c r="B16" s="24">
        <v>4.0</v>
      </c>
      <c r="C16" s="24">
        <v>3.0</v>
      </c>
      <c r="D16" s="24">
        <v>3.0</v>
      </c>
      <c r="E16" s="24">
        <v>3.0</v>
      </c>
      <c r="F16" s="24">
        <v>4.0</v>
      </c>
      <c r="G16" s="24">
        <v>4.0</v>
      </c>
      <c r="H16" s="24">
        <v>5.0</v>
      </c>
      <c r="I16" s="24">
        <v>3.0</v>
      </c>
      <c r="J16" s="24">
        <v>3.0</v>
      </c>
      <c r="K16" s="24">
        <v>3.0</v>
      </c>
      <c r="L16" s="24">
        <v>3.0</v>
      </c>
      <c r="M16" s="24">
        <v>4.0</v>
      </c>
      <c r="N16" s="24">
        <v>4.0</v>
      </c>
      <c r="O16" s="24">
        <v>3.0</v>
      </c>
      <c r="P16" s="28">
        <v>1.0</v>
      </c>
      <c r="Q16" s="24">
        <v>3.0</v>
      </c>
      <c r="R16" s="24">
        <v>4.0</v>
      </c>
      <c r="S16" s="24">
        <v>4.0</v>
      </c>
      <c r="T16" s="24">
        <v>4.0</v>
      </c>
      <c r="U16" s="24">
        <v>4.0</v>
      </c>
      <c r="V16" s="24">
        <v>5.0</v>
      </c>
      <c r="W16" s="24">
        <v>4.0</v>
      </c>
      <c r="X16" s="24">
        <v>3.0</v>
      </c>
      <c r="Y16" s="24">
        <v>3.0</v>
      </c>
      <c r="Z16" s="24">
        <v>3.0</v>
      </c>
      <c r="AA16" s="24">
        <v>3.0</v>
      </c>
      <c r="AB16" s="24">
        <v>4.0</v>
      </c>
      <c r="AC16" s="24">
        <v>5.0</v>
      </c>
      <c r="AD16" s="24">
        <v>5.0</v>
      </c>
      <c r="AE16" s="24">
        <v>4.0</v>
      </c>
      <c r="AF16" s="24">
        <v>3.0</v>
      </c>
      <c r="AG16" s="24">
        <v>3.0</v>
      </c>
      <c r="AH16" s="24">
        <v>4.0</v>
      </c>
      <c r="AI16" s="24">
        <v>5.0</v>
      </c>
      <c r="AJ16" s="24">
        <v>4.0</v>
      </c>
      <c r="AK16" s="24">
        <v>3.0</v>
      </c>
      <c r="AL16" s="24">
        <v>3.0</v>
      </c>
      <c r="AM16" s="24">
        <v>3.0</v>
      </c>
      <c r="AN16" s="24">
        <v>5.0</v>
      </c>
      <c r="AO16" s="24">
        <v>3.0</v>
      </c>
      <c r="AP16" s="29">
        <f t="shared" si="1"/>
        <v>144</v>
      </c>
      <c r="AQ16" s="30">
        <f t="shared" si="2"/>
        <v>0.03925365253</v>
      </c>
    </row>
    <row r="17">
      <c r="A17" s="24" t="s">
        <v>66</v>
      </c>
      <c r="B17" s="24">
        <v>4.0</v>
      </c>
      <c r="C17" s="24">
        <v>4.0</v>
      </c>
      <c r="D17" s="24">
        <v>3.0</v>
      </c>
      <c r="E17" s="24">
        <v>3.0</v>
      </c>
      <c r="F17" s="24">
        <v>4.0</v>
      </c>
      <c r="G17" s="24">
        <v>2.0</v>
      </c>
      <c r="H17" s="24">
        <v>3.0</v>
      </c>
      <c r="I17" s="24">
        <v>1.0</v>
      </c>
      <c r="J17" s="24">
        <v>3.0</v>
      </c>
      <c r="K17" s="24">
        <v>3.0</v>
      </c>
      <c r="L17" s="24">
        <v>2.0</v>
      </c>
      <c r="M17" s="24">
        <v>4.0</v>
      </c>
      <c r="N17" s="24">
        <v>3.0</v>
      </c>
      <c r="O17" s="24">
        <v>2.0</v>
      </c>
      <c r="P17" s="24">
        <v>4.0</v>
      </c>
      <c r="Q17" s="28">
        <v>1.0</v>
      </c>
      <c r="R17" s="24">
        <v>3.0</v>
      </c>
      <c r="S17" s="24">
        <v>3.0</v>
      </c>
      <c r="T17" s="24">
        <v>3.0</v>
      </c>
      <c r="U17" s="24">
        <v>4.0</v>
      </c>
      <c r="V17" s="24">
        <v>2.0</v>
      </c>
      <c r="W17" s="24">
        <v>3.0</v>
      </c>
      <c r="X17" s="24">
        <v>2.0</v>
      </c>
      <c r="Y17" s="24">
        <v>2.0</v>
      </c>
      <c r="Z17" s="24">
        <v>4.0</v>
      </c>
      <c r="AA17" s="24">
        <v>4.0</v>
      </c>
      <c r="AB17" s="24">
        <v>4.0</v>
      </c>
      <c r="AC17" s="24">
        <v>4.0</v>
      </c>
      <c r="AD17" s="24">
        <v>4.0</v>
      </c>
      <c r="AE17" s="24">
        <v>2.0</v>
      </c>
      <c r="AF17" s="24">
        <v>4.0</v>
      </c>
      <c r="AG17" s="24">
        <v>3.0</v>
      </c>
      <c r="AH17" s="24">
        <v>5.0</v>
      </c>
      <c r="AI17" s="24">
        <v>3.0</v>
      </c>
      <c r="AJ17" s="24">
        <v>5.0</v>
      </c>
      <c r="AK17" s="24">
        <v>2.0</v>
      </c>
      <c r="AL17" s="24">
        <v>2.0</v>
      </c>
      <c r="AM17" s="24">
        <v>2.0</v>
      </c>
      <c r="AN17" s="24">
        <v>4.0</v>
      </c>
      <c r="AO17" s="24">
        <v>3.0</v>
      </c>
      <c r="AP17" s="29">
        <f t="shared" si="1"/>
        <v>123</v>
      </c>
      <c r="AQ17" s="30">
        <f t="shared" si="2"/>
        <v>-0.1123041718</v>
      </c>
    </row>
    <row r="18">
      <c r="A18" s="24" t="s">
        <v>67</v>
      </c>
      <c r="B18" s="24">
        <v>3.0</v>
      </c>
      <c r="C18" s="24">
        <v>4.0</v>
      </c>
      <c r="D18" s="24">
        <v>3.0</v>
      </c>
      <c r="E18" s="24">
        <v>3.0</v>
      </c>
      <c r="F18" s="24">
        <v>5.0</v>
      </c>
      <c r="G18" s="24">
        <v>3.0</v>
      </c>
      <c r="H18" s="24">
        <v>4.0</v>
      </c>
      <c r="I18" s="24">
        <v>3.0</v>
      </c>
      <c r="J18" s="24">
        <v>4.0</v>
      </c>
      <c r="K18" s="24">
        <v>3.0</v>
      </c>
      <c r="L18" s="24">
        <v>3.0</v>
      </c>
      <c r="M18" s="24">
        <v>3.0</v>
      </c>
      <c r="N18" s="24">
        <v>4.0</v>
      </c>
      <c r="O18" s="24">
        <v>4.0</v>
      </c>
      <c r="P18" s="24">
        <v>3.0</v>
      </c>
      <c r="Q18" s="24">
        <v>3.0</v>
      </c>
      <c r="R18" s="28">
        <v>1.0</v>
      </c>
      <c r="S18" s="24">
        <v>5.0</v>
      </c>
      <c r="T18" s="24">
        <v>4.0</v>
      </c>
      <c r="U18" s="24">
        <v>4.0</v>
      </c>
      <c r="V18" s="24">
        <v>4.0</v>
      </c>
      <c r="W18" s="24">
        <v>5.0</v>
      </c>
      <c r="X18" s="24">
        <v>3.0</v>
      </c>
      <c r="Y18" s="24">
        <v>2.0</v>
      </c>
      <c r="Z18" s="24">
        <v>3.0</v>
      </c>
      <c r="AA18" s="24">
        <v>5.0</v>
      </c>
      <c r="AB18" s="24">
        <v>4.0</v>
      </c>
      <c r="AC18" s="24">
        <v>5.0</v>
      </c>
      <c r="AD18" s="24">
        <v>5.0</v>
      </c>
      <c r="AE18" s="24">
        <v>5.0</v>
      </c>
      <c r="AF18" s="24">
        <v>3.0</v>
      </c>
      <c r="AG18" s="24">
        <v>3.0</v>
      </c>
      <c r="AH18" s="24">
        <v>3.0</v>
      </c>
      <c r="AI18" s="24">
        <v>5.0</v>
      </c>
      <c r="AJ18" s="24">
        <v>5.0</v>
      </c>
      <c r="AK18" s="24">
        <v>5.0</v>
      </c>
      <c r="AL18" s="24">
        <v>3.0</v>
      </c>
      <c r="AM18" s="24">
        <v>2.0</v>
      </c>
      <c r="AN18" s="24">
        <v>5.0</v>
      </c>
      <c r="AO18" s="24">
        <v>4.0</v>
      </c>
      <c r="AP18" s="29">
        <f t="shared" si="1"/>
        <v>148</v>
      </c>
      <c r="AQ18" s="30">
        <f t="shared" si="2"/>
        <v>0.06812180954</v>
      </c>
    </row>
    <row r="19">
      <c r="A19" s="24" t="s">
        <v>68</v>
      </c>
      <c r="B19" s="24">
        <v>3.0</v>
      </c>
      <c r="C19" s="24">
        <v>3.0</v>
      </c>
      <c r="D19" s="24">
        <v>2.0</v>
      </c>
      <c r="E19" s="24">
        <v>2.0</v>
      </c>
      <c r="F19" s="24">
        <v>3.0</v>
      </c>
      <c r="G19" s="24">
        <v>3.0</v>
      </c>
      <c r="H19" s="24">
        <v>2.0</v>
      </c>
      <c r="I19" s="24">
        <v>2.0</v>
      </c>
      <c r="J19" s="24">
        <v>2.0</v>
      </c>
      <c r="K19" s="24">
        <v>3.0</v>
      </c>
      <c r="L19" s="24">
        <v>2.0</v>
      </c>
      <c r="M19" s="24">
        <v>2.0</v>
      </c>
      <c r="N19" s="24">
        <v>3.0</v>
      </c>
      <c r="O19" s="24">
        <v>4.0</v>
      </c>
      <c r="P19" s="24">
        <v>3.0</v>
      </c>
      <c r="Q19" s="24">
        <v>2.0</v>
      </c>
      <c r="R19" s="24">
        <v>3.0</v>
      </c>
      <c r="S19" s="28">
        <v>1.0</v>
      </c>
      <c r="T19" s="24">
        <v>4.0</v>
      </c>
      <c r="U19" s="24">
        <v>2.0</v>
      </c>
      <c r="V19" s="24">
        <v>5.0</v>
      </c>
      <c r="W19" s="24">
        <v>5.0</v>
      </c>
      <c r="X19" s="24">
        <v>2.0</v>
      </c>
      <c r="Y19" s="24">
        <v>2.0</v>
      </c>
      <c r="Z19" s="24">
        <v>3.0</v>
      </c>
      <c r="AA19" s="24">
        <v>2.0</v>
      </c>
      <c r="AB19" s="24">
        <v>3.0</v>
      </c>
      <c r="AC19" s="24">
        <v>5.0</v>
      </c>
      <c r="AD19" s="24">
        <v>3.0</v>
      </c>
      <c r="AE19" s="24">
        <v>3.0</v>
      </c>
      <c r="AF19" s="24">
        <v>2.0</v>
      </c>
      <c r="AG19" s="24">
        <v>3.0</v>
      </c>
      <c r="AH19" s="24">
        <v>2.0</v>
      </c>
      <c r="AI19" s="24">
        <v>5.0</v>
      </c>
      <c r="AJ19" s="24">
        <v>2.0</v>
      </c>
      <c r="AK19" s="24">
        <v>4.0</v>
      </c>
      <c r="AL19" s="24">
        <v>2.0</v>
      </c>
      <c r="AM19" s="24">
        <v>2.0</v>
      </c>
      <c r="AN19" s="24">
        <v>3.0</v>
      </c>
      <c r="AO19" s="24">
        <v>4.0</v>
      </c>
      <c r="AP19" s="29">
        <f t="shared" si="1"/>
        <v>113</v>
      </c>
      <c r="AQ19" s="30">
        <f t="shared" si="2"/>
        <v>-0.1844745643</v>
      </c>
    </row>
    <row r="20">
      <c r="A20" s="31" t="s">
        <v>69</v>
      </c>
      <c r="B20" s="24">
        <v>3.0</v>
      </c>
      <c r="C20" s="24">
        <v>4.0</v>
      </c>
      <c r="D20" s="24">
        <v>3.0</v>
      </c>
      <c r="E20" s="24">
        <v>2.0</v>
      </c>
      <c r="F20" s="24">
        <v>4.0</v>
      </c>
      <c r="G20" s="24">
        <v>4.0</v>
      </c>
      <c r="H20" s="24">
        <v>4.0</v>
      </c>
      <c r="I20" s="24">
        <v>3.0</v>
      </c>
      <c r="J20" s="24">
        <v>3.0</v>
      </c>
      <c r="K20" s="24">
        <v>3.0</v>
      </c>
      <c r="L20" s="24">
        <v>3.0</v>
      </c>
      <c r="M20" s="24">
        <v>3.0</v>
      </c>
      <c r="N20" s="24">
        <v>4.0</v>
      </c>
      <c r="O20" s="24">
        <v>4.0</v>
      </c>
      <c r="P20" s="24">
        <v>4.0</v>
      </c>
      <c r="Q20" s="24">
        <v>3.0</v>
      </c>
      <c r="R20" s="24">
        <v>3.0</v>
      </c>
      <c r="S20" s="24">
        <v>5.0</v>
      </c>
      <c r="T20" s="24">
        <v>4.0</v>
      </c>
      <c r="U20" s="24">
        <v>4.0</v>
      </c>
      <c r="V20" s="24">
        <v>4.0</v>
      </c>
      <c r="W20" s="24">
        <v>5.0</v>
      </c>
      <c r="X20" s="24">
        <v>3.0</v>
      </c>
      <c r="Y20" s="24">
        <v>3.0</v>
      </c>
      <c r="Z20" s="24">
        <v>3.0</v>
      </c>
      <c r="AA20" s="24">
        <v>4.0</v>
      </c>
      <c r="AB20" s="24">
        <v>5.0</v>
      </c>
      <c r="AC20" s="24">
        <v>5.0</v>
      </c>
      <c r="AD20" s="24">
        <v>4.0</v>
      </c>
      <c r="AE20" s="24">
        <v>4.0</v>
      </c>
      <c r="AF20" s="24">
        <v>4.0</v>
      </c>
      <c r="AG20" s="24">
        <v>5.0</v>
      </c>
      <c r="AH20" s="24">
        <v>4.0</v>
      </c>
      <c r="AI20" s="24">
        <v>5.0</v>
      </c>
      <c r="AJ20" s="24">
        <v>4.0</v>
      </c>
      <c r="AK20" s="24">
        <v>5.0</v>
      </c>
      <c r="AL20" s="24">
        <v>2.0</v>
      </c>
      <c r="AM20" s="24">
        <v>3.0</v>
      </c>
      <c r="AN20" s="24">
        <v>5.0</v>
      </c>
      <c r="AO20" s="24">
        <v>4.0</v>
      </c>
      <c r="AP20" s="29">
        <f t="shared" si="1"/>
        <v>151</v>
      </c>
      <c r="AQ20" s="30">
        <f t="shared" si="2"/>
        <v>0.0897729273</v>
      </c>
    </row>
    <row r="21">
      <c r="A21" s="24" t="s">
        <v>70</v>
      </c>
      <c r="B21" s="24">
        <v>3.0</v>
      </c>
      <c r="C21" s="24">
        <v>4.0</v>
      </c>
      <c r="D21" s="24">
        <v>3.0</v>
      </c>
      <c r="E21" s="24">
        <v>2.0</v>
      </c>
      <c r="F21" s="24">
        <v>3.0</v>
      </c>
      <c r="G21" s="24">
        <v>3.0</v>
      </c>
      <c r="H21" s="24">
        <v>4.0</v>
      </c>
      <c r="I21" s="24">
        <v>3.0</v>
      </c>
      <c r="J21" s="24">
        <v>4.0</v>
      </c>
      <c r="K21" s="24">
        <v>4.0</v>
      </c>
      <c r="L21" s="24">
        <v>3.0</v>
      </c>
      <c r="M21" s="24">
        <v>3.0</v>
      </c>
      <c r="N21" s="24">
        <v>5.0</v>
      </c>
      <c r="O21" s="24">
        <v>3.0</v>
      </c>
      <c r="P21" s="24">
        <v>3.0</v>
      </c>
      <c r="Q21" s="24">
        <v>2.0</v>
      </c>
      <c r="R21" s="24">
        <v>3.0</v>
      </c>
      <c r="S21" s="24">
        <v>5.0</v>
      </c>
      <c r="T21" s="28">
        <v>1.0</v>
      </c>
      <c r="U21" s="24">
        <v>4.0</v>
      </c>
      <c r="V21" s="24">
        <v>5.0</v>
      </c>
      <c r="W21" s="24">
        <v>5.0</v>
      </c>
      <c r="X21" s="24">
        <v>3.0</v>
      </c>
      <c r="Y21" s="24">
        <v>3.0</v>
      </c>
      <c r="Z21" s="24">
        <v>3.0</v>
      </c>
      <c r="AA21" s="24">
        <v>4.0</v>
      </c>
      <c r="AB21" s="24">
        <v>3.0</v>
      </c>
      <c r="AC21" s="24">
        <v>5.0</v>
      </c>
      <c r="AD21" s="24">
        <v>4.0</v>
      </c>
      <c r="AE21" s="24">
        <v>4.0</v>
      </c>
      <c r="AF21" s="24">
        <v>3.0</v>
      </c>
      <c r="AG21" s="24">
        <v>3.0</v>
      </c>
      <c r="AH21" s="24">
        <v>3.0</v>
      </c>
      <c r="AI21" s="24">
        <v>4.0</v>
      </c>
      <c r="AJ21" s="24">
        <v>4.0</v>
      </c>
      <c r="AK21" s="24">
        <v>4.0</v>
      </c>
      <c r="AL21" s="24">
        <v>3.0</v>
      </c>
      <c r="AM21" s="24">
        <v>2.0</v>
      </c>
      <c r="AN21" s="24">
        <v>5.0</v>
      </c>
      <c r="AO21" s="24">
        <v>4.0</v>
      </c>
      <c r="AP21" s="29">
        <f t="shared" si="1"/>
        <v>139</v>
      </c>
      <c r="AQ21" s="30">
        <f t="shared" si="2"/>
        <v>0.003168456258</v>
      </c>
    </row>
    <row r="22">
      <c r="A22" s="24" t="s">
        <v>71</v>
      </c>
      <c r="B22" s="24">
        <v>4.0</v>
      </c>
      <c r="C22" s="24">
        <v>5.0</v>
      </c>
      <c r="D22" s="24">
        <v>5.0</v>
      </c>
      <c r="E22" s="24">
        <v>4.0</v>
      </c>
      <c r="F22" s="24">
        <v>5.0</v>
      </c>
      <c r="G22" s="24">
        <v>4.0</v>
      </c>
      <c r="H22" s="24">
        <v>5.0</v>
      </c>
      <c r="I22" s="24">
        <v>5.0</v>
      </c>
      <c r="J22" s="24">
        <v>4.0</v>
      </c>
      <c r="K22" s="24">
        <v>5.0</v>
      </c>
      <c r="L22" s="24">
        <v>4.0</v>
      </c>
      <c r="M22" s="24">
        <v>4.0</v>
      </c>
      <c r="N22" s="24">
        <v>5.0</v>
      </c>
      <c r="O22" s="24">
        <v>5.0</v>
      </c>
      <c r="P22" s="24">
        <v>4.0</v>
      </c>
      <c r="Q22" s="24">
        <v>4.0</v>
      </c>
      <c r="R22" s="24">
        <v>4.0</v>
      </c>
      <c r="S22" s="24">
        <v>5.0</v>
      </c>
      <c r="T22" s="24">
        <v>5.0</v>
      </c>
      <c r="U22" s="28">
        <v>1.0</v>
      </c>
      <c r="V22" s="24">
        <v>5.0</v>
      </c>
      <c r="W22" s="24">
        <v>5.0</v>
      </c>
      <c r="X22" s="24">
        <v>4.0</v>
      </c>
      <c r="Y22" s="24">
        <v>4.0</v>
      </c>
      <c r="Z22" s="24">
        <v>4.0</v>
      </c>
      <c r="AA22" s="24">
        <v>4.0</v>
      </c>
      <c r="AB22" s="24">
        <v>4.0</v>
      </c>
      <c r="AC22" s="24">
        <v>5.0</v>
      </c>
      <c r="AD22" s="24">
        <v>4.0</v>
      </c>
      <c r="AE22" s="24">
        <v>5.0</v>
      </c>
      <c r="AF22" s="24">
        <v>4.0</v>
      </c>
      <c r="AG22" s="24">
        <v>5.0</v>
      </c>
      <c r="AH22" s="24">
        <v>4.0</v>
      </c>
      <c r="AI22" s="24">
        <v>5.0</v>
      </c>
      <c r="AJ22" s="24">
        <v>5.0</v>
      </c>
      <c r="AK22" s="24">
        <v>5.0</v>
      </c>
      <c r="AL22" s="24">
        <v>4.0</v>
      </c>
      <c r="AM22" s="24">
        <v>5.0</v>
      </c>
      <c r="AN22" s="24">
        <v>5.0</v>
      </c>
      <c r="AO22" s="24">
        <v>5.0</v>
      </c>
      <c r="AP22" s="29">
        <f t="shared" si="1"/>
        <v>178</v>
      </c>
      <c r="AQ22" s="30">
        <f t="shared" si="2"/>
        <v>0.2846329872</v>
      </c>
    </row>
    <row r="23">
      <c r="A23" s="31" t="s">
        <v>72</v>
      </c>
      <c r="B23" s="24">
        <v>3.0</v>
      </c>
      <c r="C23" s="24">
        <v>4.0</v>
      </c>
      <c r="D23" s="24">
        <v>5.0</v>
      </c>
      <c r="E23" s="24">
        <v>3.0</v>
      </c>
      <c r="F23" s="24">
        <v>4.0</v>
      </c>
      <c r="G23" s="24">
        <v>3.0</v>
      </c>
      <c r="H23" s="24">
        <v>3.0</v>
      </c>
      <c r="I23" s="24">
        <v>3.0</v>
      </c>
      <c r="J23" s="24">
        <v>3.0</v>
      </c>
      <c r="K23" s="24">
        <v>3.0</v>
      </c>
      <c r="L23" s="24">
        <v>3.0</v>
      </c>
      <c r="M23" s="24">
        <v>3.0</v>
      </c>
      <c r="N23" s="24">
        <v>3.0</v>
      </c>
      <c r="O23" s="24">
        <v>5.0</v>
      </c>
      <c r="P23" s="24">
        <v>3.0</v>
      </c>
      <c r="Q23" s="24">
        <v>3.0</v>
      </c>
      <c r="R23" s="24">
        <v>4.0</v>
      </c>
      <c r="S23" s="24">
        <v>5.0</v>
      </c>
      <c r="T23" s="24">
        <v>3.0</v>
      </c>
      <c r="U23" s="24">
        <v>4.0</v>
      </c>
      <c r="V23" s="24">
        <v>5.0</v>
      </c>
      <c r="W23" s="24">
        <v>4.0</v>
      </c>
      <c r="X23" s="24">
        <v>3.0</v>
      </c>
      <c r="Y23" s="24">
        <v>3.0</v>
      </c>
      <c r="Z23" s="24">
        <v>3.0</v>
      </c>
      <c r="AA23" s="24">
        <v>3.0</v>
      </c>
      <c r="AB23" s="24">
        <v>3.0</v>
      </c>
      <c r="AC23" s="24">
        <v>5.0</v>
      </c>
      <c r="AD23" s="24">
        <v>4.0</v>
      </c>
      <c r="AE23" s="24">
        <v>4.0</v>
      </c>
      <c r="AF23" s="24">
        <v>3.0</v>
      </c>
      <c r="AG23" s="24">
        <v>3.0</v>
      </c>
      <c r="AH23" s="24">
        <v>3.0</v>
      </c>
      <c r="AI23" s="24">
        <v>3.0</v>
      </c>
      <c r="AJ23" s="24">
        <v>3.0</v>
      </c>
      <c r="AK23" s="24">
        <v>4.0</v>
      </c>
      <c r="AL23" s="24">
        <v>3.0</v>
      </c>
      <c r="AM23" s="24">
        <v>3.0</v>
      </c>
      <c r="AN23" s="24">
        <v>4.0</v>
      </c>
      <c r="AO23" s="24">
        <v>5.0</v>
      </c>
      <c r="AP23" s="29">
        <f t="shared" si="1"/>
        <v>141</v>
      </c>
      <c r="AQ23" s="30">
        <f t="shared" si="2"/>
        <v>0.01760253477</v>
      </c>
    </row>
    <row r="24">
      <c r="A24" s="24" t="s">
        <v>73</v>
      </c>
      <c r="B24" s="24">
        <v>3.0</v>
      </c>
      <c r="C24" s="24">
        <v>5.0</v>
      </c>
      <c r="D24" s="24">
        <v>4.0</v>
      </c>
      <c r="E24" s="24">
        <v>2.0</v>
      </c>
      <c r="F24" s="24">
        <v>3.0</v>
      </c>
      <c r="G24" s="24">
        <v>4.0</v>
      </c>
      <c r="H24" s="24">
        <v>4.0</v>
      </c>
      <c r="I24" s="24">
        <v>3.0</v>
      </c>
      <c r="J24" s="24">
        <v>4.0</v>
      </c>
      <c r="K24" s="24">
        <v>3.0</v>
      </c>
      <c r="L24" s="24">
        <v>2.0</v>
      </c>
      <c r="M24" s="24">
        <v>4.0</v>
      </c>
      <c r="N24" s="24">
        <v>4.0</v>
      </c>
      <c r="O24" s="24">
        <v>5.0</v>
      </c>
      <c r="P24" s="24">
        <v>2.0</v>
      </c>
      <c r="Q24" s="24">
        <v>2.0</v>
      </c>
      <c r="R24" s="24">
        <v>3.0</v>
      </c>
      <c r="S24" s="24">
        <v>5.0</v>
      </c>
      <c r="T24" s="24">
        <v>5.0</v>
      </c>
      <c r="U24" s="24">
        <v>4.0</v>
      </c>
      <c r="V24" s="28">
        <v>1.0</v>
      </c>
      <c r="W24" s="24">
        <v>5.0</v>
      </c>
      <c r="X24" s="24">
        <v>3.0</v>
      </c>
      <c r="Y24" s="24">
        <v>3.0</v>
      </c>
      <c r="Z24" s="24">
        <v>3.0</v>
      </c>
      <c r="AA24" s="24">
        <v>4.0</v>
      </c>
      <c r="AB24" s="24">
        <v>4.0</v>
      </c>
      <c r="AC24" s="24">
        <v>5.0</v>
      </c>
      <c r="AD24" s="24">
        <v>5.0</v>
      </c>
      <c r="AE24" s="24">
        <v>4.0</v>
      </c>
      <c r="AF24" s="24">
        <v>4.0</v>
      </c>
      <c r="AG24" s="24">
        <v>3.0</v>
      </c>
      <c r="AH24" s="24">
        <v>3.0</v>
      </c>
      <c r="AI24" s="24">
        <v>4.0</v>
      </c>
      <c r="AJ24" s="24">
        <v>4.0</v>
      </c>
      <c r="AK24" s="24">
        <v>5.0</v>
      </c>
      <c r="AL24" s="24">
        <v>3.0</v>
      </c>
      <c r="AM24" s="24">
        <v>3.0</v>
      </c>
      <c r="AN24" s="24">
        <v>4.0</v>
      </c>
      <c r="AO24" s="24">
        <v>5.0</v>
      </c>
      <c r="AP24" s="29">
        <f t="shared" si="1"/>
        <v>146</v>
      </c>
      <c r="AQ24" s="30">
        <f t="shared" si="2"/>
        <v>0.05368773103</v>
      </c>
    </row>
    <row r="25">
      <c r="A25" s="24" t="s">
        <v>74</v>
      </c>
      <c r="B25" s="24">
        <v>3.0</v>
      </c>
      <c r="C25" s="24">
        <v>3.0</v>
      </c>
      <c r="D25" s="24">
        <v>3.0</v>
      </c>
      <c r="E25" s="24">
        <v>3.0</v>
      </c>
      <c r="F25" s="24">
        <v>4.0</v>
      </c>
      <c r="G25" s="24">
        <v>3.0</v>
      </c>
      <c r="H25" s="24">
        <v>4.0</v>
      </c>
      <c r="I25" s="24">
        <v>3.0</v>
      </c>
      <c r="J25" s="24">
        <v>3.0</v>
      </c>
      <c r="K25" s="24">
        <v>4.0</v>
      </c>
      <c r="L25" s="24">
        <v>3.0</v>
      </c>
      <c r="M25" s="24">
        <v>3.0</v>
      </c>
      <c r="N25" s="24">
        <v>4.0</v>
      </c>
      <c r="O25" s="24">
        <v>4.0</v>
      </c>
      <c r="P25" s="24">
        <v>3.0</v>
      </c>
      <c r="Q25" s="24">
        <v>3.0</v>
      </c>
      <c r="R25" s="24">
        <v>3.0</v>
      </c>
      <c r="S25" s="24">
        <v>5.0</v>
      </c>
      <c r="T25" s="24">
        <v>4.0</v>
      </c>
      <c r="U25" s="24">
        <v>4.0</v>
      </c>
      <c r="V25" s="24">
        <v>5.0</v>
      </c>
      <c r="W25" s="28">
        <v>1.0</v>
      </c>
      <c r="X25" s="24">
        <v>3.0</v>
      </c>
      <c r="Y25" s="24">
        <v>3.0</v>
      </c>
      <c r="Z25" s="24">
        <v>4.0</v>
      </c>
      <c r="AA25" s="24">
        <v>4.0</v>
      </c>
      <c r="AB25" s="24">
        <v>4.0</v>
      </c>
      <c r="AC25" s="24">
        <v>5.0</v>
      </c>
      <c r="AD25" s="24">
        <v>4.0</v>
      </c>
      <c r="AE25" s="24">
        <v>4.0</v>
      </c>
      <c r="AF25" s="24">
        <v>3.0</v>
      </c>
      <c r="AG25" s="24">
        <v>3.0</v>
      </c>
      <c r="AH25" s="24">
        <v>4.0</v>
      </c>
      <c r="AI25" s="24">
        <v>4.0</v>
      </c>
      <c r="AJ25" s="24">
        <v>3.0</v>
      </c>
      <c r="AK25" s="24">
        <v>5.0</v>
      </c>
      <c r="AL25" s="24">
        <v>3.0</v>
      </c>
      <c r="AM25" s="24">
        <v>3.0</v>
      </c>
      <c r="AN25" s="24">
        <v>4.0</v>
      </c>
      <c r="AO25" s="24">
        <v>5.0</v>
      </c>
      <c r="AP25" s="29">
        <f t="shared" si="1"/>
        <v>143</v>
      </c>
      <c r="AQ25" s="30">
        <f t="shared" si="2"/>
        <v>0.03203661327</v>
      </c>
    </row>
    <row r="26">
      <c r="A26" s="24" t="s">
        <v>75</v>
      </c>
      <c r="B26" s="24">
        <v>1.0</v>
      </c>
      <c r="C26" s="24">
        <v>3.0</v>
      </c>
      <c r="D26" s="24">
        <v>3.0</v>
      </c>
      <c r="E26" s="24">
        <v>2.0</v>
      </c>
      <c r="F26" s="24">
        <v>2.0</v>
      </c>
      <c r="G26" s="24">
        <v>2.0</v>
      </c>
      <c r="H26" s="24">
        <v>3.0</v>
      </c>
      <c r="I26" s="24">
        <v>3.0</v>
      </c>
      <c r="J26" s="24">
        <v>2.0</v>
      </c>
      <c r="K26" s="24">
        <v>2.0</v>
      </c>
      <c r="L26" s="24">
        <v>3.0</v>
      </c>
      <c r="M26" s="24">
        <v>4.0</v>
      </c>
      <c r="N26" s="24">
        <v>4.0</v>
      </c>
      <c r="O26" s="24">
        <v>4.0</v>
      </c>
      <c r="P26" s="24">
        <v>4.0</v>
      </c>
      <c r="Q26" s="24">
        <v>2.0</v>
      </c>
      <c r="R26" s="24">
        <v>2.0</v>
      </c>
      <c r="S26" s="24">
        <v>5.0</v>
      </c>
      <c r="T26" s="24">
        <v>3.0</v>
      </c>
      <c r="U26" s="24">
        <v>4.0</v>
      </c>
      <c r="V26" s="24">
        <v>4.0</v>
      </c>
      <c r="W26" s="24">
        <v>3.0</v>
      </c>
      <c r="X26" s="24">
        <v>2.0</v>
      </c>
      <c r="Y26" s="28">
        <v>1.0</v>
      </c>
      <c r="Z26" s="24">
        <v>3.0</v>
      </c>
      <c r="AA26" s="24">
        <v>3.0</v>
      </c>
      <c r="AB26" s="24">
        <v>3.0</v>
      </c>
      <c r="AC26" s="24">
        <v>5.0</v>
      </c>
      <c r="AD26" s="24">
        <v>3.0</v>
      </c>
      <c r="AE26" s="24">
        <v>4.0</v>
      </c>
      <c r="AF26" s="24">
        <v>2.0</v>
      </c>
      <c r="AG26" s="24">
        <v>2.0</v>
      </c>
      <c r="AH26" s="24">
        <v>2.0</v>
      </c>
      <c r="AI26" s="24">
        <v>3.0</v>
      </c>
      <c r="AJ26" s="24">
        <v>3.0</v>
      </c>
      <c r="AK26" s="24">
        <v>4.0</v>
      </c>
      <c r="AL26" s="24">
        <v>4.0</v>
      </c>
      <c r="AM26" s="24">
        <v>2.0</v>
      </c>
      <c r="AN26" s="24">
        <v>5.0</v>
      </c>
      <c r="AO26" s="24">
        <v>2.0</v>
      </c>
      <c r="AP26" s="29">
        <f t="shared" si="1"/>
        <v>118</v>
      </c>
      <c r="AQ26" s="30">
        <f t="shared" si="2"/>
        <v>-0.1483893681</v>
      </c>
    </row>
    <row r="27">
      <c r="A27" s="24" t="s">
        <v>76</v>
      </c>
      <c r="B27" s="24">
        <v>4.0</v>
      </c>
      <c r="C27" s="24">
        <v>5.0</v>
      </c>
      <c r="D27" s="24">
        <v>3.0</v>
      </c>
      <c r="E27" s="24">
        <v>2.0</v>
      </c>
      <c r="F27" s="24">
        <v>4.0</v>
      </c>
      <c r="G27" s="24">
        <v>1.0</v>
      </c>
      <c r="H27" s="24">
        <v>3.0</v>
      </c>
      <c r="I27" s="24">
        <v>5.0</v>
      </c>
      <c r="J27" s="24">
        <v>2.0</v>
      </c>
      <c r="K27" s="24">
        <v>4.0</v>
      </c>
      <c r="L27" s="24">
        <v>2.0</v>
      </c>
      <c r="M27" s="24">
        <v>2.0</v>
      </c>
      <c r="N27" s="24">
        <v>4.0</v>
      </c>
      <c r="O27" s="24">
        <v>2.0</v>
      </c>
      <c r="P27" s="24">
        <v>2.0</v>
      </c>
      <c r="Q27" s="24">
        <v>3.0</v>
      </c>
      <c r="R27" s="24">
        <v>3.0</v>
      </c>
      <c r="S27" s="24">
        <v>5.0</v>
      </c>
      <c r="T27" s="24">
        <v>3.0</v>
      </c>
      <c r="U27" s="24">
        <v>5.0</v>
      </c>
      <c r="V27" s="24">
        <v>5.0</v>
      </c>
      <c r="W27" s="24">
        <v>5.0</v>
      </c>
      <c r="X27" s="24">
        <v>2.0</v>
      </c>
      <c r="Y27" s="24">
        <v>2.0</v>
      </c>
      <c r="Z27" s="28">
        <v>1.0</v>
      </c>
      <c r="AA27" s="24">
        <v>3.0</v>
      </c>
      <c r="AB27" s="24">
        <v>4.0</v>
      </c>
      <c r="AC27" s="24">
        <v>5.0</v>
      </c>
      <c r="AD27" s="24">
        <v>3.0</v>
      </c>
      <c r="AE27" s="24">
        <v>3.0</v>
      </c>
      <c r="AF27" s="24">
        <v>1.0</v>
      </c>
      <c r="AG27" s="24">
        <v>4.0</v>
      </c>
      <c r="AH27" s="24">
        <v>4.0</v>
      </c>
      <c r="AI27" s="24">
        <v>5.0</v>
      </c>
      <c r="AJ27" s="24">
        <v>5.0</v>
      </c>
      <c r="AK27" s="24">
        <v>3.0</v>
      </c>
      <c r="AL27" s="24">
        <v>1.0</v>
      </c>
      <c r="AM27" s="24">
        <v>2.0</v>
      </c>
      <c r="AN27" s="24">
        <v>3.0</v>
      </c>
      <c r="AO27" s="24">
        <v>4.0</v>
      </c>
      <c r="AP27" s="29">
        <f t="shared" si="1"/>
        <v>129</v>
      </c>
      <c r="AQ27" s="30">
        <f t="shared" si="2"/>
        <v>-0.06900193628</v>
      </c>
    </row>
    <row r="28">
      <c r="A28" s="24" t="s">
        <v>77</v>
      </c>
      <c r="B28" s="24">
        <v>3.0</v>
      </c>
      <c r="C28" s="24">
        <v>5.0</v>
      </c>
      <c r="D28" s="24">
        <v>3.0</v>
      </c>
      <c r="E28" s="24">
        <v>3.0</v>
      </c>
      <c r="F28" s="24">
        <v>4.0</v>
      </c>
      <c r="G28" s="24">
        <v>5.0</v>
      </c>
      <c r="H28" s="24">
        <v>5.0</v>
      </c>
      <c r="I28" s="24">
        <v>3.0</v>
      </c>
      <c r="J28" s="24">
        <v>4.0</v>
      </c>
      <c r="K28" s="24">
        <v>4.0</v>
      </c>
      <c r="L28" s="24">
        <v>3.0</v>
      </c>
      <c r="M28" s="24">
        <v>4.0</v>
      </c>
      <c r="N28" s="24">
        <v>4.0</v>
      </c>
      <c r="O28" s="24">
        <v>5.0</v>
      </c>
      <c r="P28" s="24">
        <v>3.0</v>
      </c>
      <c r="Q28" s="24">
        <v>3.0</v>
      </c>
      <c r="R28" s="24">
        <v>3.0</v>
      </c>
      <c r="S28" s="24">
        <v>4.0</v>
      </c>
      <c r="T28" s="24">
        <v>4.0</v>
      </c>
      <c r="U28" s="24">
        <v>4.0</v>
      </c>
      <c r="V28" s="24">
        <v>5.0</v>
      </c>
      <c r="W28" s="24">
        <v>4.0</v>
      </c>
      <c r="X28" s="24">
        <v>3.0</v>
      </c>
      <c r="Y28" s="24">
        <v>3.0</v>
      </c>
      <c r="Z28" s="24">
        <v>3.0</v>
      </c>
      <c r="AA28" s="28">
        <v>1.0</v>
      </c>
      <c r="AB28" s="24">
        <v>4.0</v>
      </c>
      <c r="AC28" s="24">
        <v>5.0</v>
      </c>
      <c r="AD28" s="24">
        <v>5.0</v>
      </c>
      <c r="AE28" s="24">
        <v>4.0</v>
      </c>
      <c r="AF28" s="24">
        <v>5.0</v>
      </c>
      <c r="AG28" s="24">
        <v>4.0</v>
      </c>
      <c r="AH28" s="24">
        <v>4.0</v>
      </c>
      <c r="AI28" s="24">
        <v>5.0</v>
      </c>
      <c r="AJ28" s="24">
        <v>4.0</v>
      </c>
      <c r="AK28" s="24">
        <v>5.0</v>
      </c>
      <c r="AL28" s="24">
        <v>4.0</v>
      </c>
      <c r="AM28" s="24">
        <v>3.0</v>
      </c>
      <c r="AN28" s="24">
        <v>5.0</v>
      </c>
      <c r="AO28" s="24">
        <v>4.0</v>
      </c>
      <c r="AP28" s="29">
        <f t="shared" si="1"/>
        <v>156</v>
      </c>
      <c r="AQ28" s="30">
        <f t="shared" si="2"/>
        <v>0.1258581236</v>
      </c>
    </row>
    <row r="29">
      <c r="A29" s="24" t="s">
        <v>78</v>
      </c>
      <c r="B29" s="24">
        <v>3.0</v>
      </c>
      <c r="C29" s="24">
        <v>4.0</v>
      </c>
      <c r="D29" s="24">
        <v>3.0</v>
      </c>
      <c r="E29" s="24">
        <v>2.0</v>
      </c>
      <c r="F29" s="24">
        <v>3.0</v>
      </c>
      <c r="G29" s="24">
        <v>4.0</v>
      </c>
      <c r="H29" s="24">
        <v>3.0</v>
      </c>
      <c r="I29" s="24">
        <v>2.0</v>
      </c>
      <c r="J29" s="24">
        <v>3.0</v>
      </c>
      <c r="K29" s="24">
        <v>3.0</v>
      </c>
      <c r="L29" s="24">
        <v>3.0</v>
      </c>
      <c r="M29" s="24">
        <v>3.0</v>
      </c>
      <c r="N29" s="24">
        <v>3.0</v>
      </c>
      <c r="O29" s="24">
        <v>5.0</v>
      </c>
      <c r="P29" s="24">
        <v>4.0</v>
      </c>
      <c r="Q29" s="24">
        <v>2.0</v>
      </c>
      <c r="R29" s="24">
        <v>3.0</v>
      </c>
      <c r="S29" s="24">
        <v>5.0</v>
      </c>
      <c r="T29" s="24">
        <v>4.0</v>
      </c>
      <c r="U29" s="24">
        <v>4.0</v>
      </c>
      <c r="V29" s="24">
        <v>4.0</v>
      </c>
      <c r="W29" s="24">
        <v>4.0</v>
      </c>
      <c r="X29" s="24">
        <v>2.0</v>
      </c>
      <c r="Y29" s="24">
        <v>3.0</v>
      </c>
      <c r="Z29" s="24">
        <v>3.0</v>
      </c>
      <c r="AA29" s="24">
        <v>3.0</v>
      </c>
      <c r="AB29" s="28">
        <v>1.0</v>
      </c>
      <c r="AC29" s="24">
        <v>5.0</v>
      </c>
      <c r="AD29" s="24">
        <v>4.0</v>
      </c>
      <c r="AE29" s="24">
        <v>4.0</v>
      </c>
      <c r="AF29" s="24">
        <v>3.0</v>
      </c>
      <c r="AG29" s="24">
        <v>2.0</v>
      </c>
      <c r="AH29" s="24">
        <v>2.0</v>
      </c>
      <c r="AI29" s="24">
        <v>5.0</v>
      </c>
      <c r="AJ29" s="24">
        <v>3.0</v>
      </c>
      <c r="AK29" s="24">
        <v>5.0</v>
      </c>
      <c r="AL29" s="24">
        <v>2.0</v>
      </c>
      <c r="AM29" s="24">
        <v>4.0</v>
      </c>
      <c r="AN29" s="24">
        <v>4.0</v>
      </c>
      <c r="AO29" s="24">
        <v>4.0</v>
      </c>
      <c r="AP29" s="29">
        <f t="shared" si="1"/>
        <v>133</v>
      </c>
      <c r="AQ29" s="30">
        <f t="shared" si="2"/>
        <v>-0.04013377926</v>
      </c>
    </row>
    <row r="30">
      <c r="A30" s="24" t="s">
        <v>79</v>
      </c>
      <c r="B30" s="24">
        <v>3.0</v>
      </c>
      <c r="C30" s="24">
        <v>5.0</v>
      </c>
      <c r="D30" s="24">
        <v>3.0</v>
      </c>
      <c r="E30" s="24">
        <v>2.0</v>
      </c>
      <c r="F30" s="24">
        <v>4.0</v>
      </c>
      <c r="G30" s="24">
        <v>3.0</v>
      </c>
      <c r="H30" s="24">
        <v>5.0</v>
      </c>
      <c r="I30" s="24">
        <v>3.0</v>
      </c>
      <c r="J30" s="24">
        <v>3.0</v>
      </c>
      <c r="K30" s="24">
        <v>3.0</v>
      </c>
      <c r="L30" s="24">
        <v>3.0</v>
      </c>
      <c r="M30" s="24">
        <v>3.0</v>
      </c>
      <c r="N30" s="24">
        <v>4.0</v>
      </c>
      <c r="O30" s="24">
        <v>3.0</v>
      </c>
      <c r="P30" s="24">
        <v>3.0</v>
      </c>
      <c r="Q30" s="24">
        <v>3.0</v>
      </c>
      <c r="R30" s="24">
        <v>4.0</v>
      </c>
      <c r="S30" s="24">
        <v>5.0</v>
      </c>
      <c r="T30" s="24">
        <v>4.0</v>
      </c>
      <c r="U30" s="24">
        <v>4.0</v>
      </c>
      <c r="V30" s="24">
        <v>5.0</v>
      </c>
      <c r="W30" s="24">
        <v>4.0</v>
      </c>
      <c r="X30" s="24">
        <v>3.0</v>
      </c>
      <c r="Y30" s="24">
        <v>2.0</v>
      </c>
      <c r="Z30" s="24">
        <v>3.0</v>
      </c>
      <c r="AA30" s="24">
        <v>4.0</v>
      </c>
      <c r="AB30" s="24">
        <v>5.0</v>
      </c>
      <c r="AC30" s="28">
        <v>1.0</v>
      </c>
      <c r="AD30" s="24">
        <v>4.0</v>
      </c>
      <c r="AE30" s="24">
        <v>3.0</v>
      </c>
      <c r="AF30" s="24">
        <v>3.0</v>
      </c>
      <c r="AG30" s="24">
        <v>4.0</v>
      </c>
      <c r="AH30" s="24">
        <v>4.0</v>
      </c>
      <c r="AI30" s="24">
        <v>5.0</v>
      </c>
      <c r="AJ30" s="24">
        <v>4.0</v>
      </c>
      <c r="AK30" s="24">
        <v>5.0</v>
      </c>
      <c r="AL30" s="24">
        <v>3.0</v>
      </c>
      <c r="AM30" s="24">
        <v>2.0</v>
      </c>
      <c r="AN30" s="24">
        <v>5.0</v>
      </c>
      <c r="AO30" s="24">
        <v>5.0</v>
      </c>
      <c r="AP30" s="29">
        <f t="shared" si="1"/>
        <v>144</v>
      </c>
      <c r="AQ30" s="30">
        <f t="shared" si="2"/>
        <v>0.03925365253</v>
      </c>
    </row>
    <row r="31">
      <c r="A31" s="24" t="s">
        <v>80</v>
      </c>
      <c r="B31" s="24">
        <v>2.0</v>
      </c>
      <c r="C31" s="24">
        <v>5.0</v>
      </c>
      <c r="D31" s="24">
        <v>4.0</v>
      </c>
      <c r="E31" s="24">
        <v>2.0</v>
      </c>
      <c r="F31" s="24">
        <v>3.0</v>
      </c>
      <c r="G31" s="24">
        <v>4.0</v>
      </c>
      <c r="H31" s="24">
        <v>4.0</v>
      </c>
      <c r="I31" s="24">
        <v>3.0</v>
      </c>
      <c r="J31" s="24">
        <v>5.0</v>
      </c>
      <c r="K31" s="24">
        <v>3.0</v>
      </c>
      <c r="L31" s="24">
        <v>2.0</v>
      </c>
      <c r="M31" s="24">
        <v>3.0</v>
      </c>
      <c r="N31" s="24">
        <v>4.0</v>
      </c>
      <c r="O31" s="24">
        <v>4.0</v>
      </c>
      <c r="P31" s="24">
        <v>2.0</v>
      </c>
      <c r="Q31" s="24">
        <v>2.0</v>
      </c>
      <c r="R31" s="24">
        <v>3.0</v>
      </c>
      <c r="S31" s="24">
        <v>5.0</v>
      </c>
      <c r="T31" s="24">
        <v>5.0</v>
      </c>
      <c r="U31" s="24">
        <v>5.0</v>
      </c>
      <c r="V31" s="24">
        <v>5.0</v>
      </c>
      <c r="W31" s="24">
        <v>4.0</v>
      </c>
      <c r="X31" s="24">
        <v>3.0</v>
      </c>
      <c r="Y31" s="24">
        <v>2.0</v>
      </c>
      <c r="Z31" s="24">
        <v>3.0</v>
      </c>
      <c r="AA31" s="24">
        <v>4.0</v>
      </c>
      <c r="AB31" s="24">
        <v>5.0</v>
      </c>
      <c r="AC31" s="24">
        <v>5.0</v>
      </c>
      <c r="AD31" s="28">
        <v>1.0</v>
      </c>
      <c r="AE31" s="24">
        <v>4.0</v>
      </c>
      <c r="AF31" s="24">
        <v>3.0</v>
      </c>
      <c r="AG31" s="24">
        <v>4.0</v>
      </c>
      <c r="AH31" s="24">
        <v>4.0</v>
      </c>
      <c r="AI31" s="24">
        <v>4.0</v>
      </c>
      <c r="AJ31" s="24">
        <v>4.0</v>
      </c>
      <c r="AK31" s="24">
        <v>4.0</v>
      </c>
      <c r="AL31" s="24">
        <v>3.0</v>
      </c>
      <c r="AM31" s="24">
        <v>2.0</v>
      </c>
      <c r="AN31" s="24">
        <v>4.0</v>
      </c>
      <c r="AO31" s="24">
        <v>4.0</v>
      </c>
      <c r="AP31" s="29">
        <f t="shared" si="1"/>
        <v>142</v>
      </c>
      <c r="AQ31" s="30">
        <f t="shared" si="2"/>
        <v>0.02481957402</v>
      </c>
    </row>
    <row r="32">
      <c r="A32" s="24" t="s">
        <v>81</v>
      </c>
      <c r="B32" s="24">
        <v>3.0</v>
      </c>
      <c r="C32" s="24">
        <v>3.0</v>
      </c>
      <c r="D32" s="24">
        <v>3.0</v>
      </c>
      <c r="E32" s="24">
        <v>2.0</v>
      </c>
      <c r="F32" s="24">
        <v>5.0</v>
      </c>
      <c r="G32" s="24">
        <v>3.0</v>
      </c>
      <c r="H32" s="24">
        <v>4.0</v>
      </c>
      <c r="I32" s="24">
        <v>3.0</v>
      </c>
      <c r="J32" s="24">
        <v>3.0</v>
      </c>
      <c r="K32" s="24">
        <v>3.0</v>
      </c>
      <c r="L32" s="24">
        <v>3.0</v>
      </c>
      <c r="M32" s="24">
        <v>2.0</v>
      </c>
      <c r="N32" s="24">
        <v>4.0</v>
      </c>
      <c r="O32" s="24">
        <v>2.0</v>
      </c>
      <c r="P32" s="24">
        <v>3.0</v>
      </c>
      <c r="Q32" s="24">
        <v>3.0</v>
      </c>
      <c r="R32" s="24">
        <v>4.0</v>
      </c>
      <c r="S32" s="24">
        <v>4.0</v>
      </c>
      <c r="T32" s="24">
        <v>4.0</v>
      </c>
      <c r="U32" s="24">
        <v>3.0</v>
      </c>
      <c r="V32" s="24">
        <v>5.0</v>
      </c>
      <c r="W32" s="24">
        <v>4.0</v>
      </c>
      <c r="X32" s="24">
        <v>2.0</v>
      </c>
      <c r="Y32" s="24">
        <v>3.0</v>
      </c>
      <c r="Z32" s="24">
        <v>3.0</v>
      </c>
      <c r="AA32" s="24">
        <v>3.0</v>
      </c>
      <c r="AB32" s="24">
        <v>4.0</v>
      </c>
      <c r="AC32" s="24">
        <v>5.0</v>
      </c>
      <c r="AD32" s="24">
        <v>5.0</v>
      </c>
      <c r="AE32" s="28">
        <v>1.0</v>
      </c>
      <c r="AF32" s="24">
        <v>4.0</v>
      </c>
      <c r="AG32" s="24">
        <v>4.0</v>
      </c>
      <c r="AH32" s="24">
        <v>3.0</v>
      </c>
      <c r="AI32" s="24">
        <v>4.0</v>
      </c>
      <c r="AJ32" s="24">
        <v>4.0</v>
      </c>
      <c r="AK32" s="24">
        <v>4.0</v>
      </c>
      <c r="AL32" s="24">
        <v>3.0</v>
      </c>
      <c r="AM32" s="24">
        <v>2.0</v>
      </c>
      <c r="AN32" s="24">
        <v>3.0</v>
      </c>
      <c r="AO32" s="24">
        <v>3.0</v>
      </c>
      <c r="AP32" s="29">
        <f t="shared" si="1"/>
        <v>133</v>
      </c>
      <c r="AQ32" s="30">
        <f t="shared" si="2"/>
        <v>-0.04013377926</v>
      </c>
    </row>
    <row r="33">
      <c r="A33" s="24" t="s">
        <v>82</v>
      </c>
      <c r="B33" s="24">
        <v>5.0</v>
      </c>
      <c r="C33" s="24">
        <v>5.0</v>
      </c>
      <c r="D33" s="24">
        <v>5.0</v>
      </c>
      <c r="E33" s="24">
        <v>5.0</v>
      </c>
      <c r="F33" s="24">
        <v>5.0</v>
      </c>
      <c r="G33" s="24">
        <v>5.0</v>
      </c>
      <c r="H33" s="24">
        <v>5.0</v>
      </c>
      <c r="I33" s="24">
        <v>5.0</v>
      </c>
      <c r="J33" s="24">
        <v>5.0</v>
      </c>
      <c r="K33" s="24">
        <v>5.0</v>
      </c>
      <c r="L33" s="24">
        <v>5.0</v>
      </c>
      <c r="M33" s="24">
        <v>5.0</v>
      </c>
      <c r="N33" s="24">
        <v>5.0</v>
      </c>
      <c r="O33" s="24">
        <v>5.0</v>
      </c>
      <c r="P33" s="24">
        <v>5.0</v>
      </c>
      <c r="Q33" s="24">
        <v>5.0</v>
      </c>
      <c r="R33" s="24">
        <v>5.0</v>
      </c>
      <c r="S33" s="24">
        <v>5.0</v>
      </c>
      <c r="T33" s="24">
        <v>5.0</v>
      </c>
      <c r="U33" s="24">
        <v>5.0</v>
      </c>
      <c r="V33" s="24">
        <v>5.0</v>
      </c>
      <c r="W33" s="24">
        <v>5.0</v>
      </c>
      <c r="X33" s="24">
        <v>5.0</v>
      </c>
      <c r="Y33" s="24">
        <v>5.0</v>
      </c>
      <c r="Z33" s="24">
        <v>5.0</v>
      </c>
      <c r="AA33" s="24">
        <v>5.0</v>
      </c>
      <c r="AB33" s="24">
        <v>5.0</v>
      </c>
      <c r="AC33" s="24">
        <v>5.0</v>
      </c>
      <c r="AD33" s="24">
        <v>5.0</v>
      </c>
      <c r="AE33" s="24">
        <v>5.0</v>
      </c>
      <c r="AF33" s="28">
        <v>1.0</v>
      </c>
      <c r="AG33" s="24">
        <v>5.0</v>
      </c>
      <c r="AH33" s="24">
        <v>5.0</v>
      </c>
      <c r="AI33" s="24">
        <v>5.0</v>
      </c>
      <c r="AJ33" s="24">
        <v>5.0</v>
      </c>
      <c r="AK33" s="24">
        <v>5.0</v>
      </c>
      <c r="AL33" s="24">
        <v>5.0</v>
      </c>
      <c r="AM33" s="24">
        <v>5.0</v>
      </c>
      <c r="AN33" s="24">
        <v>5.0</v>
      </c>
      <c r="AO33" s="24">
        <v>5.0</v>
      </c>
      <c r="AP33" s="29">
        <f t="shared" si="1"/>
        <v>196</v>
      </c>
      <c r="AQ33" s="30">
        <f t="shared" si="2"/>
        <v>0.4145396937</v>
      </c>
    </row>
    <row r="34">
      <c r="A34" s="24" t="s">
        <v>83</v>
      </c>
      <c r="B34" s="24">
        <v>2.0</v>
      </c>
      <c r="C34" s="24">
        <v>4.0</v>
      </c>
      <c r="D34" s="24">
        <v>4.0</v>
      </c>
      <c r="E34" s="24">
        <v>4.0</v>
      </c>
      <c r="F34" s="24">
        <v>4.0</v>
      </c>
      <c r="G34" s="24">
        <v>3.0</v>
      </c>
      <c r="H34" s="24">
        <v>5.0</v>
      </c>
      <c r="I34" s="24">
        <v>4.0</v>
      </c>
      <c r="J34" s="24">
        <v>3.0</v>
      </c>
      <c r="K34" s="24">
        <v>3.0</v>
      </c>
      <c r="L34" s="24">
        <v>2.0</v>
      </c>
      <c r="M34" s="24">
        <v>3.0</v>
      </c>
      <c r="N34" s="24">
        <v>5.0</v>
      </c>
      <c r="O34" s="24">
        <v>5.0</v>
      </c>
      <c r="P34" s="24">
        <v>2.0</v>
      </c>
      <c r="Q34" s="24">
        <v>2.0</v>
      </c>
      <c r="R34" s="24">
        <v>3.0</v>
      </c>
      <c r="S34" s="24">
        <v>5.0</v>
      </c>
      <c r="T34" s="24">
        <v>5.0</v>
      </c>
      <c r="U34" s="24">
        <v>4.0</v>
      </c>
      <c r="V34" s="24">
        <v>5.0</v>
      </c>
      <c r="W34" s="24">
        <v>5.0</v>
      </c>
      <c r="X34" s="24">
        <v>2.0</v>
      </c>
      <c r="Y34" s="24">
        <v>2.0</v>
      </c>
      <c r="Z34" s="24">
        <v>2.0</v>
      </c>
      <c r="AA34" s="24">
        <v>4.0</v>
      </c>
      <c r="AB34" s="24">
        <v>4.0</v>
      </c>
      <c r="AC34" s="24">
        <v>5.0</v>
      </c>
      <c r="AD34" s="24">
        <v>5.0</v>
      </c>
      <c r="AE34" s="24">
        <v>3.0</v>
      </c>
      <c r="AF34" s="24">
        <v>5.0</v>
      </c>
      <c r="AG34" s="28">
        <v>1.0</v>
      </c>
      <c r="AH34" s="24">
        <v>3.0</v>
      </c>
      <c r="AI34" s="24">
        <v>4.0</v>
      </c>
      <c r="AJ34" s="24">
        <v>4.0</v>
      </c>
      <c r="AK34" s="24">
        <v>4.0</v>
      </c>
      <c r="AL34" s="24">
        <v>3.0</v>
      </c>
      <c r="AM34" s="24">
        <v>2.0</v>
      </c>
      <c r="AN34" s="24">
        <v>4.0</v>
      </c>
      <c r="AO34" s="24">
        <v>3.0</v>
      </c>
      <c r="AP34" s="29">
        <f t="shared" si="1"/>
        <v>142</v>
      </c>
      <c r="AQ34" s="30">
        <f t="shared" si="2"/>
        <v>0.02481957402</v>
      </c>
    </row>
    <row r="35">
      <c r="A35" s="24" t="s">
        <v>84</v>
      </c>
      <c r="B35" s="24">
        <v>3.0</v>
      </c>
      <c r="C35" s="24">
        <v>3.0</v>
      </c>
      <c r="D35" s="24">
        <v>3.0</v>
      </c>
      <c r="E35" s="24">
        <v>2.0</v>
      </c>
      <c r="F35" s="24">
        <v>4.0</v>
      </c>
      <c r="G35" s="24">
        <v>3.0</v>
      </c>
      <c r="H35" s="24">
        <v>3.0</v>
      </c>
      <c r="I35" s="24">
        <v>4.0</v>
      </c>
      <c r="J35" s="24">
        <v>3.0</v>
      </c>
      <c r="K35" s="24">
        <v>4.0</v>
      </c>
      <c r="L35" s="24">
        <v>2.0</v>
      </c>
      <c r="M35" s="24">
        <v>3.0</v>
      </c>
      <c r="N35" s="24">
        <v>3.0</v>
      </c>
      <c r="O35" s="24">
        <v>4.0</v>
      </c>
      <c r="P35" s="24">
        <v>2.0</v>
      </c>
      <c r="Q35" s="24">
        <v>2.0</v>
      </c>
      <c r="R35" s="24">
        <v>3.0</v>
      </c>
      <c r="S35" s="24">
        <v>4.0</v>
      </c>
      <c r="T35" s="24">
        <v>4.0</v>
      </c>
      <c r="U35" s="24">
        <v>4.0</v>
      </c>
      <c r="V35" s="24">
        <v>4.0</v>
      </c>
      <c r="W35" s="24">
        <v>4.0</v>
      </c>
      <c r="X35" s="24">
        <v>3.0</v>
      </c>
      <c r="Y35" s="24">
        <v>2.0</v>
      </c>
      <c r="Z35" s="24">
        <v>3.0</v>
      </c>
      <c r="AA35" s="24">
        <v>3.0</v>
      </c>
      <c r="AB35" s="24">
        <v>4.0</v>
      </c>
      <c r="AC35" s="24">
        <v>5.0</v>
      </c>
      <c r="AD35" s="24">
        <v>3.0</v>
      </c>
      <c r="AE35" s="24">
        <v>3.0</v>
      </c>
      <c r="AF35" s="24">
        <v>4.0</v>
      </c>
      <c r="AG35" s="24">
        <v>3.0</v>
      </c>
      <c r="AH35" s="28">
        <v>1.0</v>
      </c>
      <c r="AI35" s="24">
        <v>4.0</v>
      </c>
      <c r="AJ35" s="24">
        <v>4.0</v>
      </c>
      <c r="AK35" s="24">
        <v>4.0</v>
      </c>
      <c r="AL35" s="24">
        <v>2.0</v>
      </c>
      <c r="AM35" s="24">
        <v>3.0</v>
      </c>
      <c r="AN35" s="24">
        <v>4.0</v>
      </c>
      <c r="AO35" s="24">
        <v>4.0</v>
      </c>
      <c r="AP35" s="29">
        <f t="shared" si="1"/>
        <v>130</v>
      </c>
      <c r="AQ35" s="30">
        <f t="shared" si="2"/>
        <v>-0.06178489703</v>
      </c>
    </row>
    <row r="36">
      <c r="A36" s="24" t="s">
        <v>85</v>
      </c>
      <c r="B36" s="24">
        <v>3.0</v>
      </c>
      <c r="C36" s="24">
        <v>4.0</v>
      </c>
      <c r="D36" s="24">
        <v>4.0</v>
      </c>
      <c r="E36" s="24">
        <v>3.0</v>
      </c>
      <c r="F36" s="24">
        <v>4.0</v>
      </c>
      <c r="G36" s="24">
        <v>3.0</v>
      </c>
      <c r="H36" s="24">
        <v>3.0</v>
      </c>
      <c r="I36" s="24">
        <v>3.0</v>
      </c>
      <c r="J36" s="24">
        <v>3.0</v>
      </c>
      <c r="K36" s="24">
        <v>3.0</v>
      </c>
      <c r="L36" s="24">
        <v>3.0</v>
      </c>
      <c r="M36" s="24">
        <v>3.0</v>
      </c>
      <c r="N36" s="24">
        <v>3.0</v>
      </c>
      <c r="O36" s="24">
        <v>4.0</v>
      </c>
      <c r="P36" s="24">
        <v>4.0</v>
      </c>
      <c r="Q36" s="24">
        <v>3.0</v>
      </c>
      <c r="R36" s="24">
        <v>3.0</v>
      </c>
      <c r="S36" s="24">
        <v>4.0</v>
      </c>
      <c r="T36" s="24">
        <v>4.0</v>
      </c>
      <c r="U36" s="24">
        <v>3.0</v>
      </c>
      <c r="V36" s="24">
        <v>5.0</v>
      </c>
      <c r="W36" s="24">
        <v>5.0</v>
      </c>
      <c r="X36" s="24">
        <v>3.0</v>
      </c>
      <c r="Y36" s="24">
        <v>3.0</v>
      </c>
      <c r="Z36" s="24">
        <v>3.0</v>
      </c>
      <c r="AA36" s="24">
        <v>3.0</v>
      </c>
      <c r="AB36" s="24">
        <v>4.0</v>
      </c>
      <c r="AC36" s="24">
        <v>4.0</v>
      </c>
      <c r="AD36" s="24">
        <v>4.0</v>
      </c>
      <c r="AE36" s="24">
        <v>3.0</v>
      </c>
      <c r="AF36" s="24">
        <v>3.0</v>
      </c>
      <c r="AG36" s="24">
        <v>3.0</v>
      </c>
      <c r="AH36" s="24">
        <v>3.0</v>
      </c>
      <c r="AI36" s="28">
        <v>1.0</v>
      </c>
      <c r="AJ36" s="24">
        <v>3.0</v>
      </c>
      <c r="AK36" s="24">
        <v>4.0</v>
      </c>
      <c r="AL36" s="24">
        <v>3.0</v>
      </c>
      <c r="AM36" s="24">
        <v>3.0</v>
      </c>
      <c r="AN36" s="24">
        <v>4.0</v>
      </c>
      <c r="AO36" s="24">
        <v>3.0</v>
      </c>
      <c r="AP36" s="29">
        <f t="shared" si="1"/>
        <v>134</v>
      </c>
      <c r="AQ36" s="30">
        <f t="shared" si="2"/>
        <v>-0.03291674001</v>
      </c>
    </row>
    <row r="37">
      <c r="A37" s="24" t="s">
        <v>86</v>
      </c>
      <c r="B37" s="24">
        <v>3.0</v>
      </c>
      <c r="C37" s="24">
        <v>5.0</v>
      </c>
      <c r="D37" s="24">
        <v>4.0</v>
      </c>
      <c r="E37" s="24">
        <v>4.0</v>
      </c>
      <c r="F37" s="24">
        <v>4.0</v>
      </c>
      <c r="G37" s="24">
        <v>4.0</v>
      </c>
      <c r="H37" s="24">
        <v>4.0</v>
      </c>
      <c r="I37" s="24">
        <v>4.0</v>
      </c>
      <c r="J37" s="24">
        <v>4.0</v>
      </c>
      <c r="K37" s="24">
        <v>4.0</v>
      </c>
      <c r="L37" s="24">
        <v>3.0</v>
      </c>
      <c r="M37" s="24">
        <v>3.0</v>
      </c>
      <c r="N37" s="24">
        <v>5.0</v>
      </c>
      <c r="O37" s="24">
        <v>4.0</v>
      </c>
      <c r="P37" s="24">
        <v>3.0</v>
      </c>
      <c r="Q37" s="24">
        <v>3.0</v>
      </c>
      <c r="R37" s="24">
        <v>3.0</v>
      </c>
      <c r="S37" s="24">
        <v>5.0</v>
      </c>
      <c r="T37" s="24">
        <v>5.0</v>
      </c>
      <c r="U37" s="24">
        <v>4.0</v>
      </c>
      <c r="V37" s="24">
        <v>5.0</v>
      </c>
      <c r="W37" s="24">
        <v>4.0</v>
      </c>
      <c r="X37" s="24">
        <v>4.0</v>
      </c>
      <c r="Y37" s="24">
        <v>3.0</v>
      </c>
      <c r="Z37" s="24">
        <v>4.0</v>
      </c>
      <c r="AA37" s="24">
        <v>4.0</v>
      </c>
      <c r="AB37" s="24">
        <v>5.0</v>
      </c>
      <c r="AC37" s="24">
        <v>5.0</v>
      </c>
      <c r="AD37" s="24">
        <v>4.0</v>
      </c>
      <c r="AE37" s="24">
        <v>4.0</v>
      </c>
      <c r="AF37" s="24">
        <v>2.0</v>
      </c>
      <c r="AG37" s="24">
        <v>3.0</v>
      </c>
      <c r="AH37" s="24">
        <v>4.0</v>
      </c>
      <c r="AI37" s="24">
        <v>4.0</v>
      </c>
      <c r="AJ37" s="28">
        <v>1.0</v>
      </c>
      <c r="AK37" s="24">
        <v>5.0</v>
      </c>
      <c r="AL37" s="24">
        <v>3.0</v>
      </c>
      <c r="AM37" s="24">
        <v>3.0</v>
      </c>
      <c r="AN37" s="24">
        <v>4.0</v>
      </c>
      <c r="AO37" s="24">
        <v>5.0</v>
      </c>
      <c r="AP37" s="29">
        <f t="shared" si="1"/>
        <v>154</v>
      </c>
      <c r="AQ37" s="30">
        <f t="shared" si="2"/>
        <v>0.1114240451</v>
      </c>
    </row>
    <row r="38">
      <c r="A38" s="31" t="s">
        <v>87</v>
      </c>
      <c r="B38" s="24">
        <v>2.0</v>
      </c>
      <c r="C38" s="24">
        <v>4.0</v>
      </c>
      <c r="D38" s="24">
        <v>3.0</v>
      </c>
      <c r="E38" s="24">
        <v>2.0</v>
      </c>
      <c r="F38" s="24">
        <v>3.0</v>
      </c>
      <c r="G38" s="24">
        <v>1.0</v>
      </c>
      <c r="H38" s="24">
        <v>3.0</v>
      </c>
      <c r="I38" s="24">
        <v>3.0</v>
      </c>
      <c r="J38" s="24">
        <v>4.0</v>
      </c>
      <c r="K38" s="24">
        <v>4.0</v>
      </c>
      <c r="L38" s="24">
        <v>3.0</v>
      </c>
      <c r="M38" s="24">
        <v>2.0</v>
      </c>
      <c r="N38" s="24">
        <v>3.0</v>
      </c>
      <c r="O38" s="24">
        <v>3.0</v>
      </c>
      <c r="P38" s="24">
        <v>3.0</v>
      </c>
      <c r="Q38" s="24">
        <v>1.0</v>
      </c>
      <c r="R38" s="24">
        <v>2.0</v>
      </c>
      <c r="S38" s="24">
        <v>4.0</v>
      </c>
      <c r="T38" s="24">
        <v>3.0</v>
      </c>
      <c r="U38" s="24">
        <v>2.0</v>
      </c>
      <c r="V38" s="24">
        <v>5.0</v>
      </c>
      <c r="W38" s="24">
        <v>4.0</v>
      </c>
      <c r="X38" s="24">
        <v>1.0</v>
      </c>
      <c r="Y38" s="24">
        <v>3.0</v>
      </c>
      <c r="Z38" s="24">
        <v>3.0</v>
      </c>
      <c r="AA38" s="24">
        <v>3.0</v>
      </c>
      <c r="AB38" s="24">
        <v>5.0</v>
      </c>
      <c r="AC38" s="24">
        <v>5.0</v>
      </c>
      <c r="AD38" s="24">
        <v>4.0</v>
      </c>
      <c r="AE38" s="24">
        <v>3.0</v>
      </c>
      <c r="AF38" s="24">
        <v>1.0</v>
      </c>
      <c r="AG38" s="24">
        <v>2.0</v>
      </c>
      <c r="AH38" s="24">
        <v>4.0</v>
      </c>
      <c r="AI38" s="24">
        <v>4.0</v>
      </c>
      <c r="AJ38" s="24">
        <v>4.0</v>
      </c>
      <c r="AK38" s="32">
        <v>3.0</v>
      </c>
      <c r="AL38" s="24">
        <v>2.0</v>
      </c>
      <c r="AM38" s="24">
        <v>2.0</v>
      </c>
      <c r="AN38" s="24">
        <v>4.0</v>
      </c>
      <c r="AO38" s="24">
        <v>5.0</v>
      </c>
      <c r="AP38" s="29">
        <f t="shared" si="1"/>
        <v>122</v>
      </c>
      <c r="AQ38" s="30">
        <f t="shared" si="2"/>
        <v>-0.1195212111</v>
      </c>
    </row>
    <row r="39">
      <c r="A39" s="24" t="s">
        <v>88</v>
      </c>
      <c r="B39" s="24">
        <v>2.0</v>
      </c>
      <c r="C39" s="24">
        <v>5.0</v>
      </c>
      <c r="D39" s="24">
        <v>3.0</v>
      </c>
      <c r="E39" s="24">
        <v>2.0</v>
      </c>
      <c r="F39" s="24">
        <v>2.0</v>
      </c>
      <c r="G39" s="24">
        <v>3.0</v>
      </c>
      <c r="H39" s="24">
        <v>4.0</v>
      </c>
      <c r="I39" s="24">
        <v>3.0</v>
      </c>
      <c r="J39" s="24">
        <v>3.0</v>
      </c>
      <c r="K39" s="24">
        <v>3.0</v>
      </c>
      <c r="L39" s="24">
        <v>3.0</v>
      </c>
      <c r="M39" s="24">
        <v>4.0</v>
      </c>
      <c r="N39" s="24">
        <v>3.0</v>
      </c>
      <c r="O39" s="24">
        <v>3.0</v>
      </c>
      <c r="P39" s="24">
        <v>3.0</v>
      </c>
      <c r="Q39" s="24">
        <v>2.0</v>
      </c>
      <c r="R39" s="24">
        <v>3.0</v>
      </c>
      <c r="S39" s="24">
        <v>4.0</v>
      </c>
      <c r="T39" s="24">
        <v>3.0</v>
      </c>
      <c r="U39" s="24">
        <v>5.0</v>
      </c>
      <c r="V39" s="24">
        <v>5.0</v>
      </c>
      <c r="W39" s="24">
        <v>4.0</v>
      </c>
      <c r="X39" s="24">
        <v>3.0</v>
      </c>
      <c r="Y39" s="24">
        <v>3.0</v>
      </c>
      <c r="Z39" s="24">
        <v>3.0</v>
      </c>
      <c r="AA39" s="24">
        <v>5.0</v>
      </c>
      <c r="AB39" s="24">
        <v>4.0</v>
      </c>
      <c r="AC39" s="24">
        <v>4.0</v>
      </c>
      <c r="AD39" s="24">
        <v>5.0</v>
      </c>
      <c r="AE39" s="24">
        <v>4.0</v>
      </c>
      <c r="AF39" s="24">
        <v>4.0</v>
      </c>
      <c r="AG39" s="24">
        <v>5.0</v>
      </c>
      <c r="AH39" s="24">
        <v>4.0</v>
      </c>
      <c r="AI39" s="24">
        <v>3.0</v>
      </c>
      <c r="AJ39" s="24">
        <v>4.0</v>
      </c>
      <c r="AK39" s="24">
        <v>4.0</v>
      </c>
      <c r="AL39" s="28">
        <v>1.0</v>
      </c>
      <c r="AM39" s="24">
        <v>3.0</v>
      </c>
      <c r="AN39" s="24">
        <v>4.0</v>
      </c>
      <c r="AO39" s="24">
        <v>5.0</v>
      </c>
      <c r="AP39" s="29">
        <f t="shared" si="1"/>
        <v>140</v>
      </c>
      <c r="AQ39" s="30">
        <f t="shared" si="2"/>
        <v>0.01038549551</v>
      </c>
    </row>
    <row r="40">
      <c r="A40" s="24" t="s">
        <v>89</v>
      </c>
      <c r="B40" s="24">
        <v>1.0</v>
      </c>
      <c r="C40" s="24">
        <v>5.0</v>
      </c>
      <c r="D40" s="24">
        <v>2.0</v>
      </c>
      <c r="E40" s="24">
        <v>2.0</v>
      </c>
      <c r="F40" s="24">
        <v>1.0</v>
      </c>
      <c r="G40" s="24">
        <v>1.0</v>
      </c>
      <c r="H40" s="24">
        <v>4.0</v>
      </c>
      <c r="I40" s="24">
        <v>4.0</v>
      </c>
      <c r="J40" s="24">
        <v>3.0</v>
      </c>
      <c r="K40" s="24">
        <v>4.0</v>
      </c>
      <c r="L40" s="24">
        <v>1.0</v>
      </c>
      <c r="M40" s="24">
        <v>4.0</v>
      </c>
      <c r="N40" s="24">
        <v>4.0</v>
      </c>
      <c r="O40" s="24">
        <v>2.0</v>
      </c>
      <c r="P40" s="24">
        <v>2.0</v>
      </c>
      <c r="Q40" s="24">
        <v>2.0</v>
      </c>
      <c r="R40" s="24">
        <v>4.0</v>
      </c>
      <c r="S40" s="24">
        <v>5.0</v>
      </c>
      <c r="T40" s="24">
        <v>4.0</v>
      </c>
      <c r="U40" s="24">
        <v>4.0</v>
      </c>
      <c r="V40" s="24">
        <v>3.0</v>
      </c>
      <c r="W40" s="24">
        <v>2.0</v>
      </c>
      <c r="X40" s="24">
        <v>3.0</v>
      </c>
      <c r="Y40" s="24">
        <v>3.0</v>
      </c>
      <c r="Z40" s="24">
        <v>1.0</v>
      </c>
      <c r="AA40" s="24">
        <v>3.0</v>
      </c>
      <c r="AB40" s="24">
        <v>3.0</v>
      </c>
      <c r="AC40" s="24">
        <v>3.0</v>
      </c>
      <c r="AD40" s="24">
        <v>3.0</v>
      </c>
      <c r="AE40" s="24">
        <v>3.0</v>
      </c>
      <c r="AF40" s="24">
        <v>2.0</v>
      </c>
      <c r="AG40" s="24">
        <v>4.0</v>
      </c>
      <c r="AH40" s="24">
        <v>2.0</v>
      </c>
      <c r="AI40" s="24">
        <v>4.0</v>
      </c>
      <c r="AJ40" s="24">
        <v>3.0</v>
      </c>
      <c r="AK40" s="24">
        <v>3.0</v>
      </c>
      <c r="AL40" s="24">
        <v>1.0</v>
      </c>
      <c r="AM40" s="28">
        <v>1.0</v>
      </c>
      <c r="AN40" s="24">
        <v>3.0</v>
      </c>
      <c r="AO40" s="24">
        <v>2.0</v>
      </c>
      <c r="AP40" s="29">
        <f t="shared" si="1"/>
        <v>111</v>
      </c>
      <c r="AQ40" s="30">
        <f t="shared" si="2"/>
        <v>-0.1989086428</v>
      </c>
    </row>
    <row r="41">
      <c r="A41" s="24" t="s">
        <v>90</v>
      </c>
      <c r="B41" s="24">
        <v>2.0</v>
      </c>
      <c r="C41" s="24">
        <v>4.0</v>
      </c>
      <c r="D41" s="24">
        <v>3.0</v>
      </c>
      <c r="E41" s="24">
        <v>3.0</v>
      </c>
      <c r="F41" s="24">
        <v>3.0</v>
      </c>
      <c r="G41" s="24">
        <v>4.0</v>
      </c>
      <c r="H41" s="24">
        <v>3.0</v>
      </c>
      <c r="I41" s="24">
        <v>3.0</v>
      </c>
      <c r="J41" s="24">
        <v>4.0</v>
      </c>
      <c r="K41" s="24">
        <v>3.0</v>
      </c>
      <c r="L41" s="24">
        <v>4.0</v>
      </c>
      <c r="M41" s="24">
        <v>3.0</v>
      </c>
      <c r="N41" s="24">
        <v>3.0</v>
      </c>
      <c r="O41" s="24">
        <v>5.0</v>
      </c>
      <c r="P41" s="24">
        <v>3.0</v>
      </c>
      <c r="Q41" s="24">
        <v>3.0</v>
      </c>
      <c r="R41" s="24">
        <v>3.0</v>
      </c>
      <c r="S41" s="24">
        <v>4.0</v>
      </c>
      <c r="T41" s="24">
        <v>5.0</v>
      </c>
      <c r="U41" s="24">
        <v>5.0</v>
      </c>
      <c r="V41" s="24">
        <v>4.0</v>
      </c>
      <c r="W41" s="24">
        <v>4.0</v>
      </c>
      <c r="X41" s="24">
        <v>3.0</v>
      </c>
      <c r="Y41" s="24">
        <v>2.0</v>
      </c>
      <c r="Z41" s="24">
        <v>3.0</v>
      </c>
      <c r="AA41" s="24">
        <v>4.0</v>
      </c>
      <c r="AB41" s="24">
        <v>4.0</v>
      </c>
      <c r="AC41" s="24">
        <v>5.0</v>
      </c>
      <c r="AD41" s="24">
        <v>4.0</v>
      </c>
      <c r="AE41" s="24">
        <v>4.0</v>
      </c>
      <c r="AF41" s="24">
        <v>2.0</v>
      </c>
      <c r="AG41" s="24">
        <v>3.0</v>
      </c>
      <c r="AH41" s="24">
        <v>4.0</v>
      </c>
      <c r="AI41" s="24">
        <v>5.0</v>
      </c>
      <c r="AJ41" s="24">
        <v>3.0</v>
      </c>
      <c r="AK41" s="24">
        <v>4.0</v>
      </c>
      <c r="AL41" s="24">
        <v>2.0</v>
      </c>
      <c r="AM41" s="24">
        <v>3.0</v>
      </c>
      <c r="AN41" s="28">
        <v>1.0</v>
      </c>
      <c r="AO41" s="24">
        <v>4.0</v>
      </c>
      <c r="AP41" s="29">
        <f t="shared" si="1"/>
        <v>138</v>
      </c>
      <c r="AQ41" s="30">
        <f t="shared" si="2"/>
        <v>-0.004048582996</v>
      </c>
    </row>
    <row r="42">
      <c r="A42" s="24" t="s">
        <v>91</v>
      </c>
      <c r="B42" s="24">
        <v>1.0</v>
      </c>
      <c r="C42" s="24">
        <v>4.0</v>
      </c>
      <c r="D42" s="24">
        <v>3.0</v>
      </c>
      <c r="E42" s="24">
        <v>3.0</v>
      </c>
      <c r="F42" s="24">
        <v>2.0</v>
      </c>
      <c r="G42" s="24">
        <v>3.0</v>
      </c>
      <c r="H42" s="24">
        <v>4.0</v>
      </c>
      <c r="I42" s="24">
        <v>4.0</v>
      </c>
      <c r="J42" s="24">
        <v>3.0</v>
      </c>
      <c r="K42" s="24">
        <v>2.0</v>
      </c>
      <c r="L42" s="24">
        <v>3.0</v>
      </c>
      <c r="M42" s="24">
        <v>2.0</v>
      </c>
      <c r="N42" s="24">
        <v>3.0</v>
      </c>
      <c r="O42" s="24">
        <v>3.0</v>
      </c>
      <c r="P42" s="24">
        <v>2.0</v>
      </c>
      <c r="Q42" s="24">
        <v>1.0</v>
      </c>
      <c r="R42" s="24">
        <v>2.0</v>
      </c>
      <c r="S42" s="24">
        <v>4.0</v>
      </c>
      <c r="T42" s="24">
        <v>3.0</v>
      </c>
      <c r="U42" s="24">
        <v>4.0</v>
      </c>
      <c r="V42" s="24">
        <v>5.0</v>
      </c>
      <c r="W42" s="24">
        <v>5.0</v>
      </c>
      <c r="X42" s="24">
        <v>2.0</v>
      </c>
      <c r="Y42" s="24">
        <v>1.0</v>
      </c>
      <c r="Z42" s="24">
        <v>2.0</v>
      </c>
      <c r="AA42" s="24">
        <v>3.0</v>
      </c>
      <c r="AB42" s="24">
        <v>5.0</v>
      </c>
      <c r="AC42" s="24">
        <v>5.0</v>
      </c>
      <c r="AD42" s="24">
        <v>4.0</v>
      </c>
      <c r="AE42" s="24">
        <v>3.0</v>
      </c>
      <c r="AF42" s="24">
        <v>3.0</v>
      </c>
      <c r="AG42" s="24">
        <v>3.0</v>
      </c>
      <c r="AH42" s="24">
        <v>3.0</v>
      </c>
      <c r="AI42" s="24">
        <v>4.0</v>
      </c>
      <c r="AJ42" s="24">
        <v>2.0</v>
      </c>
      <c r="AK42" s="24">
        <v>5.0</v>
      </c>
      <c r="AL42" s="24">
        <v>1.0</v>
      </c>
      <c r="AM42" s="24">
        <v>1.0</v>
      </c>
      <c r="AN42" s="24">
        <v>4.0</v>
      </c>
      <c r="AO42" s="28">
        <v>1.0</v>
      </c>
      <c r="AP42" s="29">
        <f t="shared" si="1"/>
        <v>118</v>
      </c>
      <c r="AQ42" s="30">
        <f t="shared" si="2"/>
        <v>-0.1483893681</v>
      </c>
    </row>
    <row r="43">
      <c r="A43" s="33" t="s">
        <v>1</v>
      </c>
      <c r="B43" s="34">
        <f t="shared" ref="B43:AO43" si="3">SUM(B2:B42)</f>
        <v>110</v>
      </c>
      <c r="C43" s="34">
        <f t="shared" si="3"/>
        <v>164</v>
      </c>
      <c r="D43" s="34">
        <f t="shared" si="3"/>
        <v>139</v>
      </c>
      <c r="E43" s="34">
        <f t="shared" si="3"/>
        <v>103</v>
      </c>
      <c r="F43" s="34">
        <f t="shared" si="3"/>
        <v>141</v>
      </c>
      <c r="G43" s="34">
        <f t="shared" si="3"/>
        <v>133</v>
      </c>
      <c r="H43" s="34">
        <f t="shared" si="3"/>
        <v>151</v>
      </c>
      <c r="I43" s="34">
        <f t="shared" si="3"/>
        <v>135</v>
      </c>
      <c r="J43" s="34">
        <f t="shared" si="3"/>
        <v>132</v>
      </c>
      <c r="K43" s="34">
        <f t="shared" si="3"/>
        <v>139</v>
      </c>
      <c r="L43" s="34">
        <f t="shared" si="3"/>
        <v>119</v>
      </c>
      <c r="M43" s="34">
        <f t="shared" si="3"/>
        <v>123</v>
      </c>
      <c r="N43" s="34">
        <f t="shared" si="3"/>
        <v>152</v>
      </c>
      <c r="O43" s="34">
        <f t="shared" si="3"/>
        <v>150</v>
      </c>
      <c r="P43" s="34">
        <f t="shared" si="3"/>
        <v>118</v>
      </c>
      <c r="Q43" s="34">
        <f t="shared" si="3"/>
        <v>100</v>
      </c>
      <c r="R43" s="34">
        <f t="shared" si="3"/>
        <v>132</v>
      </c>
      <c r="S43" s="34">
        <f t="shared" si="3"/>
        <v>180</v>
      </c>
      <c r="T43" s="34">
        <f t="shared" si="3"/>
        <v>161</v>
      </c>
      <c r="U43" s="34">
        <f t="shared" si="3"/>
        <v>156</v>
      </c>
      <c r="V43" s="34">
        <f t="shared" si="3"/>
        <v>182</v>
      </c>
      <c r="W43" s="34">
        <f t="shared" si="3"/>
        <v>172</v>
      </c>
      <c r="X43" s="34">
        <f t="shared" si="3"/>
        <v>112</v>
      </c>
      <c r="Y43" s="34">
        <f t="shared" si="3"/>
        <v>105</v>
      </c>
      <c r="Z43" s="34">
        <f t="shared" si="3"/>
        <v>125</v>
      </c>
      <c r="AA43" s="34">
        <f t="shared" si="3"/>
        <v>151</v>
      </c>
      <c r="AB43" s="34">
        <f t="shared" si="3"/>
        <v>164</v>
      </c>
      <c r="AC43" s="34">
        <f t="shared" si="3"/>
        <v>189</v>
      </c>
      <c r="AD43" s="34">
        <f t="shared" si="3"/>
        <v>164</v>
      </c>
      <c r="AE43" s="34">
        <f t="shared" si="3"/>
        <v>146</v>
      </c>
      <c r="AF43" s="34">
        <f t="shared" si="3"/>
        <v>123</v>
      </c>
      <c r="AG43" s="34">
        <f t="shared" si="3"/>
        <v>136</v>
      </c>
      <c r="AH43" s="34">
        <f t="shared" si="3"/>
        <v>139</v>
      </c>
      <c r="AI43" s="34">
        <f t="shared" si="3"/>
        <v>172</v>
      </c>
      <c r="AJ43" s="34">
        <f t="shared" si="3"/>
        <v>148</v>
      </c>
      <c r="AK43" s="34">
        <f t="shared" si="3"/>
        <v>167</v>
      </c>
      <c r="AL43" s="34">
        <f t="shared" si="3"/>
        <v>106</v>
      </c>
      <c r="AM43" s="34">
        <f t="shared" si="3"/>
        <v>114</v>
      </c>
      <c r="AN43" s="34">
        <f t="shared" si="3"/>
        <v>166</v>
      </c>
      <c r="AO43" s="34">
        <f t="shared" si="3"/>
        <v>162</v>
      </c>
      <c r="AP43" s="35" t="s">
        <v>92</v>
      </c>
      <c r="AQ43" s="27"/>
    </row>
    <row r="44">
      <c r="A44" s="36" t="s">
        <v>93</v>
      </c>
      <c r="B44" s="37">
        <f t="shared" ref="B44:AO44" si="4">COUNTIF(B2:B42,5)</f>
        <v>1</v>
      </c>
      <c r="C44" s="37">
        <f t="shared" si="4"/>
        <v>17</v>
      </c>
      <c r="D44" s="37">
        <f t="shared" si="4"/>
        <v>3</v>
      </c>
      <c r="E44" s="37">
        <f t="shared" si="4"/>
        <v>1</v>
      </c>
      <c r="F44" s="37">
        <f t="shared" si="4"/>
        <v>5</v>
      </c>
      <c r="G44" s="37">
        <f t="shared" si="4"/>
        <v>3</v>
      </c>
      <c r="H44" s="37">
        <f t="shared" si="4"/>
        <v>11</v>
      </c>
      <c r="I44" s="37">
        <f t="shared" si="4"/>
        <v>5</v>
      </c>
      <c r="J44" s="37">
        <f t="shared" si="4"/>
        <v>2</v>
      </c>
      <c r="K44" s="37">
        <f t="shared" si="4"/>
        <v>4</v>
      </c>
      <c r="L44" s="37">
        <f t="shared" si="4"/>
        <v>1</v>
      </c>
      <c r="M44" s="37">
        <f t="shared" si="4"/>
        <v>1</v>
      </c>
      <c r="N44" s="37">
        <f t="shared" si="4"/>
        <v>7</v>
      </c>
      <c r="O44" s="37">
        <f t="shared" si="4"/>
        <v>11</v>
      </c>
      <c r="P44" s="37">
        <f t="shared" si="4"/>
        <v>1</v>
      </c>
      <c r="Q44" s="37">
        <f t="shared" si="4"/>
        <v>1</v>
      </c>
      <c r="R44" s="37">
        <f t="shared" si="4"/>
        <v>1</v>
      </c>
      <c r="S44" s="37">
        <f t="shared" si="4"/>
        <v>24</v>
      </c>
      <c r="T44" s="37">
        <f t="shared" si="4"/>
        <v>10</v>
      </c>
      <c r="U44" s="37">
        <f t="shared" si="4"/>
        <v>7</v>
      </c>
      <c r="V44" s="37">
        <f t="shared" si="4"/>
        <v>28</v>
      </c>
      <c r="W44" s="37">
        <f t="shared" si="4"/>
        <v>19</v>
      </c>
      <c r="X44" s="37">
        <f t="shared" si="4"/>
        <v>1</v>
      </c>
      <c r="Y44" s="37">
        <f t="shared" si="4"/>
        <v>1</v>
      </c>
      <c r="Z44" s="37">
        <f t="shared" si="4"/>
        <v>3</v>
      </c>
      <c r="AA44" s="37">
        <f t="shared" si="4"/>
        <v>8</v>
      </c>
      <c r="AB44" s="37">
        <f t="shared" si="4"/>
        <v>10</v>
      </c>
      <c r="AC44" s="37">
        <f t="shared" si="4"/>
        <v>31</v>
      </c>
      <c r="AD44" s="37">
        <f t="shared" si="4"/>
        <v>10</v>
      </c>
      <c r="AE44" s="37">
        <f t="shared" si="4"/>
        <v>4</v>
      </c>
      <c r="AF44" s="37">
        <f t="shared" si="4"/>
        <v>3</v>
      </c>
      <c r="AG44" s="37">
        <f t="shared" si="4"/>
        <v>6</v>
      </c>
      <c r="AH44" s="37">
        <f t="shared" si="4"/>
        <v>2</v>
      </c>
      <c r="AI44" s="37">
        <f t="shared" si="4"/>
        <v>18</v>
      </c>
      <c r="AJ44" s="37">
        <f t="shared" si="4"/>
        <v>8</v>
      </c>
      <c r="AK44" s="37">
        <f t="shared" si="4"/>
        <v>16</v>
      </c>
      <c r="AL44" s="37">
        <f t="shared" si="4"/>
        <v>1</v>
      </c>
      <c r="AM44" s="37">
        <f t="shared" si="4"/>
        <v>2</v>
      </c>
      <c r="AN44" s="37">
        <f t="shared" si="4"/>
        <v>12</v>
      </c>
      <c r="AO44" s="37">
        <f t="shared" si="4"/>
        <v>15</v>
      </c>
      <c r="AP44" s="38">
        <f t="shared" ref="AP44:AP48" si="6">SUM(B44:AO44)</f>
        <v>314</v>
      </c>
      <c r="AQ44" s="39">
        <f t="shared" ref="AQ44:AQ49" si="7">AP44/$AP$49</f>
        <v>0.1914634146</v>
      </c>
    </row>
    <row r="45">
      <c r="A45" s="36" t="s">
        <v>94</v>
      </c>
      <c r="B45" s="37">
        <f t="shared" ref="B45:AO45" si="5">COUNTIF(B2:B42,4)</f>
        <v>5</v>
      </c>
      <c r="C45" s="37">
        <f t="shared" si="5"/>
        <v>13</v>
      </c>
      <c r="D45" s="37">
        <f t="shared" si="5"/>
        <v>15</v>
      </c>
      <c r="E45" s="37">
        <f t="shared" si="5"/>
        <v>3</v>
      </c>
      <c r="F45" s="37">
        <f t="shared" si="5"/>
        <v>19</v>
      </c>
      <c r="G45" s="37">
        <f t="shared" si="5"/>
        <v>16</v>
      </c>
      <c r="H45" s="37">
        <f t="shared" si="5"/>
        <v>13</v>
      </c>
      <c r="I45" s="37">
        <f t="shared" si="5"/>
        <v>10</v>
      </c>
      <c r="J45" s="37">
        <f t="shared" si="5"/>
        <v>13</v>
      </c>
      <c r="K45" s="37">
        <f t="shared" si="5"/>
        <v>14</v>
      </c>
      <c r="L45" s="37">
        <f t="shared" si="5"/>
        <v>6</v>
      </c>
      <c r="M45" s="37">
        <f t="shared" si="5"/>
        <v>11</v>
      </c>
      <c r="N45" s="37">
        <f t="shared" si="5"/>
        <v>18</v>
      </c>
      <c r="O45" s="37">
        <f t="shared" si="5"/>
        <v>13</v>
      </c>
      <c r="P45" s="37">
        <f t="shared" si="5"/>
        <v>8</v>
      </c>
      <c r="Q45" s="37">
        <f t="shared" si="5"/>
        <v>1</v>
      </c>
      <c r="R45" s="37">
        <f t="shared" si="5"/>
        <v>12</v>
      </c>
      <c r="S45" s="37">
        <f t="shared" si="5"/>
        <v>12</v>
      </c>
      <c r="T45" s="37">
        <f t="shared" si="5"/>
        <v>20</v>
      </c>
      <c r="U45" s="37">
        <f t="shared" si="5"/>
        <v>24</v>
      </c>
      <c r="V45" s="37">
        <f t="shared" si="5"/>
        <v>8</v>
      </c>
      <c r="W45" s="37">
        <f t="shared" si="5"/>
        <v>16</v>
      </c>
      <c r="X45" s="37">
        <f t="shared" si="5"/>
        <v>4</v>
      </c>
      <c r="Y45" s="37">
        <f t="shared" si="5"/>
        <v>1</v>
      </c>
      <c r="Z45" s="37">
        <f t="shared" si="5"/>
        <v>7</v>
      </c>
      <c r="AA45" s="37">
        <f t="shared" si="5"/>
        <v>16</v>
      </c>
      <c r="AB45" s="37">
        <f t="shared" si="5"/>
        <v>23</v>
      </c>
      <c r="AC45" s="37">
        <f t="shared" si="5"/>
        <v>7</v>
      </c>
      <c r="AD45" s="37">
        <f t="shared" si="5"/>
        <v>23</v>
      </c>
      <c r="AE45" s="37">
        <f t="shared" si="5"/>
        <v>20</v>
      </c>
      <c r="AF45" s="37">
        <f t="shared" si="5"/>
        <v>10</v>
      </c>
      <c r="AG45" s="37">
        <f t="shared" si="5"/>
        <v>9</v>
      </c>
      <c r="AH45" s="37">
        <f t="shared" si="5"/>
        <v>19</v>
      </c>
      <c r="AI45" s="37">
        <f t="shared" si="5"/>
        <v>17</v>
      </c>
      <c r="AJ45" s="37">
        <f t="shared" si="5"/>
        <v>16</v>
      </c>
      <c r="AK45" s="37">
        <f t="shared" si="5"/>
        <v>16</v>
      </c>
      <c r="AL45" s="37">
        <f t="shared" si="5"/>
        <v>5</v>
      </c>
      <c r="AM45" s="37">
        <f t="shared" si="5"/>
        <v>4</v>
      </c>
      <c r="AN45" s="37">
        <f t="shared" si="5"/>
        <v>21</v>
      </c>
      <c r="AO45" s="37">
        <f t="shared" si="5"/>
        <v>14</v>
      </c>
      <c r="AP45" s="38">
        <f t="shared" si="6"/>
        <v>502</v>
      </c>
      <c r="AQ45" s="39">
        <f t="shared" si="7"/>
        <v>0.306097561</v>
      </c>
    </row>
    <row r="46">
      <c r="A46" s="36" t="s">
        <v>95</v>
      </c>
      <c r="B46" s="37">
        <f t="shared" ref="B46:AO46" si="8">COUNTIF(B2:B42,3)</f>
        <v>22</v>
      </c>
      <c r="C46" s="37">
        <f t="shared" si="8"/>
        <v>7</v>
      </c>
      <c r="D46" s="37">
        <f t="shared" si="8"/>
        <v>19</v>
      </c>
      <c r="E46" s="37">
        <f t="shared" si="8"/>
        <v>14</v>
      </c>
      <c r="F46" s="37">
        <f t="shared" si="8"/>
        <v>9</v>
      </c>
      <c r="G46" s="37">
        <f t="shared" si="8"/>
        <v>15</v>
      </c>
      <c r="H46" s="37">
        <f t="shared" si="8"/>
        <v>12</v>
      </c>
      <c r="I46" s="37">
        <f t="shared" si="8"/>
        <v>21</v>
      </c>
      <c r="J46" s="37">
        <f t="shared" si="8"/>
        <v>20</v>
      </c>
      <c r="K46" s="37">
        <f t="shared" si="8"/>
        <v>18</v>
      </c>
      <c r="L46" s="37">
        <f t="shared" si="8"/>
        <v>24</v>
      </c>
      <c r="M46" s="37">
        <f t="shared" si="8"/>
        <v>18</v>
      </c>
      <c r="N46" s="37">
        <f t="shared" si="8"/>
        <v>14</v>
      </c>
      <c r="O46" s="37">
        <f t="shared" si="8"/>
        <v>9</v>
      </c>
      <c r="P46" s="37">
        <f t="shared" si="8"/>
        <v>18</v>
      </c>
      <c r="Q46" s="37">
        <f t="shared" si="8"/>
        <v>18</v>
      </c>
      <c r="R46" s="37">
        <f t="shared" si="8"/>
        <v>24</v>
      </c>
      <c r="S46" s="37">
        <f t="shared" si="8"/>
        <v>3</v>
      </c>
      <c r="T46" s="37">
        <f t="shared" si="8"/>
        <v>10</v>
      </c>
      <c r="U46" s="37">
        <f t="shared" si="8"/>
        <v>6</v>
      </c>
      <c r="V46" s="37">
        <f t="shared" si="8"/>
        <v>1</v>
      </c>
      <c r="W46" s="37">
        <f t="shared" si="8"/>
        <v>3</v>
      </c>
      <c r="X46" s="37">
        <f t="shared" si="8"/>
        <v>21</v>
      </c>
      <c r="Y46" s="37">
        <f t="shared" si="8"/>
        <v>21</v>
      </c>
      <c r="Z46" s="37">
        <f t="shared" si="8"/>
        <v>23</v>
      </c>
      <c r="AA46" s="37">
        <f t="shared" si="8"/>
        <v>14</v>
      </c>
      <c r="AB46" s="37">
        <f t="shared" si="8"/>
        <v>7</v>
      </c>
      <c r="AC46" s="37">
        <f t="shared" si="8"/>
        <v>1</v>
      </c>
      <c r="AD46" s="37">
        <f t="shared" si="8"/>
        <v>7</v>
      </c>
      <c r="AE46" s="37">
        <f t="shared" si="8"/>
        <v>13</v>
      </c>
      <c r="AF46" s="37">
        <f t="shared" si="8"/>
        <v>15</v>
      </c>
      <c r="AG46" s="37">
        <f t="shared" si="8"/>
        <v>20</v>
      </c>
      <c r="AH46" s="37">
        <f t="shared" si="8"/>
        <v>14</v>
      </c>
      <c r="AI46" s="37">
        <f t="shared" si="8"/>
        <v>4</v>
      </c>
      <c r="AJ46" s="37">
        <f t="shared" si="8"/>
        <v>11</v>
      </c>
      <c r="AK46" s="37">
        <f t="shared" si="8"/>
        <v>6</v>
      </c>
      <c r="AL46" s="37">
        <f t="shared" si="8"/>
        <v>16</v>
      </c>
      <c r="AM46" s="37">
        <f t="shared" si="8"/>
        <v>20</v>
      </c>
      <c r="AN46" s="37">
        <f t="shared" si="8"/>
        <v>7</v>
      </c>
      <c r="AO46" s="37">
        <f t="shared" si="8"/>
        <v>8</v>
      </c>
      <c r="AP46" s="38">
        <f t="shared" si="6"/>
        <v>533</v>
      </c>
      <c r="AQ46" s="39">
        <f t="shared" si="7"/>
        <v>0.325</v>
      </c>
    </row>
    <row r="47">
      <c r="A47" s="36" t="s">
        <v>96</v>
      </c>
      <c r="B47" s="37">
        <f t="shared" ref="B47:AO47" si="9">COUNTIF(B2:B42,2)</f>
        <v>6</v>
      </c>
      <c r="C47" s="37">
        <f t="shared" si="9"/>
        <v>2</v>
      </c>
      <c r="D47" s="37">
        <f t="shared" si="9"/>
        <v>3</v>
      </c>
      <c r="E47" s="37">
        <f t="shared" si="9"/>
        <v>21</v>
      </c>
      <c r="F47" s="37">
        <f t="shared" si="9"/>
        <v>5</v>
      </c>
      <c r="G47" s="37">
        <f t="shared" si="9"/>
        <v>2</v>
      </c>
      <c r="H47" s="37">
        <f t="shared" si="9"/>
        <v>3</v>
      </c>
      <c r="I47" s="37">
        <f t="shared" si="9"/>
        <v>2</v>
      </c>
      <c r="J47" s="37">
        <f t="shared" si="9"/>
        <v>4</v>
      </c>
      <c r="K47" s="37">
        <f t="shared" si="9"/>
        <v>4</v>
      </c>
      <c r="L47" s="37">
        <f t="shared" si="9"/>
        <v>8</v>
      </c>
      <c r="M47" s="37">
        <f t="shared" si="9"/>
        <v>9</v>
      </c>
      <c r="N47" s="37">
        <f t="shared" si="9"/>
        <v>1</v>
      </c>
      <c r="O47" s="37">
        <f t="shared" si="9"/>
        <v>8</v>
      </c>
      <c r="P47" s="37">
        <f t="shared" si="9"/>
        <v>13</v>
      </c>
      <c r="Q47" s="37">
        <f t="shared" si="9"/>
        <v>16</v>
      </c>
      <c r="R47" s="37">
        <f t="shared" si="9"/>
        <v>3</v>
      </c>
      <c r="S47" s="37">
        <f t="shared" si="9"/>
        <v>1</v>
      </c>
      <c r="T47" s="37">
        <f t="shared" si="9"/>
        <v>0</v>
      </c>
      <c r="U47" s="37">
        <f t="shared" si="9"/>
        <v>3</v>
      </c>
      <c r="V47" s="37">
        <f t="shared" si="9"/>
        <v>3</v>
      </c>
      <c r="W47" s="37">
        <f t="shared" si="9"/>
        <v>1</v>
      </c>
      <c r="X47" s="37">
        <f t="shared" si="9"/>
        <v>13</v>
      </c>
      <c r="Y47" s="37">
        <f t="shared" si="9"/>
        <v>15</v>
      </c>
      <c r="Z47" s="37">
        <f t="shared" si="9"/>
        <v>5</v>
      </c>
      <c r="AA47" s="37">
        <f t="shared" si="9"/>
        <v>2</v>
      </c>
      <c r="AB47" s="37">
        <f t="shared" si="9"/>
        <v>0</v>
      </c>
      <c r="AC47" s="37">
        <f t="shared" si="9"/>
        <v>1</v>
      </c>
      <c r="AD47" s="37">
        <f t="shared" si="9"/>
        <v>0</v>
      </c>
      <c r="AE47" s="37">
        <f t="shared" si="9"/>
        <v>3</v>
      </c>
      <c r="AF47" s="37">
        <f t="shared" si="9"/>
        <v>10</v>
      </c>
      <c r="AG47" s="37">
        <f t="shared" si="9"/>
        <v>4</v>
      </c>
      <c r="AH47" s="37">
        <f t="shared" si="9"/>
        <v>5</v>
      </c>
      <c r="AI47" s="37">
        <f t="shared" si="9"/>
        <v>0</v>
      </c>
      <c r="AJ47" s="37">
        <f t="shared" si="9"/>
        <v>5</v>
      </c>
      <c r="AK47" s="37">
        <f t="shared" si="9"/>
        <v>2</v>
      </c>
      <c r="AL47" s="37">
        <f t="shared" si="9"/>
        <v>14</v>
      </c>
      <c r="AM47" s="37">
        <f t="shared" si="9"/>
        <v>13</v>
      </c>
      <c r="AN47" s="37">
        <f t="shared" si="9"/>
        <v>0</v>
      </c>
      <c r="AO47" s="37">
        <f t="shared" si="9"/>
        <v>3</v>
      </c>
      <c r="AP47" s="38">
        <f t="shared" si="6"/>
        <v>213</v>
      </c>
      <c r="AQ47" s="39">
        <f t="shared" si="7"/>
        <v>0.1298780488</v>
      </c>
    </row>
    <row r="48">
      <c r="A48" s="36" t="s">
        <v>97</v>
      </c>
      <c r="B48" s="37">
        <f t="shared" ref="B48:AO48" si="10">COUNTIF(B2:B42,1)</f>
        <v>7</v>
      </c>
      <c r="C48" s="37">
        <f t="shared" si="10"/>
        <v>2</v>
      </c>
      <c r="D48" s="37">
        <f t="shared" si="10"/>
        <v>1</v>
      </c>
      <c r="E48" s="37">
        <f t="shared" si="10"/>
        <v>2</v>
      </c>
      <c r="F48" s="37">
        <f t="shared" si="10"/>
        <v>3</v>
      </c>
      <c r="G48" s="37">
        <f t="shared" si="10"/>
        <v>5</v>
      </c>
      <c r="H48" s="37">
        <f t="shared" si="10"/>
        <v>2</v>
      </c>
      <c r="I48" s="37">
        <f t="shared" si="10"/>
        <v>3</v>
      </c>
      <c r="J48" s="37">
        <f t="shared" si="10"/>
        <v>2</v>
      </c>
      <c r="K48" s="37">
        <f t="shared" si="10"/>
        <v>1</v>
      </c>
      <c r="L48" s="37">
        <f t="shared" si="10"/>
        <v>2</v>
      </c>
      <c r="M48" s="37">
        <f t="shared" si="10"/>
        <v>2</v>
      </c>
      <c r="N48" s="37">
        <f t="shared" si="10"/>
        <v>1</v>
      </c>
      <c r="O48" s="37">
        <f t="shared" si="10"/>
        <v>0</v>
      </c>
      <c r="P48" s="37">
        <f t="shared" si="10"/>
        <v>1</v>
      </c>
      <c r="Q48" s="37">
        <f t="shared" si="10"/>
        <v>5</v>
      </c>
      <c r="R48" s="37">
        <f t="shared" si="10"/>
        <v>1</v>
      </c>
      <c r="S48" s="37">
        <f t="shared" si="10"/>
        <v>1</v>
      </c>
      <c r="T48" s="37">
        <f t="shared" si="10"/>
        <v>1</v>
      </c>
      <c r="U48" s="37">
        <f t="shared" si="10"/>
        <v>1</v>
      </c>
      <c r="V48" s="37">
        <f t="shared" si="10"/>
        <v>1</v>
      </c>
      <c r="W48" s="37">
        <f t="shared" si="10"/>
        <v>2</v>
      </c>
      <c r="X48" s="37">
        <f t="shared" si="10"/>
        <v>2</v>
      </c>
      <c r="Y48" s="37">
        <f t="shared" si="10"/>
        <v>3</v>
      </c>
      <c r="Z48" s="37">
        <f t="shared" si="10"/>
        <v>3</v>
      </c>
      <c r="AA48" s="37">
        <f t="shared" si="10"/>
        <v>1</v>
      </c>
      <c r="AB48" s="37">
        <f t="shared" si="10"/>
        <v>1</v>
      </c>
      <c r="AC48" s="37">
        <f t="shared" si="10"/>
        <v>1</v>
      </c>
      <c r="AD48" s="37">
        <f t="shared" si="10"/>
        <v>1</v>
      </c>
      <c r="AE48" s="37">
        <f t="shared" si="10"/>
        <v>1</v>
      </c>
      <c r="AF48" s="37">
        <f t="shared" si="10"/>
        <v>3</v>
      </c>
      <c r="AG48" s="37">
        <f t="shared" si="10"/>
        <v>2</v>
      </c>
      <c r="AH48" s="37">
        <f t="shared" si="10"/>
        <v>1</v>
      </c>
      <c r="AI48" s="37">
        <f t="shared" si="10"/>
        <v>2</v>
      </c>
      <c r="AJ48" s="37">
        <f t="shared" si="10"/>
        <v>1</v>
      </c>
      <c r="AK48" s="37">
        <f t="shared" si="10"/>
        <v>1</v>
      </c>
      <c r="AL48" s="37">
        <f t="shared" si="10"/>
        <v>5</v>
      </c>
      <c r="AM48" s="37">
        <f t="shared" si="10"/>
        <v>2</v>
      </c>
      <c r="AN48" s="37">
        <f t="shared" si="10"/>
        <v>1</v>
      </c>
      <c r="AO48" s="37">
        <f t="shared" si="10"/>
        <v>1</v>
      </c>
      <c r="AP48" s="38">
        <f t="shared" si="6"/>
        <v>78</v>
      </c>
      <c r="AQ48" s="39">
        <f t="shared" si="7"/>
        <v>0.04756097561</v>
      </c>
    </row>
    <row r="49">
      <c r="A49" s="20"/>
      <c r="B49" s="20"/>
      <c r="C49" s="20"/>
      <c r="D49" s="20"/>
      <c r="I49" s="10"/>
      <c r="AP49" s="38">
        <f>SUM(AP44:AP48)</f>
        <v>1640</v>
      </c>
      <c r="AQ49" s="39">
        <f t="shared" si="7"/>
        <v>1</v>
      </c>
    </row>
    <row r="50">
      <c r="A50" s="20"/>
      <c r="B50" s="20"/>
      <c r="C50" s="20"/>
      <c r="D50" s="20"/>
      <c r="I50" s="10"/>
    </row>
    <row r="51">
      <c r="A51" s="26" t="s">
        <v>98</v>
      </c>
      <c r="B51" s="20"/>
      <c r="C51" s="20"/>
      <c r="D51" s="20"/>
      <c r="I51" s="10"/>
    </row>
    <row r="52">
      <c r="A52" s="40" t="s">
        <v>99</v>
      </c>
      <c r="B52" s="41">
        <f>AVERAGE(AP2:AP42)</f>
        <v>138.5609756</v>
      </c>
      <c r="C52" s="20"/>
      <c r="D52" s="20"/>
      <c r="I52" s="10"/>
    </row>
    <row r="53">
      <c r="A53" s="40"/>
      <c r="B53" s="41"/>
      <c r="C53" s="20"/>
      <c r="D53" s="20"/>
      <c r="I53" s="10"/>
    </row>
    <row r="54">
      <c r="A54" s="40"/>
      <c r="B54" s="41"/>
      <c r="C54" s="20"/>
      <c r="D54" s="20"/>
    </row>
    <row r="55">
      <c r="A55" s="40"/>
      <c r="B55" s="41"/>
      <c r="C55" s="20"/>
      <c r="D55" s="20"/>
    </row>
    <row r="56">
      <c r="A56" s="40"/>
      <c r="B56" s="41"/>
      <c r="C56" s="20"/>
      <c r="D56" s="20"/>
    </row>
    <row r="57">
      <c r="A57" s="40"/>
      <c r="B57" s="41"/>
      <c r="C57" s="20"/>
      <c r="D57" s="20"/>
      <c r="G57" s="10"/>
    </row>
    <row r="58">
      <c r="A58" s="40"/>
      <c r="B58" s="41"/>
      <c r="C58" s="20"/>
      <c r="D58" s="20"/>
      <c r="G58" s="10"/>
    </row>
    <row r="59">
      <c r="A59" s="40"/>
      <c r="B59" s="41"/>
      <c r="C59" s="20"/>
      <c r="D59" s="20"/>
      <c r="G59" s="10"/>
    </row>
    <row r="60">
      <c r="A60" s="40"/>
      <c r="B60" s="41"/>
      <c r="C60" s="20"/>
      <c r="D60" s="20"/>
      <c r="G60" s="10"/>
    </row>
    <row r="61">
      <c r="A61" s="40"/>
      <c r="B61" s="41"/>
      <c r="C61" s="20"/>
      <c r="D61" s="20"/>
      <c r="G61" s="10"/>
    </row>
    <row r="62">
      <c r="A62" s="40"/>
      <c r="B62" s="41"/>
      <c r="C62" s="20"/>
      <c r="D62" s="20"/>
      <c r="G62" s="10"/>
    </row>
    <row r="63">
      <c r="A63" s="40"/>
      <c r="B63" s="41"/>
      <c r="C63" s="20"/>
      <c r="D63" s="20"/>
      <c r="G63" s="10"/>
    </row>
    <row r="64">
      <c r="A64" s="40"/>
      <c r="B64" s="41"/>
      <c r="C64" s="20"/>
      <c r="D64" s="20"/>
      <c r="G64" s="10"/>
    </row>
    <row r="65">
      <c r="A65" s="40"/>
      <c r="B65" s="41"/>
      <c r="C65" s="20"/>
      <c r="D65" s="20"/>
      <c r="G65" s="10"/>
    </row>
    <row r="66">
      <c r="A66" s="40"/>
      <c r="B66" s="41"/>
      <c r="C66" s="20"/>
      <c r="D66" s="20"/>
      <c r="G66" s="10"/>
    </row>
    <row r="67">
      <c r="A67" s="40"/>
      <c r="B67" s="41"/>
      <c r="C67" s="20"/>
      <c r="D67" s="20"/>
      <c r="G67" s="10"/>
    </row>
    <row r="68">
      <c r="A68" s="40"/>
      <c r="B68" s="41"/>
      <c r="C68" s="20"/>
      <c r="D68" s="20"/>
      <c r="G68" s="10"/>
    </row>
    <row r="69">
      <c r="A69" s="40"/>
      <c r="B69" s="41"/>
      <c r="C69" s="20"/>
      <c r="D69" s="20"/>
      <c r="G69" s="10"/>
    </row>
    <row r="70">
      <c r="A70" s="40"/>
      <c r="B70" s="41"/>
      <c r="C70" s="20"/>
      <c r="D70" s="20"/>
      <c r="G70" s="10"/>
    </row>
    <row r="71">
      <c r="A71" s="40"/>
      <c r="B71" s="41"/>
      <c r="C71" s="20"/>
      <c r="D71" s="20"/>
      <c r="G71" s="10"/>
    </row>
    <row r="72">
      <c r="A72" s="40"/>
      <c r="B72" s="41"/>
      <c r="C72" s="20"/>
      <c r="D72" s="20"/>
      <c r="G72" s="10"/>
    </row>
  </sheetData>
  <conditionalFormatting sqref="B2:AO42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26.0"/>
  </cols>
  <sheetData>
    <row r="1">
      <c r="A1" s="42" t="s">
        <v>100</v>
      </c>
      <c r="B1" s="43" t="s">
        <v>101</v>
      </c>
      <c r="C1" s="43" t="s">
        <v>102</v>
      </c>
      <c r="D1" s="43" t="s">
        <v>103</v>
      </c>
      <c r="E1" s="43" t="s">
        <v>104</v>
      </c>
    </row>
    <row r="2">
      <c r="A2" s="1">
        <v>1.0</v>
      </c>
      <c r="B2" s="6" t="s">
        <v>3</v>
      </c>
      <c r="C2" s="44" t="s">
        <v>105</v>
      </c>
      <c r="D2" s="20"/>
      <c r="E2" s="20"/>
    </row>
    <row r="3">
      <c r="A3" s="1">
        <v>2.0</v>
      </c>
      <c r="B3" s="6" t="s">
        <v>7</v>
      </c>
      <c r="C3" s="45" t="s">
        <v>106</v>
      </c>
      <c r="D3" s="20"/>
      <c r="E3" s="44" t="s">
        <v>107</v>
      </c>
    </row>
    <row r="4">
      <c r="A4" s="1">
        <v>3.0</v>
      </c>
      <c r="B4" s="6" t="s">
        <v>10</v>
      </c>
      <c r="C4" s="44" t="s">
        <v>105</v>
      </c>
      <c r="D4" s="20"/>
      <c r="E4" s="20"/>
    </row>
    <row r="5">
      <c r="A5" s="1">
        <v>4.0</v>
      </c>
      <c r="B5" s="6" t="s">
        <v>13</v>
      </c>
      <c r="C5" s="44" t="s">
        <v>108</v>
      </c>
      <c r="D5" s="20"/>
      <c r="E5" s="44" t="s">
        <v>107</v>
      </c>
    </row>
    <row r="6">
      <c r="A6" s="1">
        <v>5.0</v>
      </c>
      <c r="B6" s="6" t="s">
        <v>14</v>
      </c>
      <c r="C6" s="44" t="s">
        <v>109</v>
      </c>
      <c r="D6" s="20"/>
      <c r="E6" s="44" t="s">
        <v>110</v>
      </c>
    </row>
  </sheetData>
  <drawing r:id="rId1"/>
</worksheet>
</file>
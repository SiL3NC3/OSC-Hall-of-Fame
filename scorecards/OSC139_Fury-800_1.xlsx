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Results!$A$1:$D$25</definedName>
  </definedNames>
  <calcPr/>
</workbook>
</file>

<file path=xl/sharedStrings.xml><?xml version="1.0" encoding="utf-8"?>
<sst xmlns="http://schemas.openxmlformats.org/spreadsheetml/2006/main" count="133" uniqueCount="79">
  <si>
    <t>Name</t>
  </si>
  <si>
    <t>Score</t>
  </si>
  <si>
    <t>exponent1 - Psywave Fury</t>
  </si>
  <si>
    <t>pts</t>
  </si>
  <si>
    <t>Taron - Length</t>
  </si>
  <si>
    <t>z.prime - Searching</t>
  </si>
  <si>
    <t>kraftraum - Rotation 31</t>
  </si>
  <si>
    <t>Shifrin - Crystaline</t>
  </si>
  <si>
    <t>H-man - Distractions</t>
  </si>
  <si>
    <t>bh9090 - Daw Gazer</t>
  </si>
  <si>
    <t>wireframewolves - Thunderfury</t>
  </si>
  <si>
    <t>dq</t>
  </si>
  <si>
    <t>Eauson - Freak When See</t>
  </si>
  <si>
    <t>doctorbob - Smooth Fury Quartet</t>
  </si>
  <si>
    <t>ELEX - The Butterfly and the Dawn</t>
  </si>
  <si>
    <t>gethiox - du du du</t>
  </si>
  <si>
    <t>MyLoFy - Purely Furious</t>
  </si>
  <si>
    <t>bpetrov - Fury Up Now</t>
  </si>
  <si>
    <t>Tensorman - The Promised Land</t>
  </si>
  <si>
    <t>AgnosticLlama - AgnosticLlama</t>
  </si>
  <si>
    <t>Gamma-UT - Model 800</t>
  </si>
  <si>
    <t>ontrackp - Bury The Fury</t>
  </si>
  <si>
    <t>elviecho - A Call From The 80's</t>
  </si>
  <si>
    <t>mehum - Relis Döh Fackin Fjöri</t>
  </si>
  <si>
    <t>dorayaki - Ramp</t>
  </si>
  <si>
    <t>baalisoda - Lament of the Fallen</t>
  </si>
  <si>
    <t>Neptune - FuryJam</t>
  </si>
  <si>
    <t>vov4ik - Last Minute</t>
  </si>
  <si>
    <t>Voter Name (KVR nick)</t>
  </si>
  <si>
    <t>Gen. Score *</t>
  </si>
  <si>
    <t>AgnosticLlama</t>
  </si>
  <si>
    <t>baalisoda</t>
  </si>
  <si>
    <t>bh9090</t>
  </si>
  <si>
    <t>bpetrov</t>
  </si>
  <si>
    <t>doctorbob</t>
  </si>
  <si>
    <t>dorayaki</t>
  </si>
  <si>
    <t>ELEX</t>
  </si>
  <si>
    <t>elviecho</t>
  </si>
  <si>
    <t>exponent1</t>
  </si>
  <si>
    <t>FrogsInPants</t>
  </si>
  <si>
    <t>Gamma-UT</t>
  </si>
  <si>
    <t>gethiox</t>
  </si>
  <si>
    <t>H-man</t>
  </si>
  <si>
    <t>Kraftraum</t>
  </si>
  <si>
    <t>mehum</t>
  </si>
  <si>
    <t>MyLoFy</t>
  </si>
  <si>
    <t>nenneb</t>
  </si>
  <si>
    <t>Neptune</t>
  </si>
  <si>
    <t>ontrackp</t>
  </si>
  <si>
    <t>Richard Semper</t>
  </si>
  <si>
    <t>Shifrin</t>
  </si>
  <si>
    <t>Taron</t>
  </si>
  <si>
    <t>Tensorman</t>
  </si>
  <si>
    <t>Tj Shredder</t>
  </si>
  <si>
    <t>Vov4ik</t>
  </si>
  <si>
    <t>wireframewolves</t>
  </si>
  <si>
    <t>z.prime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</si>
  <si>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</si>
  <si>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</si>
  <si>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</si>
  <si>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</si>
  <si>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</si>
  <si>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</si>
  <si>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</si>
  <si>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</si>
  <si>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</si>
  <si>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</si>
  <si>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</si>
  <si>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</si>
  <si>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</si>
  <si>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Luftrum 23 for Arturia Pigments 2 (Req Lunaris)</t>
  </si>
  <si>
    <t>request sent</t>
  </si>
  <si>
    <t>Pass</t>
  </si>
  <si>
    <t>N/A</t>
  </si>
  <si>
    <t>Sonimus Satson CS (req prev?)</t>
  </si>
  <si>
    <t>requested again</t>
  </si>
  <si>
    <t>DiscoDSP's Discovery</t>
  </si>
  <si>
    <t>Sent</t>
  </si>
  <si>
    <t>Dmitry Sches' Diversion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</si>
</sst>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color theme="1"/>
      <name val="Arial"/>
      <scheme val="minor"/>
    </font>
    <font>
      <sz val="11.0"/>
      <color rgb="FF666666"/>
      <name val="Arial"/>
    </font>
    <font>
      <color rgb="FF666666"/>
      <name val="Arial"/>
      <scheme val="minor"/>
    </font>
    <font>
      <sz val="11.0"/>
      <color rgb="FFA61D4C"/>
      <name val="Inconsolata"/>
    </font>
    <font>
      <sz val="11.0"/>
      <color rgb="FF000000"/>
      <name val="Inconsolata"/>
    </font>
    <font>
      <u/>
      <color rgb="FF1155CC"/>
      <name val="Arial"/>
    </font>
    <font>
      <color rgb="FF999999"/>
      <name val="Arial"/>
    </font>
    <font>
      <sz val="11.0"/>
      <color rgb="FF999999"/>
      <name val="Inconsolata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2" fontId="6" numFmtId="0" xfId="0" applyAlignment="1" applyFill="1" applyFont="1">
      <alignment shrinkToFit="0" vertical="bottom" wrapText="0"/>
    </xf>
    <xf borderId="0" fillId="2" fontId="6" numFmtId="0" xfId="0" applyAlignment="1" applyFont="1">
      <alignment vertical="bottom"/>
    </xf>
    <xf borderId="0" fillId="2" fontId="7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9" numFmtId="0" xfId="0" applyAlignment="1" applyFont="1">
      <alignment shrinkToFit="0" vertical="bottom" wrapText="0"/>
    </xf>
    <xf borderId="0" fillId="0" fontId="1" numFmtId="9" xfId="0" applyAlignment="1" applyFont="1" applyNumberFormat="1">
      <alignment vertical="bottom"/>
    </xf>
    <xf borderId="0" fillId="4" fontId="1" numFmtId="0" xfId="0" applyAlignment="1" applyFill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2" fontId="10" numFmtId="9" xfId="0" applyAlignment="1" applyFont="1" applyNumberFormat="1">
      <alignment horizontal="right" vertical="bottom"/>
    </xf>
    <xf borderId="0" fillId="5" fontId="3" numFmtId="0" xfId="0" applyAlignment="1" applyFill="1" applyFont="1">
      <alignment readingOrder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6" numFmtId="0" xfId="0" applyAlignment="1" applyFont="1">
      <alignment horizontal="right" vertical="bottom"/>
    </xf>
    <xf borderId="0" fillId="0" fontId="16" numFmtId="9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323850</xdr:colOff>
      <xdr:row>35</xdr:row>
      <xdr:rowOff>47625</xdr:rowOff>
    </xdr:from>
    <xdr:ext cx="2533650" cy="2533650"/>
    <xdr:pic>
      <xdr:nvPicPr>
        <xdr:cNvPr id="86333432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30.0"/>
    <col customWidth="1" min="3" max="3" width="4.38"/>
    <col customWidth="1" min="4" max="4" width="8.13"/>
  </cols>
  <sheetData>
    <row r="1">
      <c r="A1" s="1"/>
      <c r="B1" s="2" t="s">
        <v>0</v>
      </c>
      <c r="C1" s="3" t="s">
        <v>1</v>
      </c>
    </row>
    <row r="2">
      <c r="A2" s="4">
        <v>1.0</v>
      </c>
      <c r="B2" s="5" t="s">
        <v>2</v>
      </c>
      <c r="C2" s="6">
        <v>118.0</v>
      </c>
      <c r="D2" s="7" t="s">
        <v>3</v>
      </c>
    </row>
    <row r="3">
      <c r="A3" s="4">
        <v>2.0</v>
      </c>
      <c r="B3" s="5" t="s">
        <v>4</v>
      </c>
      <c r="C3" s="6">
        <v>117.0</v>
      </c>
      <c r="D3" s="7" t="s">
        <v>3</v>
      </c>
    </row>
    <row r="4">
      <c r="A4" s="4">
        <v>3.0</v>
      </c>
      <c r="B4" s="5" t="s">
        <v>5</v>
      </c>
      <c r="C4" s="6">
        <v>115.0</v>
      </c>
      <c r="D4" s="7" t="s">
        <v>3</v>
      </c>
    </row>
    <row r="5">
      <c r="A5" s="4">
        <v>4.0</v>
      </c>
      <c r="B5" s="5" t="s">
        <v>6</v>
      </c>
      <c r="C5" s="6">
        <v>111.0</v>
      </c>
      <c r="D5" s="7" t="s">
        <v>3</v>
      </c>
    </row>
    <row r="6">
      <c r="A6" s="4">
        <v>5.0</v>
      </c>
      <c r="B6" s="5" t="s">
        <v>7</v>
      </c>
      <c r="C6" s="6">
        <v>109.0</v>
      </c>
      <c r="D6" s="7" t="s">
        <v>3</v>
      </c>
    </row>
    <row r="7">
      <c r="A7" s="4">
        <v>6.0</v>
      </c>
      <c r="B7" s="5" t="s">
        <v>8</v>
      </c>
      <c r="C7" s="6">
        <v>107.0</v>
      </c>
      <c r="D7" s="7" t="s">
        <v>3</v>
      </c>
    </row>
    <row r="8">
      <c r="A8" s="4">
        <v>7.0</v>
      </c>
      <c r="B8" s="5" t="s">
        <v>9</v>
      </c>
      <c r="C8" s="6">
        <v>105.0</v>
      </c>
      <c r="D8" s="7" t="s">
        <v>3</v>
      </c>
    </row>
    <row r="9">
      <c r="A9" s="4">
        <v>8.0</v>
      </c>
      <c r="B9" s="5" t="s">
        <v>10</v>
      </c>
      <c r="C9" s="6">
        <v>105.0</v>
      </c>
      <c r="D9" s="7" t="s">
        <v>3</v>
      </c>
    </row>
    <row r="10">
      <c r="A10" s="8" t="s">
        <v>11</v>
      </c>
      <c r="B10" s="5" t="s">
        <v>12</v>
      </c>
      <c r="C10" s="6">
        <v>105.0</v>
      </c>
      <c r="D10" s="7" t="s">
        <v>3</v>
      </c>
    </row>
    <row r="11">
      <c r="A11" s="4">
        <v>9.0</v>
      </c>
      <c r="B11" s="5" t="s">
        <v>13</v>
      </c>
      <c r="C11" s="6">
        <v>100.0</v>
      </c>
      <c r="D11" s="7" t="s">
        <v>3</v>
      </c>
    </row>
    <row r="12">
      <c r="A12" s="4">
        <v>10.0</v>
      </c>
      <c r="B12" s="5" t="s">
        <v>14</v>
      </c>
      <c r="C12" s="6">
        <v>97.0</v>
      </c>
      <c r="D12" s="7" t="s">
        <v>3</v>
      </c>
    </row>
    <row r="13">
      <c r="A13" s="4">
        <v>11.0</v>
      </c>
      <c r="B13" s="5" t="s">
        <v>15</v>
      </c>
      <c r="C13" s="6">
        <v>97.0</v>
      </c>
      <c r="D13" s="7" t="s">
        <v>3</v>
      </c>
    </row>
    <row r="14">
      <c r="A14" s="4">
        <v>12.0</v>
      </c>
      <c r="B14" s="5" t="s">
        <v>16</v>
      </c>
      <c r="C14" s="6">
        <v>97.0</v>
      </c>
      <c r="D14" s="7" t="s">
        <v>3</v>
      </c>
    </row>
    <row r="15">
      <c r="A15" s="4">
        <v>13.0</v>
      </c>
      <c r="B15" s="5" t="s">
        <v>17</v>
      </c>
      <c r="C15" s="6">
        <v>93.0</v>
      </c>
      <c r="D15" s="7" t="s">
        <v>3</v>
      </c>
    </row>
    <row r="16">
      <c r="A16" s="4">
        <v>14.0</v>
      </c>
      <c r="B16" s="5" t="s">
        <v>18</v>
      </c>
      <c r="C16" s="6">
        <v>92.0</v>
      </c>
      <c r="D16" s="7" t="s">
        <v>3</v>
      </c>
    </row>
    <row r="17">
      <c r="A17" s="4">
        <v>15.0</v>
      </c>
      <c r="B17" s="5" t="s">
        <v>19</v>
      </c>
      <c r="C17" s="6">
        <v>90.0</v>
      </c>
      <c r="D17" s="7" t="s">
        <v>3</v>
      </c>
    </row>
    <row r="18">
      <c r="A18" s="4">
        <v>16.0</v>
      </c>
      <c r="B18" s="5" t="s">
        <v>20</v>
      </c>
      <c r="C18" s="6">
        <v>85.0</v>
      </c>
      <c r="D18" s="7" t="s">
        <v>3</v>
      </c>
    </row>
    <row r="19">
      <c r="A19" s="4">
        <v>17.0</v>
      </c>
      <c r="B19" s="5" t="s">
        <v>21</v>
      </c>
      <c r="C19" s="6">
        <v>82.0</v>
      </c>
      <c r="D19" s="7" t="s">
        <v>3</v>
      </c>
    </row>
    <row r="20">
      <c r="A20" s="4">
        <v>18.0</v>
      </c>
      <c r="B20" s="5" t="s">
        <v>22</v>
      </c>
      <c r="C20" s="6">
        <v>79.0</v>
      </c>
      <c r="D20" s="7" t="s">
        <v>3</v>
      </c>
    </row>
    <row r="21">
      <c r="A21" s="4">
        <v>19.0</v>
      </c>
      <c r="B21" s="5" t="s">
        <v>23</v>
      </c>
      <c r="C21" s="6">
        <v>75.0</v>
      </c>
      <c r="D21" s="7" t="s">
        <v>3</v>
      </c>
    </row>
    <row r="22">
      <c r="A22" s="4">
        <v>20.0</v>
      </c>
      <c r="B22" s="5" t="s">
        <v>24</v>
      </c>
      <c r="C22" s="6">
        <v>75.0</v>
      </c>
      <c r="D22" s="7" t="s">
        <v>3</v>
      </c>
    </row>
    <row r="23">
      <c r="A23" s="4">
        <v>21.0</v>
      </c>
      <c r="B23" s="5" t="s">
        <v>25</v>
      </c>
      <c r="C23" s="6">
        <v>74.0</v>
      </c>
      <c r="D23" s="7" t="s">
        <v>3</v>
      </c>
    </row>
    <row r="24">
      <c r="A24" s="4">
        <v>22.0</v>
      </c>
      <c r="B24" s="5" t="s">
        <v>26</v>
      </c>
      <c r="C24" s="6">
        <v>73.0</v>
      </c>
      <c r="D24" s="7" t="s">
        <v>3</v>
      </c>
    </row>
    <row r="25">
      <c r="A25" s="4">
        <v>23.0</v>
      </c>
      <c r="B25" s="5" t="s">
        <v>27</v>
      </c>
      <c r="C25" s="6">
        <v>66.0</v>
      </c>
      <c r="D25" s="7" t="s">
        <v>3</v>
      </c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  <c r="F69" s="10"/>
      <c r="G69" s="11"/>
      <c r="H69" s="11"/>
      <c r="I69" s="11"/>
      <c r="J69" s="11"/>
      <c r="K69" s="11"/>
    </row>
    <row r="70">
      <c r="A70" s="9"/>
      <c r="F70" s="11"/>
      <c r="G70" s="11"/>
      <c r="H70" s="11"/>
      <c r="I70" s="11"/>
      <c r="J70" s="11"/>
      <c r="K70" s="11"/>
    </row>
    <row r="71">
      <c r="A71" s="9"/>
      <c r="F71" s="10"/>
      <c r="G71" s="11"/>
      <c r="H71" s="11"/>
      <c r="I71" s="11"/>
      <c r="J71" s="11"/>
      <c r="K71" s="11"/>
    </row>
    <row r="72">
      <c r="A72" s="9"/>
      <c r="F72" s="10"/>
      <c r="G72" s="11"/>
      <c r="H72" s="11"/>
      <c r="I72" s="11"/>
      <c r="J72" s="11"/>
      <c r="K72" s="11"/>
    </row>
    <row r="73">
      <c r="A73" s="9"/>
      <c r="F73" s="10"/>
      <c r="G73" s="11"/>
      <c r="H73" s="11"/>
      <c r="I73" s="11"/>
      <c r="J73" s="11"/>
      <c r="K73" s="11"/>
    </row>
    <row r="74">
      <c r="A74" s="9"/>
      <c r="F74" s="10"/>
      <c r="G74" s="11"/>
      <c r="H74" s="11"/>
      <c r="I74" s="11"/>
      <c r="J74" s="11"/>
      <c r="K74" s="11"/>
    </row>
    <row r="75">
      <c r="A75" s="9"/>
      <c r="F75" s="10"/>
      <c r="G75" s="11"/>
      <c r="H75" s="11"/>
      <c r="I75" s="11"/>
      <c r="J75" s="11"/>
      <c r="K75" s="11"/>
    </row>
    <row r="76">
      <c r="A76" s="9"/>
      <c r="F76" s="11"/>
      <c r="G76" s="11"/>
      <c r="H76" s="11"/>
      <c r="I76" s="11"/>
      <c r="J76" s="11"/>
      <c r="K76" s="11"/>
    </row>
    <row r="77">
      <c r="A77" s="9"/>
      <c r="F77" s="12"/>
      <c r="G77" s="11"/>
      <c r="H77" s="11"/>
      <c r="I77" s="11"/>
      <c r="J77" s="11"/>
      <c r="K77" s="11"/>
    </row>
    <row r="78">
      <c r="A78" s="9"/>
      <c r="F78" s="12"/>
      <c r="G78" s="11"/>
      <c r="H78" s="11"/>
      <c r="I78" s="11"/>
      <c r="J78" s="11"/>
      <c r="K78" s="11"/>
    </row>
    <row r="79">
      <c r="A79" s="9"/>
      <c r="F79" s="12"/>
      <c r="G79" s="11"/>
      <c r="H79" s="11"/>
      <c r="I79" s="11"/>
      <c r="J79" s="11"/>
      <c r="K79" s="11"/>
    </row>
    <row r="80">
      <c r="A80" s="9"/>
      <c r="F80" s="12"/>
      <c r="G80" s="11"/>
      <c r="H80" s="11"/>
      <c r="I80" s="11"/>
      <c r="J80" s="11"/>
      <c r="K80" s="11"/>
    </row>
    <row r="81">
      <c r="A81" s="9"/>
      <c r="F81" s="12"/>
      <c r="G81" s="11"/>
      <c r="H81" s="11"/>
      <c r="I81" s="11"/>
      <c r="J81" s="11"/>
      <c r="K81" s="11"/>
    </row>
    <row r="82">
      <c r="A82" s="9"/>
      <c r="F82" s="12"/>
      <c r="G82" s="11"/>
      <c r="H82" s="11"/>
      <c r="I82" s="11"/>
      <c r="J82" s="11"/>
      <c r="K82" s="11"/>
    </row>
    <row r="83">
      <c r="A83" s="9"/>
      <c r="F83" s="12"/>
      <c r="G83" s="11"/>
      <c r="H83" s="11"/>
      <c r="I83" s="11"/>
      <c r="J83" s="11"/>
      <c r="K83" s="11"/>
    </row>
    <row r="84">
      <c r="A84" s="9"/>
      <c r="F84" s="12"/>
      <c r="G84" s="11"/>
      <c r="H84" s="11"/>
      <c r="I84" s="11"/>
      <c r="J84" s="11"/>
      <c r="K84" s="11"/>
    </row>
    <row r="85">
      <c r="A85" s="9"/>
      <c r="F85" s="12"/>
      <c r="G85" s="11"/>
      <c r="H85" s="11"/>
      <c r="I85" s="11"/>
      <c r="J85" s="11"/>
      <c r="K85" s="11"/>
    </row>
    <row r="86">
      <c r="A86" s="9"/>
      <c r="F86" s="12"/>
      <c r="G86" s="11"/>
      <c r="H86" s="11"/>
      <c r="I86" s="11"/>
      <c r="J86" s="11"/>
      <c r="K86" s="11"/>
    </row>
    <row r="87">
      <c r="A87" s="9"/>
      <c r="F87" s="12"/>
      <c r="G87" s="11"/>
      <c r="H87" s="11"/>
      <c r="I87" s="11"/>
      <c r="J87" s="11"/>
      <c r="K87" s="11"/>
    </row>
    <row r="88">
      <c r="A88" s="9"/>
      <c r="F88" s="12"/>
      <c r="G88" s="11"/>
      <c r="H88" s="11"/>
      <c r="I88" s="11"/>
      <c r="J88" s="11"/>
      <c r="K88" s="11"/>
    </row>
    <row r="89">
      <c r="A89" s="9"/>
      <c r="F89" s="12"/>
      <c r="G89" s="11"/>
      <c r="H89" s="11"/>
      <c r="I89" s="11"/>
      <c r="J89" s="11"/>
      <c r="K89" s="11"/>
    </row>
    <row r="90">
      <c r="A90" s="9"/>
      <c r="F90" s="12"/>
      <c r="G90" s="11"/>
      <c r="H90" s="11"/>
      <c r="I90" s="11"/>
      <c r="J90" s="11"/>
      <c r="K90" s="11"/>
    </row>
    <row r="91">
      <c r="A91" s="9"/>
      <c r="F91" s="12"/>
      <c r="G91" s="11"/>
      <c r="H91" s="11"/>
      <c r="I91" s="11"/>
      <c r="J91" s="11"/>
      <c r="K91" s="11"/>
    </row>
    <row r="92">
      <c r="A92" s="9"/>
      <c r="F92" s="12"/>
      <c r="G92" s="11"/>
      <c r="H92" s="11"/>
      <c r="I92" s="11"/>
      <c r="J92" s="11"/>
      <c r="K92" s="11"/>
    </row>
    <row r="93">
      <c r="A93" s="9"/>
      <c r="F93" s="12"/>
      <c r="G93" s="11"/>
      <c r="H93" s="11"/>
      <c r="I93" s="11"/>
      <c r="J93" s="11"/>
      <c r="K93" s="11"/>
    </row>
    <row r="94">
      <c r="A94" s="9"/>
      <c r="F94" s="12"/>
      <c r="G94" s="11"/>
      <c r="H94" s="11"/>
      <c r="I94" s="11"/>
      <c r="J94" s="11"/>
      <c r="K94" s="11"/>
    </row>
    <row r="95">
      <c r="A95" s="9"/>
      <c r="F95" s="12"/>
      <c r="G95" s="11"/>
      <c r="H95" s="11"/>
      <c r="I95" s="11"/>
      <c r="J95" s="11"/>
      <c r="K95" s="11"/>
    </row>
    <row r="96">
      <c r="A96" s="9"/>
      <c r="F96" s="13"/>
      <c r="G96" s="11"/>
      <c r="H96" s="11"/>
      <c r="I96" s="11"/>
      <c r="J96" s="11"/>
      <c r="K96" s="11"/>
    </row>
    <row r="97">
      <c r="A97" s="9"/>
      <c r="F97" s="10"/>
      <c r="G97" s="11"/>
      <c r="H97" s="11"/>
      <c r="I97" s="11"/>
      <c r="J97" s="11"/>
      <c r="K97" s="11"/>
    </row>
    <row r="98">
      <c r="A98" s="9"/>
      <c r="F98" s="10"/>
      <c r="G98" s="11"/>
      <c r="H98" s="11"/>
      <c r="I98" s="11"/>
      <c r="J98" s="11"/>
      <c r="K98" s="11"/>
    </row>
    <row r="99">
      <c r="A99" s="9"/>
      <c r="F99" s="11"/>
      <c r="G99" s="11"/>
      <c r="H99" s="11"/>
      <c r="I99" s="11"/>
      <c r="J99" s="11"/>
      <c r="K99" s="11"/>
    </row>
    <row r="100">
      <c r="A100" s="9"/>
      <c r="F100" s="10"/>
      <c r="G100" s="11"/>
      <c r="H100" s="11"/>
      <c r="I100" s="11"/>
      <c r="J100" s="11"/>
      <c r="K100" s="11"/>
    </row>
    <row r="101">
      <c r="A101" s="9"/>
      <c r="F101" s="11"/>
      <c r="G101" s="11"/>
      <c r="H101" s="11"/>
      <c r="I101" s="11"/>
      <c r="J101" s="11"/>
      <c r="K101" s="11"/>
    </row>
    <row r="102">
      <c r="A102" s="9"/>
      <c r="F102" s="14"/>
      <c r="G102" s="11"/>
      <c r="H102" s="11"/>
      <c r="I102" s="11"/>
      <c r="J102" s="11"/>
      <c r="K102" s="11"/>
    </row>
    <row r="103">
      <c r="A103" s="9"/>
      <c r="F103" s="15"/>
      <c r="G103" s="11"/>
      <c r="H103" s="11"/>
      <c r="I103" s="11"/>
      <c r="J103" s="11"/>
      <c r="K103" s="11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</sheetData>
  <autoFilter ref="$A$1:$D$25">
    <sortState ref="A1:D25">
      <sortCondition descending="1" ref="C1:C25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7" width="7.13"/>
  </cols>
  <sheetData>
    <row r="1">
      <c r="A1" s="16" t="s">
        <v>28</v>
      </c>
      <c r="B1" s="16" t="s">
        <v>19</v>
      </c>
      <c r="C1" s="16" t="s">
        <v>25</v>
      </c>
      <c r="D1" s="16" t="s">
        <v>9</v>
      </c>
      <c r="E1" s="16" t="s">
        <v>17</v>
      </c>
      <c r="F1" s="16" t="s">
        <v>13</v>
      </c>
      <c r="G1" s="16" t="s">
        <v>24</v>
      </c>
      <c r="H1" s="17" t="s">
        <v>12</v>
      </c>
      <c r="I1" s="16" t="s">
        <v>14</v>
      </c>
      <c r="J1" s="16" t="s">
        <v>22</v>
      </c>
      <c r="K1" s="16" t="s">
        <v>2</v>
      </c>
      <c r="L1" s="16" t="s">
        <v>20</v>
      </c>
      <c r="M1" s="16" t="s">
        <v>15</v>
      </c>
      <c r="N1" s="16" t="s">
        <v>8</v>
      </c>
      <c r="O1" s="16" t="s">
        <v>6</v>
      </c>
      <c r="P1" s="16" t="s">
        <v>23</v>
      </c>
      <c r="Q1" s="16" t="s">
        <v>16</v>
      </c>
      <c r="R1" s="16" t="s">
        <v>26</v>
      </c>
      <c r="S1" s="16" t="s">
        <v>21</v>
      </c>
      <c r="T1" s="16" t="s">
        <v>7</v>
      </c>
      <c r="U1" s="16" t="s">
        <v>4</v>
      </c>
      <c r="V1" s="16" t="s">
        <v>18</v>
      </c>
      <c r="W1" s="16" t="s">
        <v>27</v>
      </c>
      <c r="X1" s="16" t="s">
        <v>10</v>
      </c>
      <c r="Y1" s="16" t="s">
        <v>5</v>
      </c>
      <c r="Z1" s="18" t="s">
        <v>29</v>
      </c>
      <c r="AA1" s="19"/>
    </row>
    <row r="2">
      <c r="A2" s="16" t="s">
        <v>30</v>
      </c>
      <c r="B2" s="20">
        <v>1.0</v>
      </c>
      <c r="C2" s="16">
        <v>2.0</v>
      </c>
      <c r="D2" s="16">
        <v>5.0</v>
      </c>
      <c r="E2" s="16">
        <v>4.0</v>
      </c>
      <c r="F2" s="16">
        <v>4.0</v>
      </c>
      <c r="G2" s="16">
        <v>3.0</v>
      </c>
      <c r="H2" s="16">
        <v>4.0</v>
      </c>
      <c r="I2" s="16">
        <v>3.0</v>
      </c>
      <c r="J2" s="16">
        <v>3.0</v>
      </c>
      <c r="K2" s="16">
        <v>5.0</v>
      </c>
      <c r="L2" s="16">
        <v>4.0</v>
      </c>
      <c r="M2" s="16">
        <v>3.0</v>
      </c>
      <c r="N2" s="16">
        <v>5.0</v>
      </c>
      <c r="O2" s="16">
        <v>4.0</v>
      </c>
      <c r="P2" s="16">
        <v>3.0</v>
      </c>
      <c r="Q2" s="16">
        <v>4.0</v>
      </c>
      <c r="R2" s="16">
        <v>2.0</v>
      </c>
      <c r="S2" s="16">
        <v>3.0</v>
      </c>
      <c r="T2" s="16">
        <v>4.0</v>
      </c>
      <c r="U2" s="16">
        <v>5.0</v>
      </c>
      <c r="V2" s="16">
        <v>4.0</v>
      </c>
      <c r="W2" s="16">
        <v>3.0</v>
      </c>
      <c r="X2" s="16">
        <v>4.0</v>
      </c>
      <c r="Y2" s="16">
        <v>5.0</v>
      </c>
      <c r="Z2" s="21">
        <f t="shared" ref="Z2:Z28" si="1">SUM(B2:Y2)</f>
        <v>87</v>
      </c>
      <c r="AA2" s="22">
        <f t="shared" ref="AA2:AA28" si="2">(Z2-$B$38)/$B$38</f>
        <v>0.0361711513</v>
      </c>
    </row>
    <row r="3">
      <c r="A3" s="16" t="s">
        <v>31</v>
      </c>
      <c r="B3" s="16">
        <v>3.0</v>
      </c>
      <c r="C3" s="20">
        <v>1.0</v>
      </c>
      <c r="D3" s="16">
        <v>2.0</v>
      </c>
      <c r="E3" s="16">
        <v>3.0</v>
      </c>
      <c r="F3" s="16">
        <v>5.0</v>
      </c>
      <c r="G3" s="16">
        <v>2.0</v>
      </c>
      <c r="H3" s="16">
        <v>2.0</v>
      </c>
      <c r="I3" s="16">
        <v>3.0</v>
      </c>
      <c r="J3" s="16">
        <v>2.0</v>
      </c>
      <c r="K3" s="16">
        <v>2.0</v>
      </c>
      <c r="L3" s="16">
        <v>2.0</v>
      </c>
      <c r="M3" s="16">
        <v>3.0</v>
      </c>
      <c r="N3" s="16">
        <v>4.0</v>
      </c>
      <c r="O3" s="16">
        <v>3.0</v>
      </c>
      <c r="P3" s="16">
        <v>2.0</v>
      </c>
      <c r="Q3" s="16">
        <v>4.0</v>
      </c>
      <c r="R3" s="16">
        <v>2.0</v>
      </c>
      <c r="S3" s="16">
        <v>3.0</v>
      </c>
      <c r="T3" s="16">
        <v>2.0</v>
      </c>
      <c r="U3" s="16">
        <v>3.0</v>
      </c>
      <c r="V3" s="16">
        <v>5.0</v>
      </c>
      <c r="W3" s="16">
        <v>2.0</v>
      </c>
      <c r="X3" s="16">
        <v>3.0</v>
      </c>
      <c r="Y3" s="16">
        <v>4.0</v>
      </c>
      <c r="Z3" s="21">
        <f t="shared" si="1"/>
        <v>67</v>
      </c>
      <c r="AA3" s="22">
        <f t="shared" si="2"/>
        <v>-0.2020291134</v>
      </c>
    </row>
    <row r="4">
      <c r="A4" s="16" t="s">
        <v>32</v>
      </c>
      <c r="B4" s="16">
        <v>4.0</v>
      </c>
      <c r="C4" s="16">
        <v>4.0</v>
      </c>
      <c r="D4" s="20">
        <v>1.0</v>
      </c>
      <c r="E4" s="16">
        <v>4.0</v>
      </c>
      <c r="F4" s="16">
        <v>4.0</v>
      </c>
      <c r="G4" s="16">
        <v>3.0</v>
      </c>
      <c r="H4" s="16">
        <v>5.0</v>
      </c>
      <c r="I4" s="16">
        <v>3.0</v>
      </c>
      <c r="J4" s="16">
        <v>3.0</v>
      </c>
      <c r="K4" s="16">
        <v>5.0</v>
      </c>
      <c r="L4" s="16">
        <v>3.0</v>
      </c>
      <c r="M4" s="16">
        <v>3.0</v>
      </c>
      <c r="N4" s="16">
        <v>5.0</v>
      </c>
      <c r="O4" s="16">
        <v>4.0</v>
      </c>
      <c r="P4" s="16">
        <v>3.0</v>
      </c>
      <c r="Q4" s="16">
        <v>3.0</v>
      </c>
      <c r="R4" s="16">
        <v>2.0</v>
      </c>
      <c r="S4" s="16">
        <v>4.0</v>
      </c>
      <c r="T4" s="16">
        <v>5.0</v>
      </c>
      <c r="U4" s="16">
        <v>5.0</v>
      </c>
      <c r="V4" s="16">
        <v>3.0</v>
      </c>
      <c r="W4" s="16">
        <v>3.0</v>
      </c>
      <c r="X4" s="16">
        <v>3.0</v>
      </c>
      <c r="Y4" s="16">
        <v>5.0</v>
      </c>
      <c r="Z4" s="21">
        <f t="shared" si="1"/>
        <v>87</v>
      </c>
      <c r="AA4" s="22">
        <f t="shared" si="2"/>
        <v>0.0361711513</v>
      </c>
    </row>
    <row r="5">
      <c r="A5" s="16" t="s">
        <v>33</v>
      </c>
      <c r="B5" s="16">
        <v>5.0</v>
      </c>
      <c r="C5" s="16">
        <v>3.0</v>
      </c>
      <c r="D5" s="16">
        <v>5.0</v>
      </c>
      <c r="E5" s="20">
        <v>1.0</v>
      </c>
      <c r="F5" s="16">
        <v>4.0</v>
      </c>
      <c r="G5" s="16">
        <v>3.0</v>
      </c>
      <c r="H5" s="16">
        <v>4.0</v>
      </c>
      <c r="I5" s="16">
        <v>4.0</v>
      </c>
      <c r="J5" s="16">
        <v>2.0</v>
      </c>
      <c r="K5" s="16">
        <v>5.0</v>
      </c>
      <c r="L5" s="16">
        <v>3.0</v>
      </c>
      <c r="M5" s="16">
        <v>4.0</v>
      </c>
      <c r="N5" s="16">
        <v>5.0</v>
      </c>
      <c r="O5" s="16">
        <v>4.0</v>
      </c>
      <c r="P5" s="16">
        <v>3.0</v>
      </c>
      <c r="Q5" s="16">
        <v>4.0</v>
      </c>
      <c r="R5" s="16">
        <v>4.0</v>
      </c>
      <c r="S5" s="16">
        <v>3.0</v>
      </c>
      <c r="T5" s="16">
        <v>5.0</v>
      </c>
      <c r="U5" s="16">
        <v>5.0</v>
      </c>
      <c r="V5" s="16">
        <v>4.0</v>
      </c>
      <c r="W5" s="16">
        <v>2.0</v>
      </c>
      <c r="X5" s="16">
        <v>5.0</v>
      </c>
      <c r="Y5" s="16">
        <v>5.0</v>
      </c>
      <c r="Z5" s="21">
        <f t="shared" si="1"/>
        <v>92</v>
      </c>
      <c r="AA5" s="22">
        <f t="shared" si="2"/>
        <v>0.09572121747</v>
      </c>
    </row>
    <row r="6">
      <c r="A6" s="16" t="s">
        <v>34</v>
      </c>
      <c r="B6" s="16">
        <v>3.0</v>
      </c>
      <c r="C6" s="16">
        <v>3.0</v>
      </c>
      <c r="D6" s="16">
        <v>3.0</v>
      </c>
      <c r="E6" s="16">
        <v>2.0</v>
      </c>
      <c r="F6" s="20">
        <v>1.0</v>
      </c>
      <c r="G6" s="16">
        <v>2.0</v>
      </c>
      <c r="H6" s="16">
        <v>4.0</v>
      </c>
      <c r="I6" s="16">
        <v>5.0</v>
      </c>
      <c r="J6" s="16">
        <v>3.0</v>
      </c>
      <c r="K6" s="16">
        <v>4.0</v>
      </c>
      <c r="L6" s="16">
        <v>3.0</v>
      </c>
      <c r="M6" s="16">
        <v>3.0</v>
      </c>
      <c r="N6" s="16">
        <v>4.0</v>
      </c>
      <c r="O6" s="16">
        <v>5.0</v>
      </c>
      <c r="P6" s="16">
        <v>3.0</v>
      </c>
      <c r="Q6" s="16">
        <v>4.0</v>
      </c>
      <c r="R6" s="16">
        <v>2.0</v>
      </c>
      <c r="S6" s="16">
        <v>3.0</v>
      </c>
      <c r="T6" s="16">
        <v>3.0</v>
      </c>
      <c r="U6" s="16">
        <v>4.0</v>
      </c>
      <c r="V6" s="16">
        <v>3.0</v>
      </c>
      <c r="W6" s="16">
        <v>2.0</v>
      </c>
      <c r="X6" s="16">
        <v>4.0</v>
      </c>
      <c r="Y6" s="16">
        <v>5.0</v>
      </c>
      <c r="Z6" s="21">
        <f t="shared" si="1"/>
        <v>78</v>
      </c>
      <c r="AA6" s="22">
        <f t="shared" si="2"/>
        <v>-0.0710189678</v>
      </c>
    </row>
    <row r="7">
      <c r="A7" s="16" t="s">
        <v>35</v>
      </c>
      <c r="B7" s="16">
        <v>3.0</v>
      </c>
      <c r="C7" s="16">
        <v>3.0</v>
      </c>
      <c r="D7" s="16">
        <v>5.0</v>
      </c>
      <c r="E7" s="16">
        <v>4.0</v>
      </c>
      <c r="F7" s="16">
        <v>3.0</v>
      </c>
      <c r="G7" s="20">
        <v>1.0</v>
      </c>
      <c r="H7" s="16">
        <v>3.0</v>
      </c>
      <c r="I7" s="16">
        <v>3.0</v>
      </c>
      <c r="J7" s="16">
        <v>3.0</v>
      </c>
      <c r="K7" s="16">
        <v>5.0</v>
      </c>
      <c r="L7" s="16">
        <v>3.0</v>
      </c>
      <c r="M7" s="16">
        <v>3.0</v>
      </c>
      <c r="N7" s="16">
        <v>3.0</v>
      </c>
      <c r="O7" s="16">
        <v>4.0</v>
      </c>
      <c r="P7" s="16">
        <v>3.0</v>
      </c>
      <c r="Q7" s="16">
        <v>3.0</v>
      </c>
      <c r="R7" s="16">
        <v>3.0</v>
      </c>
      <c r="S7" s="16">
        <v>3.0</v>
      </c>
      <c r="T7" s="16">
        <v>3.0</v>
      </c>
      <c r="U7" s="16">
        <v>5.0</v>
      </c>
      <c r="V7" s="16">
        <v>3.0</v>
      </c>
      <c r="W7" s="16">
        <v>4.0</v>
      </c>
      <c r="X7" s="16">
        <v>3.0</v>
      </c>
      <c r="Y7" s="16">
        <v>3.0</v>
      </c>
      <c r="Z7" s="21">
        <f t="shared" si="1"/>
        <v>79</v>
      </c>
      <c r="AA7" s="22">
        <f t="shared" si="2"/>
        <v>-0.05910895457</v>
      </c>
    </row>
    <row r="8">
      <c r="A8" s="16" t="s">
        <v>36</v>
      </c>
      <c r="B8" s="16">
        <v>3.0</v>
      </c>
      <c r="C8" s="16">
        <v>3.0</v>
      </c>
      <c r="D8" s="16">
        <v>4.0</v>
      </c>
      <c r="E8" s="16">
        <v>3.0</v>
      </c>
      <c r="F8" s="16">
        <v>4.0</v>
      </c>
      <c r="G8" s="16">
        <v>3.0</v>
      </c>
      <c r="H8" s="16">
        <v>4.0</v>
      </c>
      <c r="I8" s="20">
        <v>1.0</v>
      </c>
      <c r="J8" s="16">
        <v>3.0</v>
      </c>
      <c r="K8" s="16">
        <v>5.0</v>
      </c>
      <c r="L8" s="16">
        <v>3.0</v>
      </c>
      <c r="M8" s="16">
        <v>4.0</v>
      </c>
      <c r="N8" s="16">
        <v>5.0</v>
      </c>
      <c r="O8" s="16">
        <v>5.0</v>
      </c>
      <c r="P8" s="16">
        <v>3.0</v>
      </c>
      <c r="Q8" s="16">
        <v>4.0</v>
      </c>
      <c r="R8" s="16">
        <v>3.0</v>
      </c>
      <c r="S8" s="16">
        <v>3.0</v>
      </c>
      <c r="T8" s="16">
        <v>5.0</v>
      </c>
      <c r="U8" s="16">
        <v>4.0</v>
      </c>
      <c r="V8" s="16">
        <v>3.0</v>
      </c>
      <c r="W8" s="16">
        <v>3.0</v>
      </c>
      <c r="X8" s="16">
        <v>4.0</v>
      </c>
      <c r="Y8" s="16">
        <v>4.0</v>
      </c>
      <c r="Z8" s="21">
        <f t="shared" si="1"/>
        <v>86</v>
      </c>
      <c r="AA8" s="22">
        <f t="shared" si="2"/>
        <v>0.02426113807</v>
      </c>
    </row>
    <row r="9">
      <c r="A9" s="16" t="s">
        <v>37</v>
      </c>
      <c r="B9" s="16">
        <v>3.0</v>
      </c>
      <c r="C9" s="16">
        <v>2.0</v>
      </c>
      <c r="D9" s="16">
        <v>3.0</v>
      </c>
      <c r="E9" s="16">
        <v>3.0</v>
      </c>
      <c r="F9" s="16">
        <v>3.0</v>
      </c>
      <c r="G9" s="16">
        <v>3.0</v>
      </c>
      <c r="H9" s="16">
        <v>3.0</v>
      </c>
      <c r="I9" s="16">
        <v>2.0</v>
      </c>
      <c r="J9" s="20">
        <v>1.0</v>
      </c>
      <c r="K9" s="16">
        <v>4.0</v>
      </c>
      <c r="L9" s="16">
        <v>3.0</v>
      </c>
      <c r="M9" s="16">
        <v>3.0</v>
      </c>
      <c r="N9" s="16">
        <v>2.0</v>
      </c>
      <c r="O9" s="16">
        <v>4.0</v>
      </c>
      <c r="P9" s="16">
        <v>1.0</v>
      </c>
      <c r="Q9" s="16">
        <v>2.0</v>
      </c>
      <c r="R9" s="16">
        <v>3.0</v>
      </c>
      <c r="S9" s="16">
        <v>2.0</v>
      </c>
      <c r="T9" s="16">
        <v>4.0</v>
      </c>
      <c r="U9" s="16">
        <v>4.0</v>
      </c>
      <c r="V9" s="16">
        <v>2.0</v>
      </c>
      <c r="W9" s="16">
        <v>2.0</v>
      </c>
      <c r="X9" s="16">
        <v>2.0</v>
      </c>
      <c r="Y9" s="16">
        <v>3.0</v>
      </c>
      <c r="Z9" s="21">
        <f t="shared" si="1"/>
        <v>64</v>
      </c>
      <c r="AA9" s="22">
        <f t="shared" si="2"/>
        <v>-0.2377591531</v>
      </c>
    </row>
    <row r="10">
      <c r="A10" s="16" t="s">
        <v>38</v>
      </c>
      <c r="B10" s="16">
        <v>4.0</v>
      </c>
      <c r="C10" s="16">
        <v>3.0</v>
      </c>
      <c r="D10" s="16">
        <v>5.0</v>
      </c>
      <c r="E10" s="16">
        <v>4.0</v>
      </c>
      <c r="F10" s="16">
        <v>5.0</v>
      </c>
      <c r="G10" s="16">
        <v>3.0</v>
      </c>
      <c r="H10" s="16">
        <v>5.0</v>
      </c>
      <c r="I10" s="16">
        <v>5.0</v>
      </c>
      <c r="J10" s="16">
        <v>3.0</v>
      </c>
      <c r="K10" s="20">
        <v>1.0</v>
      </c>
      <c r="L10" s="16">
        <v>3.0</v>
      </c>
      <c r="M10" s="16">
        <v>4.0</v>
      </c>
      <c r="N10" s="16">
        <v>5.0</v>
      </c>
      <c r="O10" s="16">
        <v>4.0</v>
      </c>
      <c r="P10" s="16">
        <v>3.0</v>
      </c>
      <c r="Q10" s="16">
        <v>4.0</v>
      </c>
      <c r="R10" s="16">
        <v>3.0</v>
      </c>
      <c r="S10" s="16">
        <v>4.0</v>
      </c>
      <c r="T10" s="16">
        <v>4.0</v>
      </c>
      <c r="U10" s="16">
        <v>5.0</v>
      </c>
      <c r="V10" s="16">
        <v>4.0</v>
      </c>
      <c r="W10" s="16">
        <v>3.0</v>
      </c>
      <c r="X10" s="16">
        <v>4.0</v>
      </c>
      <c r="Y10" s="16">
        <v>5.0</v>
      </c>
      <c r="Z10" s="21">
        <f t="shared" si="1"/>
        <v>93</v>
      </c>
      <c r="AA10" s="22">
        <f t="shared" si="2"/>
        <v>0.1076312307</v>
      </c>
    </row>
    <row r="11">
      <c r="A11" s="23" t="s">
        <v>39</v>
      </c>
      <c r="B11" s="16">
        <v>4.0</v>
      </c>
      <c r="C11" s="16">
        <v>3.0</v>
      </c>
      <c r="D11" s="16">
        <v>4.0</v>
      </c>
      <c r="E11" s="16">
        <v>4.0</v>
      </c>
      <c r="F11" s="16">
        <v>4.0</v>
      </c>
      <c r="G11" s="16">
        <v>3.0</v>
      </c>
      <c r="H11" s="16">
        <v>5.0</v>
      </c>
      <c r="I11" s="16">
        <v>4.0</v>
      </c>
      <c r="J11" s="16">
        <v>3.0</v>
      </c>
      <c r="K11" s="16">
        <v>5.0</v>
      </c>
      <c r="L11" s="16">
        <v>4.0</v>
      </c>
      <c r="M11" s="16">
        <v>4.0</v>
      </c>
      <c r="N11" s="16">
        <v>4.0</v>
      </c>
      <c r="O11" s="16">
        <v>5.0</v>
      </c>
      <c r="P11" s="16">
        <v>3.0</v>
      </c>
      <c r="Q11" s="16">
        <v>4.0</v>
      </c>
      <c r="R11" s="16">
        <v>4.0</v>
      </c>
      <c r="S11" s="16">
        <v>3.0</v>
      </c>
      <c r="T11" s="16">
        <v>4.0</v>
      </c>
      <c r="U11" s="16">
        <v>5.0</v>
      </c>
      <c r="V11" s="16">
        <v>3.0</v>
      </c>
      <c r="W11" s="16">
        <v>3.0</v>
      </c>
      <c r="X11" s="16">
        <v>4.0</v>
      </c>
      <c r="Y11" s="16">
        <v>4.0</v>
      </c>
      <c r="Z11" s="21">
        <f t="shared" si="1"/>
        <v>93</v>
      </c>
      <c r="AA11" s="22">
        <f t="shared" si="2"/>
        <v>0.1076312307</v>
      </c>
    </row>
    <row r="12">
      <c r="A12" s="16" t="s">
        <v>40</v>
      </c>
      <c r="B12" s="16">
        <v>3.0</v>
      </c>
      <c r="C12" s="16">
        <v>1.0</v>
      </c>
      <c r="D12" s="16">
        <v>3.0</v>
      </c>
      <c r="E12" s="16">
        <v>2.0</v>
      </c>
      <c r="F12" s="16">
        <v>2.0</v>
      </c>
      <c r="G12" s="16">
        <v>2.0</v>
      </c>
      <c r="H12" s="16">
        <v>5.0</v>
      </c>
      <c r="I12" s="16">
        <v>3.0</v>
      </c>
      <c r="J12" s="16">
        <v>2.0</v>
      </c>
      <c r="K12" s="16">
        <v>5.0</v>
      </c>
      <c r="L12" s="20">
        <v>1.0</v>
      </c>
      <c r="M12" s="16">
        <v>3.0</v>
      </c>
      <c r="N12" s="16">
        <v>3.0</v>
      </c>
      <c r="O12" s="16">
        <v>4.0</v>
      </c>
      <c r="P12" s="16">
        <v>3.0</v>
      </c>
      <c r="Q12" s="16">
        <v>4.0</v>
      </c>
      <c r="R12" s="16">
        <v>2.0</v>
      </c>
      <c r="S12" s="16">
        <v>2.0</v>
      </c>
      <c r="T12" s="16">
        <v>4.0</v>
      </c>
      <c r="U12" s="16">
        <v>3.0</v>
      </c>
      <c r="V12" s="16">
        <v>4.0</v>
      </c>
      <c r="W12" s="16">
        <v>2.0</v>
      </c>
      <c r="X12" s="16">
        <v>3.0</v>
      </c>
      <c r="Y12" s="16">
        <v>3.0</v>
      </c>
      <c r="Z12" s="21">
        <f t="shared" si="1"/>
        <v>69</v>
      </c>
      <c r="AA12" s="22">
        <f t="shared" si="2"/>
        <v>-0.1782090869</v>
      </c>
    </row>
    <row r="13">
      <c r="A13" s="16" t="s">
        <v>41</v>
      </c>
      <c r="B13" s="16">
        <v>2.0</v>
      </c>
      <c r="C13" s="16">
        <v>1.0</v>
      </c>
      <c r="D13" s="16">
        <v>3.0</v>
      </c>
      <c r="E13" s="16">
        <v>3.0</v>
      </c>
      <c r="F13" s="16">
        <v>3.0</v>
      </c>
      <c r="G13" s="16">
        <v>3.0</v>
      </c>
      <c r="H13" s="16">
        <v>2.0</v>
      </c>
      <c r="I13" s="16">
        <v>2.0</v>
      </c>
      <c r="J13" s="16">
        <v>3.0</v>
      </c>
      <c r="K13" s="16">
        <v>4.0</v>
      </c>
      <c r="L13" s="16">
        <v>3.0</v>
      </c>
      <c r="M13" s="20">
        <v>1.0</v>
      </c>
      <c r="N13" s="16">
        <v>4.0</v>
      </c>
      <c r="O13" s="16">
        <v>3.0</v>
      </c>
      <c r="P13" s="16">
        <v>1.0</v>
      </c>
      <c r="Q13" s="16">
        <v>4.0</v>
      </c>
      <c r="R13" s="16">
        <v>2.0</v>
      </c>
      <c r="S13" s="16">
        <v>2.0</v>
      </c>
      <c r="T13" s="16">
        <v>5.0</v>
      </c>
      <c r="U13" s="16">
        <v>4.0</v>
      </c>
      <c r="V13" s="16">
        <v>3.0</v>
      </c>
      <c r="W13" s="16">
        <v>2.0</v>
      </c>
      <c r="X13" s="16">
        <v>4.0</v>
      </c>
      <c r="Y13" s="16">
        <v>5.0</v>
      </c>
      <c r="Z13" s="21">
        <f t="shared" si="1"/>
        <v>69</v>
      </c>
      <c r="AA13" s="22">
        <f t="shared" si="2"/>
        <v>-0.1782090869</v>
      </c>
    </row>
    <row r="14">
      <c r="A14" s="16" t="s">
        <v>42</v>
      </c>
      <c r="B14" s="16">
        <v>3.0</v>
      </c>
      <c r="C14" s="16">
        <v>2.0</v>
      </c>
      <c r="D14" s="16">
        <v>5.0</v>
      </c>
      <c r="E14" s="16">
        <v>4.0</v>
      </c>
      <c r="F14" s="16">
        <v>4.0</v>
      </c>
      <c r="G14" s="16">
        <v>3.0</v>
      </c>
      <c r="H14" s="16">
        <v>4.0</v>
      </c>
      <c r="I14" s="16">
        <v>5.0</v>
      </c>
      <c r="J14" s="16">
        <v>3.0</v>
      </c>
      <c r="K14" s="16">
        <v>4.0</v>
      </c>
      <c r="L14" s="16">
        <v>3.0</v>
      </c>
      <c r="M14" s="16">
        <v>4.0</v>
      </c>
      <c r="N14" s="20">
        <v>1.0</v>
      </c>
      <c r="O14" s="16">
        <v>5.0</v>
      </c>
      <c r="P14" s="16">
        <v>2.0</v>
      </c>
      <c r="Q14" s="16">
        <v>3.0</v>
      </c>
      <c r="R14" s="16">
        <v>2.0</v>
      </c>
      <c r="S14" s="16">
        <v>4.0</v>
      </c>
      <c r="T14" s="16">
        <v>4.0</v>
      </c>
      <c r="U14" s="16">
        <v>5.0</v>
      </c>
      <c r="V14" s="16">
        <v>3.0</v>
      </c>
      <c r="W14" s="16">
        <v>2.0</v>
      </c>
      <c r="X14" s="16">
        <v>5.0</v>
      </c>
      <c r="Y14" s="16">
        <v>5.0</v>
      </c>
      <c r="Z14" s="21">
        <f t="shared" si="1"/>
        <v>85</v>
      </c>
      <c r="AA14" s="22">
        <f t="shared" si="2"/>
        <v>0.01235112483</v>
      </c>
    </row>
    <row r="15">
      <c r="A15" s="16" t="s">
        <v>43</v>
      </c>
      <c r="B15" s="16">
        <v>3.0</v>
      </c>
      <c r="C15" s="16">
        <v>4.0</v>
      </c>
      <c r="D15" s="16">
        <v>5.0</v>
      </c>
      <c r="E15" s="16">
        <v>4.0</v>
      </c>
      <c r="F15" s="16">
        <v>4.0</v>
      </c>
      <c r="G15" s="16">
        <v>3.0</v>
      </c>
      <c r="H15" s="16">
        <v>3.0</v>
      </c>
      <c r="I15" s="16">
        <v>3.0</v>
      </c>
      <c r="J15" s="16">
        <v>3.0</v>
      </c>
      <c r="K15" s="16">
        <v>5.0</v>
      </c>
      <c r="L15" s="16">
        <v>4.0</v>
      </c>
      <c r="M15" s="16">
        <v>4.0</v>
      </c>
      <c r="N15" s="16">
        <v>4.0</v>
      </c>
      <c r="O15" s="20">
        <v>1.0</v>
      </c>
      <c r="P15" s="16">
        <v>3.0</v>
      </c>
      <c r="Q15" s="16">
        <v>4.0</v>
      </c>
      <c r="R15" s="16">
        <v>3.0</v>
      </c>
      <c r="S15" s="16">
        <v>4.0</v>
      </c>
      <c r="T15" s="16">
        <v>5.0</v>
      </c>
      <c r="U15" s="16">
        <v>4.0</v>
      </c>
      <c r="V15" s="16">
        <v>4.0</v>
      </c>
      <c r="W15" s="16">
        <v>3.0</v>
      </c>
      <c r="X15" s="16">
        <v>5.0</v>
      </c>
      <c r="Y15" s="16">
        <v>5.0</v>
      </c>
      <c r="Z15" s="21">
        <f t="shared" si="1"/>
        <v>90</v>
      </c>
      <c r="AA15" s="22">
        <f t="shared" si="2"/>
        <v>0.071901191</v>
      </c>
    </row>
    <row r="16">
      <c r="A16" s="16" t="s">
        <v>44</v>
      </c>
      <c r="B16" s="16">
        <v>4.0</v>
      </c>
      <c r="C16" s="16">
        <v>2.0</v>
      </c>
      <c r="D16" s="16">
        <v>4.0</v>
      </c>
      <c r="E16" s="16">
        <v>2.0</v>
      </c>
      <c r="F16" s="16">
        <v>2.0</v>
      </c>
      <c r="G16" s="16">
        <v>2.0</v>
      </c>
      <c r="H16" s="16">
        <v>4.0</v>
      </c>
      <c r="I16" s="16">
        <v>4.0</v>
      </c>
      <c r="J16" s="16">
        <v>2.0</v>
      </c>
      <c r="K16" s="16">
        <v>4.0</v>
      </c>
      <c r="L16" s="16">
        <v>2.0</v>
      </c>
      <c r="M16" s="16">
        <v>4.0</v>
      </c>
      <c r="N16" s="16">
        <v>4.0</v>
      </c>
      <c r="O16" s="16">
        <v>4.0</v>
      </c>
      <c r="P16" s="20">
        <v>1.0</v>
      </c>
      <c r="Q16" s="16">
        <v>4.0</v>
      </c>
      <c r="R16" s="16">
        <v>4.0</v>
      </c>
      <c r="S16" s="16">
        <v>2.0</v>
      </c>
      <c r="T16" s="16">
        <v>4.0</v>
      </c>
      <c r="U16" s="16">
        <v>4.0</v>
      </c>
      <c r="V16" s="16">
        <v>2.0</v>
      </c>
      <c r="W16" s="16">
        <v>2.0</v>
      </c>
      <c r="X16" s="16">
        <v>4.0</v>
      </c>
      <c r="Y16" s="16">
        <v>4.0</v>
      </c>
      <c r="Z16" s="21">
        <f t="shared" si="1"/>
        <v>75</v>
      </c>
      <c r="AA16" s="22">
        <f t="shared" si="2"/>
        <v>-0.1067490075</v>
      </c>
    </row>
    <row r="17">
      <c r="A17" s="16" t="s">
        <v>45</v>
      </c>
      <c r="B17" s="16">
        <v>5.0</v>
      </c>
      <c r="C17" s="16">
        <v>3.0</v>
      </c>
      <c r="D17" s="16">
        <v>4.0</v>
      </c>
      <c r="E17" s="16">
        <v>4.0</v>
      </c>
      <c r="F17" s="16">
        <v>4.0</v>
      </c>
      <c r="G17" s="16">
        <v>2.0</v>
      </c>
      <c r="H17" s="16">
        <v>3.0</v>
      </c>
      <c r="I17" s="16">
        <v>5.0</v>
      </c>
      <c r="J17" s="16">
        <v>3.0</v>
      </c>
      <c r="K17" s="16">
        <v>5.0</v>
      </c>
      <c r="L17" s="16">
        <v>3.0</v>
      </c>
      <c r="M17" s="16">
        <v>4.0</v>
      </c>
      <c r="N17" s="16">
        <v>3.0</v>
      </c>
      <c r="O17" s="16">
        <v>4.0</v>
      </c>
      <c r="P17" s="16">
        <v>4.0</v>
      </c>
      <c r="Q17" s="20">
        <v>1.0</v>
      </c>
      <c r="R17" s="16">
        <v>3.0</v>
      </c>
      <c r="S17" s="16">
        <v>3.0</v>
      </c>
      <c r="T17" s="16">
        <v>4.0</v>
      </c>
      <c r="U17" s="16">
        <v>5.0</v>
      </c>
      <c r="V17" s="16">
        <v>4.0</v>
      </c>
      <c r="W17" s="16">
        <v>3.0</v>
      </c>
      <c r="X17" s="16">
        <v>4.0</v>
      </c>
      <c r="Y17" s="16">
        <v>4.0</v>
      </c>
      <c r="Z17" s="21">
        <f t="shared" si="1"/>
        <v>87</v>
      </c>
      <c r="AA17" s="22">
        <f t="shared" si="2"/>
        <v>0.0361711513</v>
      </c>
    </row>
    <row r="18">
      <c r="A18" s="23" t="s">
        <v>46</v>
      </c>
      <c r="B18" s="16">
        <v>2.0</v>
      </c>
      <c r="C18" s="16">
        <v>2.0</v>
      </c>
      <c r="D18" s="16">
        <v>1.0</v>
      </c>
      <c r="E18" s="16">
        <v>3.0</v>
      </c>
      <c r="F18" s="16">
        <v>5.0</v>
      </c>
      <c r="G18" s="16">
        <v>3.0</v>
      </c>
      <c r="H18" s="16">
        <v>3.0</v>
      </c>
      <c r="I18" s="16">
        <v>4.0</v>
      </c>
      <c r="J18" s="16">
        <v>4.0</v>
      </c>
      <c r="K18" s="16">
        <v>3.0</v>
      </c>
      <c r="L18" s="16">
        <v>4.0</v>
      </c>
      <c r="M18" s="16">
        <v>4.0</v>
      </c>
      <c r="N18" s="16">
        <v>2.0</v>
      </c>
      <c r="O18" s="16">
        <v>3.0</v>
      </c>
      <c r="P18" s="16">
        <v>3.0</v>
      </c>
      <c r="Q18" s="16">
        <v>4.0</v>
      </c>
      <c r="R18" s="16">
        <v>2.0</v>
      </c>
      <c r="S18" s="16">
        <v>2.0</v>
      </c>
      <c r="T18" s="16">
        <v>4.0</v>
      </c>
      <c r="U18" s="16">
        <v>5.0</v>
      </c>
      <c r="V18" s="16">
        <v>4.0</v>
      </c>
      <c r="W18" s="16">
        <v>1.0</v>
      </c>
      <c r="X18" s="16">
        <v>2.0</v>
      </c>
      <c r="Y18" s="16">
        <v>3.0</v>
      </c>
      <c r="Z18" s="21">
        <f t="shared" si="1"/>
        <v>73</v>
      </c>
      <c r="AA18" s="22">
        <f t="shared" si="2"/>
        <v>-0.130569034</v>
      </c>
    </row>
    <row r="19">
      <c r="A19" s="16" t="s">
        <v>47</v>
      </c>
      <c r="B19" s="16">
        <v>4.0</v>
      </c>
      <c r="C19" s="16">
        <v>4.0</v>
      </c>
      <c r="D19" s="16">
        <v>4.0</v>
      </c>
      <c r="E19" s="16">
        <v>4.0</v>
      </c>
      <c r="F19" s="16">
        <v>4.0</v>
      </c>
      <c r="G19" s="16">
        <v>4.0</v>
      </c>
      <c r="H19" s="16">
        <v>4.0</v>
      </c>
      <c r="I19" s="16">
        <v>3.0</v>
      </c>
      <c r="J19" s="16">
        <v>4.0</v>
      </c>
      <c r="K19" s="16">
        <v>4.0</v>
      </c>
      <c r="L19" s="16">
        <v>4.0</v>
      </c>
      <c r="M19" s="16">
        <v>4.0</v>
      </c>
      <c r="N19" s="16">
        <v>4.0</v>
      </c>
      <c r="O19" s="16">
        <v>4.0</v>
      </c>
      <c r="P19" s="16">
        <v>3.0</v>
      </c>
      <c r="Q19" s="16">
        <v>4.0</v>
      </c>
      <c r="R19" s="20">
        <v>1.0</v>
      </c>
      <c r="S19" s="16">
        <v>4.0</v>
      </c>
      <c r="T19" s="16">
        <v>4.0</v>
      </c>
      <c r="U19" s="16">
        <v>4.0</v>
      </c>
      <c r="V19" s="16">
        <v>4.0</v>
      </c>
      <c r="W19" s="16">
        <v>3.0</v>
      </c>
      <c r="X19" s="16">
        <v>4.0</v>
      </c>
      <c r="Y19" s="16">
        <v>4.0</v>
      </c>
      <c r="Z19" s="21">
        <f t="shared" si="1"/>
        <v>90</v>
      </c>
      <c r="AA19" s="22">
        <f t="shared" si="2"/>
        <v>0.071901191</v>
      </c>
    </row>
    <row r="20">
      <c r="A20" s="16" t="s">
        <v>48</v>
      </c>
      <c r="B20" s="16">
        <v>4.0</v>
      </c>
      <c r="C20" s="16">
        <v>3.0</v>
      </c>
      <c r="D20" s="16">
        <v>5.0</v>
      </c>
      <c r="E20" s="16">
        <v>3.0</v>
      </c>
      <c r="F20" s="16">
        <v>5.0</v>
      </c>
      <c r="G20" s="16">
        <v>3.0</v>
      </c>
      <c r="H20" s="16">
        <v>4.0</v>
      </c>
      <c r="I20" s="16">
        <v>5.0</v>
      </c>
      <c r="J20" s="16">
        <v>3.0</v>
      </c>
      <c r="K20" s="16">
        <v>4.0</v>
      </c>
      <c r="L20" s="16">
        <v>3.0</v>
      </c>
      <c r="M20" s="16">
        <v>3.0</v>
      </c>
      <c r="N20" s="16">
        <v>4.0</v>
      </c>
      <c r="O20" s="16">
        <v>4.0</v>
      </c>
      <c r="P20" s="16">
        <v>4.0</v>
      </c>
      <c r="Q20" s="16">
        <v>3.0</v>
      </c>
      <c r="R20" s="16">
        <v>3.0</v>
      </c>
      <c r="S20" s="20">
        <v>1.0</v>
      </c>
      <c r="T20" s="16">
        <v>3.0</v>
      </c>
      <c r="U20" s="16">
        <v>4.0</v>
      </c>
      <c r="V20" s="16">
        <v>3.0</v>
      </c>
      <c r="W20" s="16">
        <v>3.0</v>
      </c>
      <c r="X20" s="16">
        <v>4.0</v>
      </c>
      <c r="Y20" s="16">
        <v>5.0</v>
      </c>
      <c r="Z20" s="21">
        <f t="shared" si="1"/>
        <v>86</v>
      </c>
      <c r="AA20" s="22">
        <f t="shared" si="2"/>
        <v>0.02426113807</v>
      </c>
    </row>
    <row r="21">
      <c r="A21" s="23" t="s">
        <v>49</v>
      </c>
      <c r="B21" s="16">
        <v>3.0</v>
      </c>
      <c r="C21" s="16">
        <v>3.0</v>
      </c>
      <c r="D21" s="16">
        <v>5.0</v>
      </c>
      <c r="E21" s="16">
        <v>4.0</v>
      </c>
      <c r="F21" s="16">
        <v>5.0</v>
      </c>
      <c r="G21" s="16">
        <v>3.0</v>
      </c>
      <c r="H21" s="16">
        <v>3.0</v>
      </c>
      <c r="I21" s="16">
        <v>3.0</v>
      </c>
      <c r="J21" s="16">
        <v>3.0</v>
      </c>
      <c r="K21" s="16">
        <v>5.0</v>
      </c>
      <c r="L21" s="16">
        <v>3.0</v>
      </c>
      <c r="M21" s="16">
        <v>5.0</v>
      </c>
      <c r="N21" s="16">
        <v>4.0</v>
      </c>
      <c r="O21" s="16">
        <v>5.0</v>
      </c>
      <c r="P21" s="16">
        <v>3.0</v>
      </c>
      <c r="Q21" s="16">
        <v>4.0</v>
      </c>
      <c r="R21" s="16">
        <v>3.0</v>
      </c>
      <c r="S21" s="16">
        <v>4.0</v>
      </c>
      <c r="T21" s="16">
        <v>4.0</v>
      </c>
      <c r="U21" s="16">
        <v>4.0</v>
      </c>
      <c r="V21" s="16">
        <v>4.0</v>
      </c>
      <c r="W21" s="16">
        <v>3.0</v>
      </c>
      <c r="X21" s="16">
        <v>4.0</v>
      </c>
      <c r="Y21" s="16">
        <v>5.0</v>
      </c>
      <c r="Z21" s="21">
        <f t="shared" si="1"/>
        <v>92</v>
      </c>
      <c r="AA21" s="22">
        <f t="shared" si="2"/>
        <v>0.09572121747</v>
      </c>
    </row>
    <row r="22">
      <c r="A22" s="16" t="s">
        <v>50</v>
      </c>
      <c r="B22" s="16">
        <v>3.0</v>
      </c>
      <c r="C22" s="16">
        <v>3.0</v>
      </c>
      <c r="D22" s="16">
        <v>3.0</v>
      </c>
      <c r="E22" s="16">
        <v>4.0</v>
      </c>
      <c r="F22" s="16">
        <v>4.0</v>
      </c>
      <c r="G22" s="16">
        <v>3.0</v>
      </c>
      <c r="H22" s="16">
        <v>4.0</v>
      </c>
      <c r="I22" s="16">
        <v>4.0</v>
      </c>
      <c r="J22" s="16">
        <v>3.0</v>
      </c>
      <c r="K22" s="16">
        <v>5.0</v>
      </c>
      <c r="L22" s="16">
        <v>4.0</v>
      </c>
      <c r="M22" s="16">
        <v>4.0</v>
      </c>
      <c r="N22" s="16">
        <v>5.0</v>
      </c>
      <c r="O22" s="16">
        <v>5.0</v>
      </c>
      <c r="P22" s="16">
        <v>3.0</v>
      </c>
      <c r="Q22" s="16">
        <v>4.0</v>
      </c>
      <c r="R22" s="16">
        <v>2.0</v>
      </c>
      <c r="S22" s="16">
        <v>3.0</v>
      </c>
      <c r="T22" s="20">
        <v>1.0</v>
      </c>
      <c r="U22" s="16">
        <v>5.0</v>
      </c>
      <c r="V22" s="16">
        <v>4.0</v>
      </c>
      <c r="W22" s="16">
        <v>2.0</v>
      </c>
      <c r="X22" s="16">
        <v>5.0</v>
      </c>
      <c r="Y22" s="16">
        <v>5.0</v>
      </c>
      <c r="Z22" s="21">
        <f t="shared" si="1"/>
        <v>88</v>
      </c>
      <c r="AA22" s="22">
        <f t="shared" si="2"/>
        <v>0.04808116453</v>
      </c>
    </row>
    <row r="23">
      <c r="A23" s="16" t="s">
        <v>51</v>
      </c>
      <c r="B23" s="16">
        <v>3.0</v>
      </c>
      <c r="C23" s="16">
        <v>3.0</v>
      </c>
      <c r="D23" s="16">
        <v>4.0</v>
      </c>
      <c r="E23" s="16">
        <v>3.0</v>
      </c>
      <c r="F23" s="16">
        <v>4.0</v>
      </c>
      <c r="G23" s="16">
        <v>3.0</v>
      </c>
      <c r="H23" s="16">
        <v>5.0</v>
      </c>
      <c r="I23" s="16">
        <v>4.0</v>
      </c>
      <c r="J23" s="16">
        <v>2.0</v>
      </c>
      <c r="K23" s="16">
        <v>5.0</v>
      </c>
      <c r="L23" s="16">
        <v>2.0</v>
      </c>
      <c r="M23" s="16">
        <v>3.0</v>
      </c>
      <c r="N23" s="16">
        <v>5.0</v>
      </c>
      <c r="O23" s="16">
        <v>5.0</v>
      </c>
      <c r="P23" s="16">
        <v>2.0</v>
      </c>
      <c r="Q23" s="16">
        <v>4.0</v>
      </c>
      <c r="R23" s="16">
        <v>3.0</v>
      </c>
      <c r="S23" s="16">
        <v>2.0</v>
      </c>
      <c r="T23" s="16">
        <v>4.0</v>
      </c>
      <c r="U23" s="20">
        <v>1.0</v>
      </c>
      <c r="V23" s="16">
        <v>3.0</v>
      </c>
      <c r="W23" s="16">
        <v>2.0</v>
      </c>
      <c r="X23" s="16">
        <v>5.0</v>
      </c>
      <c r="Y23" s="16">
        <v>5.0</v>
      </c>
      <c r="Z23" s="21">
        <f t="shared" si="1"/>
        <v>82</v>
      </c>
      <c r="AA23" s="22">
        <f t="shared" si="2"/>
        <v>-0.02337891487</v>
      </c>
    </row>
    <row r="24">
      <c r="A24" s="16" t="s">
        <v>52</v>
      </c>
      <c r="B24" s="16">
        <v>4.0</v>
      </c>
      <c r="C24" s="16">
        <v>4.0</v>
      </c>
      <c r="D24" s="16">
        <v>5.0</v>
      </c>
      <c r="E24" s="16">
        <v>4.0</v>
      </c>
      <c r="F24" s="16">
        <v>4.0</v>
      </c>
      <c r="G24" s="16">
        <v>2.0</v>
      </c>
      <c r="H24" s="16">
        <v>3.0</v>
      </c>
      <c r="I24" s="16">
        <v>4.0</v>
      </c>
      <c r="J24" s="16">
        <v>3.0</v>
      </c>
      <c r="K24" s="16">
        <v>5.0</v>
      </c>
      <c r="L24" s="16">
        <v>4.0</v>
      </c>
      <c r="M24" s="16">
        <v>3.0</v>
      </c>
      <c r="N24" s="16">
        <v>5.0</v>
      </c>
      <c r="O24" s="16">
        <v>4.0</v>
      </c>
      <c r="P24" s="16">
        <v>3.0</v>
      </c>
      <c r="Q24" s="16">
        <v>4.0</v>
      </c>
      <c r="R24" s="16">
        <v>2.0</v>
      </c>
      <c r="S24" s="16">
        <v>4.0</v>
      </c>
      <c r="T24" s="16">
        <v>5.0</v>
      </c>
      <c r="U24" s="16">
        <v>5.0</v>
      </c>
      <c r="V24" s="20">
        <v>1.0</v>
      </c>
      <c r="W24" s="16">
        <v>2.0</v>
      </c>
      <c r="X24" s="16">
        <v>4.0</v>
      </c>
      <c r="Y24" s="16">
        <v>5.0</v>
      </c>
      <c r="Z24" s="21">
        <f t="shared" si="1"/>
        <v>89</v>
      </c>
      <c r="AA24" s="22">
        <f t="shared" si="2"/>
        <v>0.05999117777</v>
      </c>
    </row>
    <row r="25">
      <c r="A25" s="23" t="s">
        <v>53</v>
      </c>
      <c r="B25" s="16">
        <v>3.0</v>
      </c>
      <c r="C25" s="16">
        <v>4.0</v>
      </c>
      <c r="D25" s="16">
        <v>4.0</v>
      </c>
      <c r="E25" s="16">
        <v>5.0</v>
      </c>
      <c r="F25" s="16">
        <v>3.0</v>
      </c>
      <c r="G25" s="16">
        <v>3.0</v>
      </c>
      <c r="H25" s="16">
        <v>5.0</v>
      </c>
      <c r="I25" s="16">
        <v>3.0</v>
      </c>
      <c r="J25" s="16">
        <v>3.0</v>
      </c>
      <c r="K25" s="16">
        <v>5.0</v>
      </c>
      <c r="L25" s="16">
        <v>4.0</v>
      </c>
      <c r="M25" s="16">
        <v>5.0</v>
      </c>
      <c r="N25" s="16">
        <v>4.0</v>
      </c>
      <c r="O25" s="16">
        <v>4.0</v>
      </c>
      <c r="P25" s="16">
        <v>4.0</v>
      </c>
      <c r="Q25" s="16">
        <v>2.0</v>
      </c>
      <c r="R25" s="16">
        <v>3.0</v>
      </c>
      <c r="S25" s="16">
        <v>3.0</v>
      </c>
      <c r="T25" s="16">
        <v>4.0</v>
      </c>
      <c r="U25" s="16">
        <v>4.0</v>
      </c>
      <c r="V25" s="16">
        <v>2.0</v>
      </c>
      <c r="W25" s="16">
        <v>3.0</v>
      </c>
      <c r="X25" s="16">
        <v>5.0</v>
      </c>
      <c r="Y25" s="16">
        <v>3.0</v>
      </c>
      <c r="Z25" s="21">
        <f t="shared" si="1"/>
        <v>88</v>
      </c>
      <c r="AA25" s="22">
        <f t="shared" si="2"/>
        <v>0.04808116453</v>
      </c>
    </row>
    <row r="26">
      <c r="A26" s="16" t="s">
        <v>54</v>
      </c>
      <c r="B26" s="16">
        <v>4.0</v>
      </c>
      <c r="C26" s="16">
        <v>3.0</v>
      </c>
      <c r="D26" s="16">
        <v>5.0</v>
      </c>
      <c r="E26" s="16">
        <v>5.0</v>
      </c>
      <c r="F26" s="16">
        <v>4.0</v>
      </c>
      <c r="G26" s="16">
        <v>4.0</v>
      </c>
      <c r="H26" s="16">
        <v>5.0</v>
      </c>
      <c r="I26" s="16">
        <v>4.0</v>
      </c>
      <c r="J26" s="16">
        <v>4.0</v>
      </c>
      <c r="K26" s="16">
        <v>5.0</v>
      </c>
      <c r="L26" s="16">
        <v>4.0</v>
      </c>
      <c r="M26" s="16">
        <v>4.0</v>
      </c>
      <c r="N26" s="16">
        <v>4.0</v>
      </c>
      <c r="O26" s="16">
        <v>5.0</v>
      </c>
      <c r="P26" s="16">
        <v>3.0</v>
      </c>
      <c r="Q26" s="16">
        <v>5.0</v>
      </c>
      <c r="R26" s="16">
        <v>5.0</v>
      </c>
      <c r="S26" s="16">
        <v>5.0</v>
      </c>
      <c r="T26" s="16">
        <v>5.0</v>
      </c>
      <c r="U26" s="16">
        <v>5.0</v>
      </c>
      <c r="V26" s="16">
        <v>5.0</v>
      </c>
      <c r="W26" s="20">
        <v>1.0</v>
      </c>
      <c r="X26" s="16">
        <v>5.0</v>
      </c>
      <c r="Y26" s="16">
        <v>5.0</v>
      </c>
      <c r="Z26" s="21">
        <f t="shared" si="1"/>
        <v>104</v>
      </c>
      <c r="AA26" s="22">
        <f t="shared" si="2"/>
        <v>0.2386413763</v>
      </c>
    </row>
    <row r="27">
      <c r="A27" s="16" t="s">
        <v>55</v>
      </c>
      <c r="B27" s="16">
        <v>3.0</v>
      </c>
      <c r="C27" s="16">
        <v>3.0</v>
      </c>
      <c r="D27" s="16">
        <v>3.0</v>
      </c>
      <c r="E27" s="16">
        <v>4.0</v>
      </c>
      <c r="F27" s="16">
        <v>3.0</v>
      </c>
      <c r="G27" s="16">
        <v>3.0</v>
      </c>
      <c r="H27" s="16">
        <v>5.0</v>
      </c>
      <c r="I27" s="16">
        <v>4.0</v>
      </c>
      <c r="J27" s="16">
        <v>4.0</v>
      </c>
      <c r="K27" s="16">
        <v>5.0</v>
      </c>
      <c r="L27" s="16">
        <v>3.0</v>
      </c>
      <c r="M27" s="16">
        <v>5.0</v>
      </c>
      <c r="N27" s="16">
        <v>4.0</v>
      </c>
      <c r="O27" s="16">
        <v>4.0</v>
      </c>
      <c r="P27" s="16">
        <v>4.0</v>
      </c>
      <c r="Q27" s="16">
        <v>4.0</v>
      </c>
      <c r="R27" s="16">
        <v>3.0</v>
      </c>
      <c r="S27" s="16">
        <v>3.0</v>
      </c>
      <c r="T27" s="16">
        <v>5.0</v>
      </c>
      <c r="U27" s="16">
        <v>5.0</v>
      </c>
      <c r="V27" s="16">
        <v>4.0</v>
      </c>
      <c r="W27" s="16">
        <v>3.0</v>
      </c>
      <c r="X27" s="20">
        <v>1.0</v>
      </c>
      <c r="Y27" s="16">
        <v>5.0</v>
      </c>
      <c r="Z27" s="21">
        <f t="shared" si="1"/>
        <v>90</v>
      </c>
      <c r="AA27" s="22">
        <f t="shared" si="2"/>
        <v>0.071901191</v>
      </c>
    </row>
    <row r="28">
      <c r="A28" s="16" t="s">
        <v>56</v>
      </c>
      <c r="B28" s="16">
        <v>4.0</v>
      </c>
      <c r="C28" s="16">
        <v>2.0</v>
      </c>
      <c r="D28" s="16">
        <v>5.0</v>
      </c>
      <c r="E28" s="16">
        <v>3.0</v>
      </c>
      <c r="F28" s="16">
        <v>3.0</v>
      </c>
      <c r="G28" s="16">
        <v>3.0</v>
      </c>
      <c r="H28" s="16">
        <v>4.0</v>
      </c>
      <c r="I28" s="16">
        <v>4.0</v>
      </c>
      <c r="J28" s="16">
        <v>4.0</v>
      </c>
      <c r="K28" s="16">
        <v>4.0</v>
      </c>
      <c r="L28" s="16">
        <v>3.0</v>
      </c>
      <c r="M28" s="16">
        <v>3.0</v>
      </c>
      <c r="N28" s="16">
        <v>5.0</v>
      </c>
      <c r="O28" s="16">
        <v>5.0</v>
      </c>
      <c r="P28" s="16">
        <v>2.0</v>
      </c>
      <c r="Q28" s="16">
        <v>3.0</v>
      </c>
      <c r="R28" s="16">
        <v>2.0</v>
      </c>
      <c r="S28" s="16">
        <v>3.0</v>
      </c>
      <c r="T28" s="16">
        <v>5.0</v>
      </c>
      <c r="U28" s="16">
        <v>5.0</v>
      </c>
      <c r="V28" s="16">
        <v>4.0</v>
      </c>
      <c r="W28" s="16">
        <v>2.0</v>
      </c>
      <c r="X28" s="16">
        <v>5.0</v>
      </c>
      <c r="Y28" s="20">
        <v>1.0</v>
      </c>
      <c r="Z28" s="21">
        <f t="shared" si="1"/>
        <v>84</v>
      </c>
      <c r="AA28" s="22">
        <f t="shared" si="2"/>
        <v>0.0004411116012</v>
      </c>
    </row>
    <row r="29">
      <c r="A29" s="24" t="s">
        <v>1</v>
      </c>
      <c r="B29" s="25">
        <f t="shared" ref="B29:Y29" si="3">SUM(B2:B28)</f>
        <v>90</v>
      </c>
      <c r="C29" s="25">
        <f t="shared" si="3"/>
        <v>74</v>
      </c>
      <c r="D29" s="25">
        <f t="shared" si="3"/>
        <v>105</v>
      </c>
      <c r="E29" s="25">
        <f t="shared" si="3"/>
        <v>93</v>
      </c>
      <c r="F29" s="25">
        <f t="shared" si="3"/>
        <v>100</v>
      </c>
      <c r="G29" s="25">
        <f t="shared" si="3"/>
        <v>75</v>
      </c>
      <c r="H29" s="25">
        <f t="shared" si="3"/>
        <v>105</v>
      </c>
      <c r="I29" s="25">
        <f t="shared" si="3"/>
        <v>97</v>
      </c>
      <c r="J29" s="25">
        <f t="shared" si="3"/>
        <v>79</v>
      </c>
      <c r="K29" s="25">
        <f t="shared" si="3"/>
        <v>118</v>
      </c>
      <c r="L29" s="25">
        <f t="shared" si="3"/>
        <v>85</v>
      </c>
      <c r="M29" s="25">
        <f t="shared" si="3"/>
        <v>97</v>
      </c>
      <c r="N29" s="25">
        <f t="shared" si="3"/>
        <v>107</v>
      </c>
      <c r="O29" s="25">
        <f t="shared" si="3"/>
        <v>111</v>
      </c>
      <c r="P29" s="25">
        <f t="shared" si="3"/>
        <v>75</v>
      </c>
      <c r="Q29" s="25">
        <f t="shared" si="3"/>
        <v>97</v>
      </c>
      <c r="R29" s="25">
        <f t="shared" si="3"/>
        <v>73</v>
      </c>
      <c r="S29" s="25">
        <f t="shared" si="3"/>
        <v>82</v>
      </c>
      <c r="T29" s="25">
        <f t="shared" si="3"/>
        <v>109</v>
      </c>
      <c r="U29" s="25">
        <f t="shared" si="3"/>
        <v>117</v>
      </c>
      <c r="V29" s="25">
        <f t="shared" si="3"/>
        <v>92</v>
      </c>
      <c r="W29" s="25">
        <f t="shared" si="3"/>
        <v>66</v>
      </c>
      <c r="X29" s="25">
        <f t="shared" si="3"/>
        <v>105</v>
      </c>
      <c r="Y29" s="25">
        <f t="shared" si="3"/>
        <v>115</v>
      </c>
      <c r="Z29" s="26" t="s">
        <v>57</v>
      </c>
      <c r="AA29" s="19"/>
    </row>
    <row r="30">
      <c r="A30" s="27" t="s">
        <v>58</v>
      </c>
      <c r="B30" s="28">
        <f t="shared" ref="B30:Y30" si="4">COUNTIF(B2:B28,5)</f>
        <v>2</v>
      </c>
      <c r="C30" s="28">
        <f t="shared" si="4"/>
        <v>0</v>
      </c>
      <c r="D30" s="28">
        <f t="shared" si="4"/>
        <v>11</v>
      </c>
      <c r="E30" s="28">
        <f t="shared" si="4"/>
        <v>2</v>
      </c>
      <c r="F30" s="28">
        <f t="shared" si="4"/>
        <v>5</v>
      </c>
      <c r="G30" s="28">
        <f t="shared" si="4"/>
        <v>0</v>
      </c>
      <c r="H30" s="28">
        <f t="shared" si="4"/>
        <v>8</v>
      </c>
      <c r="I30" s="28">
        <f t="shared" si="4"/>
        <v>5</v>
      </c>
      <c r="J30" s="28">
        <f t="shared" si="4"/>
        <v>0</v>
      </c>
      <c r="K30" s="28">
        <f t="shared" si="4"/>
        <v>16</v>
      </c>
      <c r="L30" s="28">
        <f t="shared" si="4"/>
        <v>0</v>
      </c>
      <c r="M30" s="28">
        <f t="shared" si="4"/>
        <v>3</v>
      </c>
      <c r="N30" s="28">
        <f t="shared" si="4"/>
        <v>9</v>
      </c>
      <c r="O30" s="28">
        <f t="shared" si="4"/>
        <v>9</v>
      </c>
      <c r="P30" s="28">
        <f t="shared" si="4"/>
        <v>0</v>
      </c>
      <c r="Q30" s="28">
        <f t="shared" si="4"/>
        <v>1</v>
      </c>
      <c r="R30" s="28">
        <f t="shared" si="4"/>
        <v>1</v>
      </c>
      <c r="S30" s="28">
        <f t="shared" si="4"/>
        <v>1</v>
      </c>
      <c r="T30" s="28">
        <f t="shared" si="4"/>
        <v>9</v>
      </c>
      <c r="U30" s="28">
        <f t="shared" si="4"/>
        <v>14</v>
      </c>
      <c r="V30" s="28">
        <f t="shared" si="4"/>
        <v>2</v>
      </c>
      <c r="W30" s="28">
        <f t="shared" si="4"/>
        <v>0</v>
      </c>
      <c r="X30" s="28">
        <f t="shared" si="4"/>
        <v>8</v>
      </c>
      <c r="Y30" s="28">
        <f t="shared" si="4"/>
        <v>15</v>
      </c>
      <c r="Z30" s="29">
        <f t="shared" ref="Z30:Z34" si="6">SUM(B30:Y30)</f>
        <v>121</v>
      </c>
      <c r="AA30" s="30">
        <f t="shared" ref="AA30:AA35" si="7">Z30/$Z$35</f>
        <v>0.1867283951</v>
      </c>
    </row>
    <row r="31">
      <c r="A31" s="27" t="s">
        <v>59</v>
      </c>
      <c r="B31" s="28">
        <f t="shared" ref="B31:Y31" si="5">COUNTIF(B2:B28,4)</f>
        <v>9</v>
      </c>
      <c r="C31" s="28">
        <f t="shared" si="5"/>
        <v>5</v>
      </c>
      <c r="D31" s="28">
        <f t="shared" si="5"/>
        <v>7</v>
      </c>
      <c r="E31" s="28">
        <f t="shared" si="5"/>
        <v>13</v>
      </c>
      <c r="F31" s="28">
        <f t="shared" si="5"/>
        <v>13</v>
      </c>
      <c r="G31" s="28">
        <f t="shared" si="5"/>
        <v>2</v>
      </c>
      <c r="H31" s="28">
        <f t="shared" si="5"/>
        <v>10</v>
      </c>
      <c r="I31" s="28">
        <f t="shared" si="5"/>
        <v>10</v>
      </c>
      <c r="J31" s="28">
        <f t="shared" si="5"/>
        <v>5</v>
      </c>
      <c r="K31" s="28">
        <f t="shared" si="5"/>
        <v>8</v>
      </c>
      <c r="L31" s="28">
        <f t="shared" si="5"/>
        <v>9</v>
      </c>
      <c r="M31" s="28">
        <f t="shared" si="5"/>
        <v>12</v>
      </c>
      <c r="N31" s="28">
        <f t="shared" si="5"/>
        <v>12</v>
      </c>
      <c r="O31" s="28">
        <f t="shared" si="5"/>
        <v>14</v>
      </c>
      <c r="P31" s="28">
        <f t="shared" si="5"/>
        <v>4</v>
      </c>
      <c r="Q31" s="28">
        <f t="shared" si="5"/>
        <v>18</v>
      </c>
      <c r="R31" s="28">
        <f t="shared" si="5"/>
        <v>3</v>
      </c>
      <c r="S31" s="28">
        <f t="shared" si="5"/>
        <v>7</v>
      </c>
      <c r="T31" s="28">
        <f t="shared" si="5"/>
        <v>13</v>
      </c>
      <c r="U31" s="28">
        <f t="shared" si="5"/>
        <v>10</v>
      </c>
      <c r="V31" s="28">
        <f t="shared" si="5"/>
        <v>12</v>
      </c>
      <c r="W31" s="28">
        <f t="shared" si="5"/>
        <v>1</v>
      </c>
      <c r="X31" s="28">
        <f t="shared" si="5"/>
        <v>12</v>
      </c>
      <c r="Y31" s="28">
        <f t="shared" si="5"/>
        <v>6</v>
      </c>
      <c r="Z31" s="29">
        <f t="shared" si="6"/>
        <v>215</v>
      </c>
      <c r="AA31" s="30">
        <f t="shared" si="7"/>
        <v>0.3317901235</v>
      </c>
    </row>
    <row r="32">
      <c r="A32" s="27" t="s">
        <v>60</v>
      </c>
      <c r="B32" s="28">
        <f t="shared" ref="B32:Y32" si="8">COUNTIF(B2:B28,3)</f>
        <v>13</v>
      </c>
      <c r="C32" s="28">
        <f t="shared" si="8"/>
        <v>13</v>
      </c>
      <c r="D32" s="28">
        <f t="shared" si="8"/>
        <v>6</v>
      </c>
      <c r="E32" s="28">
        <f t="shared" si="8"/>
        <v>8</v>
      </c>
      <c r="F32" s="28">
        <f t="shared" si="8"/>
        <v>6</v>
      </c>
      <c r="G32" s="28">
        <f t="shared" si="8"/>
        <v>18</v>
      </c>
      <c r="H32" s="28">
        <f t="shared" si="8"/>
        <v>7</v>
      </c>
      <c r="I32" s="28">
        <f t="shared" si="8"/>
        <v>9</v>
      </c>
      <c r="J32" s="28">
        <f t="shared" si="8"/>
        <v>16</v>
      </c>
      <c r="K32" s="28">
        <f t="shared" si="8"/>
        <v>1</v>
      </c>
      <c r="L32" s="28">
        <f t="shared" si="8"/>
        <v>14</v>
      </c>
      <c r="M32" s="28">
        <f t="shared" si="8"/>
        <v>11</v>
      </c>
      <c r="N32" s="28">
        <f t="shared" si="8"/>
        <v>3</v>
      </c>
      <c r="O32" s="28">
        <f t="shared" si="8"/>
        <v>3</v>
      </c>
      <c r="P32" s="28">
        <f t="shared" si="8"/>
        <v>16</v>
      </c>
      <c r="Q32" s="28">
        <f t="shared" si="8"/>
        <v>5</v>
      </c>
      <c r="R32" s="28">
        <f t="shared" si="8"/>
        <v>11</v>
      </c>
      <c r="S32" s="28">
        <f t="shared" si="8"/>
        <v>12</v>
      </c>
      <c r="T32" s="28">
        <f t="shared" si="8"/>
        <v>3</v>
      </c>
      <c r="U32" s="28">
        <f t="shared" si="8"/>
        <v>2</v>
      </c>
      <c r="V32" s="28">
        <f t="shared" si="8"/>
        <v>9</v>
      </c>
      <c r="W32" s="28">
        <f t="shared" si="8"/>
        <v>12</v>
      </c>
      <c r="X32" s="28">
        <f t="shared" si="8"/>
        <v>4</v>
      </c>
      <c r="Y32" s="28">
        <f t="shared" si="8"/>
        <v>5</v>
      </c>
      <c r="Z32" s="29">
        <f t="shared" si="6"/>
        <v>207</v>
      </c>
      <c r="AA32" s="30">
        <f t="shared" si="7"/>
        <v>0.3194444444</v>
      </c>
    </row>
    <row r="33">
      <c r="A33" s="27" t="s">
        <v>61</v>
      </c>
      <c r="B33" s="28">
        <f t="shared" ref="B33:Y33" si="9">COUNTIF(B2:B28,2)</f>
        <v>2</v>
      </c>
      <c r="C33" s="28">
        <f t="shared" si="9"/>
        <v>6</v>
      </c>
      <c r="D33" s="28">
        <f t="shared" si="9"/>
        <v>1</v>
      </c>
      <c r="E33" s="28">
        <f t="shared" si="9"/>
        <v>3</v>
      </c>
      <c r="F33" s="28">
        <f t="shared" si="9"/>
        <v>2</v>
      </c>
      <c r="G33" s="28">
        <f t="shared" si="9"/>
        <v>6</v>
      </c>
      <c r="H33" s="28">
        <f t="shared" si="9"/>
        <v>2</v>
      </c>
      <c r="I33" s="28">
        <f t="shared" si="9"/>
        <v>2</v>
      </c>
      <c r="J33" s="28">
        <f t="shared" si="9"/>
        <v>5</v>
      </c>
      <c r="K33" s="28">
        <f t="shared" si="9"/>
        <v>1</v>
      </c>
      <c r="L33" s="28">
        <f t="shared" si="9"/>
        <v>3</v>
      </c>
      <c r="M33" s="28">
        <f t="shared" si="9"/>
        <v>0</v>
      </c>
      <c r="N33" s="28">
        <f t="shared" si="9"/>
        <v>2</v>
      </c>
      <c r="O33" s="28">
        <f t="shared" si="9"/>
        <v>0</v>
      </c>
      <c r="P33" s="28">
        <f t="shared" si="9"/>
        <v>4</v>
      </c>
      <c r="Q33" s="28">
        <f t="shared" si="9"/>
        <v>2</v>
      </c>
      <c r="R33" s="28">
        <f t="shared" si="9"/>
        <v>11</v>
      </c>
      <c r="S33" s="28">
        <f t="shared" si="9"/>
        <v>6</v>
      </c>
      <c r="T33" s="28">
        <f t="shared" si="9"/>
        <v>1</v>
      </c>
      <c r="U33" s="28">
        <f t="shared" si="9"/>
        <v>0</v>
      </c>
      <c r="V33" s="28">
        <f t="shared" si="9"/>
        <v>3</v>
      </c>
      <c r="W33" s="28">
        <f t="shared" si="9"/>
        <v>12</v>
      </c>
      <c r="X33" s="28">
        <f t="shared" si="9"/>
        <v>2</v>
      </c>
      <c r="Y33" s="28">
        <f t="shared" si="9"/>
        <v>0</v>
      </c>
      <c r="Z33" s="29">
        <f t="shared" si="6"/>
        <v>76</v>
      </c>
      <c r="AA33" s="30">
        <f t="shared" si="7"/>
        <v>0.1172839506</v>
      </c>
    </row>
    <row r="34">
      <c r="A34" s="27" t="s">
        <v>62</v>
      </c>
      <c r="B34" s="28">
        <f t="shared" ref="B34:Y34" si="10">COUNTIF(B2:B28,1)</f>
        <v>1</v>
      </c>
      <c r="C34" s="28">
        <f t="shared" si="10"/>
        <v>3</v>
      </c>
      <c r="D34" s="28">
        <f t="shared" si="10"/>
        <v>2</v>
      </c>
      <c r="E34" s="28">
        <f t="shared" si="10"/>
        <v>1</v>
      </c>
      <c r="F34" s="28">
        <f t="shared" si="10"/>
        <v>1</v>
      </c>
      <c r="G34" s="28">
        <f t="shared" si="10"/>
        <v>1</v>
      </c>
      <c r="H34" s="28">
        <f t="shared" si="10"/>
        <v>0</v>
      </c>
      <c r="I34" s="28">
        <f t="shared" si="10"/>
        <v>1</v>
      </c>
      <c r="J34" s="28">
        <f t="shared" si="10"/>
        <v>1</v>
      </c>
      <c r="K34" s="28">
        <f t="shared" si="10"/>
        <v>1</v>
      </c>
      <c r="L34" s="28">
        <f t="shared" si="10"/>
        <v>1</v>
      </c>
      <c r="M34" s="28">
        <f t="shared" si="10"/>
        <v>1</v>
      </c>
      <c r="N34" s="28">
        <f t="shared" si="10"/>
        <v>1</v>
      </c>
      <c r="O34" s="28">
        <f t="shared" si="10"/>
        <v>1</v>
      </c>
      <c r="P34" s="28">
        <f t="shared" si="10"/>
        <v>3</v>
      </c>
      <c r="Q34" s="28">
        <f t="shared" si="10"/>
        <v>1</v>
      </c>
      <c r="R34" s="28">
        <f t="shared" si="10"/>
        <v>1</v>
      </c>
      <c r="S34" s="28">
        <f t="shared" si="10"/>
        <v>1</v>
      </c>
      <c r="T34" s="28">
        <f t="shared" si="10"/>
        <v>1</v>
      </c>
      <c r="U34" s="28">
        <f t="shared" si="10"/>
        <v>1</v>
      </c>
      <c r="V34" s="28">
        <f t="shared" si="10"/>
        <v>1</v>
      </c>
      <c r="W34" s="28">
        <f t="shared" si="10"/>
        <v>2</v>
      </c>
      <c r="X34" s="28">
        <f t="shared" si="10"/>
        <v>1</v>
      </c>
      <c r="Y34" s="28">
        <f t="shared" si="10"/>
        <v>1</v>
      </c>
      <c r="Z34" s="29">
        <f t="shared" si="6"/>
        <v>29</v>
      </c>
      <c r="AA34" s="30">
        <f t="shared" si="7"/>
        <v>0.04475308642</v>
      </c>
    </row>
    <row r="35">
      <c r="A35" s="11"/>
      <c r="B35" s="11"/>
      <c r="Z35" s="29">
        <f>SUM(Z30:Z34)</f>
        <v>648</v>
      </c>
      <c r="AA35" s="30">
        <f t="shared" si="7"/>
        <v>1</v>
      </c>
    </row>
    <row r="36">
      <c r="A36" s="11"/>
      <c r="B36" s="11"/>
    </row>
    <row r="37">
      <c r="A37" s="31" t="s">
        <v>63</v>
      </c>
      <c r="B37" s="11"/>
    </row>
    <row r="38">
      <c r="A38" s="32" t="s">
        <v>64</v>
      </c>
      <c r="B38" s="33">
        <f>AVERAGE(Z2:Z28)</f>
        <v>83.96296296</v>
      </c>
    </row>
    <row r="39">
      <c r="A39" s="11"/>
      <c r="B39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25.13"/>
    <col customWidth="1" min="4" max="4" width="16.63"/>
  </cols>
  <sheetData>
    <row r="1">
      <c r="A1" s="34" t="s">
        <v>65</v>
      </c>
      <c r="B1" s="35" t="s">
        <v>66</v>
      </c>
      <c r="C1" s="35" t="s">
        <v>67</v>
      </c>
      <c r="D1" s="35" t="s">
        <v>68</v>
      </c>
      <c r="E1" s="35" t="s">
        <v>69</v>
      </c>
    </row>
    <row r="2">
      <c r="A2" s="1">
        <v>1.0</v>
      </c>
      <c r="B2" s="5" t="s">
        <v>2</v>
      </c>
      <c r="C2" s="36" t="s">
        <v>70</v>
      </c>
      <c r="D2" s="11"/>
      <c r="E2" s="36" t="s">
        <v>71</v>
      </c>
    </row>
    <row r="3">
      <c r="A3" s="1">
        <v>2.0</v>
      </c>
      <c r="B3" s="5" t="s">
        <v>4</v>
      </c>
      <c r="C3" s="36" t="s">
        <v>72</v>
      </c>
      <c r="D3" s="11"/>
      <c r="E3" s="36" t="s">
        <v>73</v>
      </c>
    </row>
    <row r="4">
      <c r="A4" s="1">
        <v>3.0</v>
      </c>
      <c r="B4" s="5" t="s">
        <v>5</v>
      </c>
      <c r="C4" s="36" t="s">
        <v>74</v>
      </c>
      <c r="D4" s="11"/>
      <c r="E4" s="36" t="s">
        <v>75</v>
      </c>
    </row>
    <row r="5">
      <c r="A5" s="1">
        <v>4.0</v>
      </c>
      <c r="B5" s="5" t="s">
        <v>6</v>
      </c>
      <c r="C5" s="36" t="s">
        <v>76</v>
      </c>
      <c r="D5" s="11"/>
      <c r="E5" s="36" t="s">
        <v>77</v>
      </c>
    </row>
    <row r="6">
      <c r="A6" s="1">
        <v>5.0</v>
      </c>
      <c r="B6" s="5" t="s">
        <v>7</v>
      </c>
      <c r="C6" s="36" t="s">
        <v>78</v>
      </c>
      <c r="D6" s="11"/>
      <c r="E6" s="36" t="s">
        <v>71</v>
      </c>
    </row>
  </sheetData>
  <drawing r:id="rId1"/>
</worksheet>
</file>
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Results!$A$1:$J$25</definedName>
  </definedNames>
  <calcPr/>
</workbook>
</file>

<file path=xl/sharedStrings.xml><?xml version="1.0" encoding="utf-8"?>
<sst xmlns="http://schemas.openxmlformats.org/spreadsheetml/2006/main" count="137" uniqueCount="73">
  <si>
    <t>Name</t>
  </si>
  <si>
    <t>Score</t>
  </si>
  <si>
    <t>5's</t>
  </si>
  <si>
    <t>4's</t>
  </si>
  <si>
    <t>3's</t>
  </si>
  <si>
    <t>2's</t>
  </si>
  <si>
    <t>1's</t>
  </si>
  <si>
    <t>jasinski - Pine</t>
  </si>
  <si>
    <t>pts</t>
  </si>
  <si>
    <t>Taron - Kumbaja</t>
  </si>
  <si>
    <t>Double Tap - Sangakkara</t>
  </si>
  <si>
    <t>MilksterX - Kula Kuma</t>
  </si>
  <si>
    <t>ELEX - The Diminished Return</t>
  </si>
  <si>
    <t>J.Ruegg - Road 508</t>
  </si>
  <si>
    <t>løkken - Resonate</t>
  </si>
  <si>
    <t>miau - kuma wins</t>
  </si>
  <si>
    <t>dq</t>
  </si>
  <si>
    <t>Eauson - Kuma 508</t>
  </si>
  <si>
    <t>SeBaer - Brain Parasite</t>
  </si>
  <si>
    <t>Impedance Music - Waiting For The Garbage Collecti...</t>
  </si>
  <si>
    <t>ontrackp - Kuma Suture</t>
  </si>
  <si>
    <t>Toss -&gt; Heads -&gt; Wins</t>
  </si>
  <si>
    <t>TrojakEW - Paradise</t>
  </si>
  <si>
    <t>Toss -&gt; Tails</t>
  </si>
  <si>
    <t>zarf - Neeps</t>
  </si>
  <si>
    <t>doctorbob - Kuma Five-O-Eight</t>
  </si>
  <si>
    <t>PeterH - Kuma 5o8 Bell Hell</t>
  </si>
  <si>
    <t>Ranoka - Mudhenge</t>
  </si>
  <si>
    <t>TheFrozenSea - A Brand New Cage</t>
  </si>
  <si>
    <t>bh9090 - Vinegar</t>
  </si>
  <si>
    <t>MadMcMan - Fighting the Kuma</t>
  </si>
  <si>
    <t>emikaela - Octopus Disco</t>
  </si>
  <si>
    <t>phankiejankie303 - Squarethon</t>
  </si>
  <si>
    <t>Jazzaria - Synthprovisation #4</t>
  </si>
  <si>
    <t>davetbass - DavetBassKVROSC148</t>
  </si>
  <si>
    <t>Voter Name (KVR nick)</t>
  </si>
  <si>
    <t>Gen. Score *</t>
  </si>
  <si>
    <t>asi4</t>
  </si>
  <si>
    <t>davetbass</t>
  </si>
  <si>
    <t>doctorbob</t>
  </si>
  <si>
    <t>Double Tap</t>
  </si>
  <si>
    <t>ELEX</t>
  </si>
  <si>
    <t>emikaela</t>
  </si>
  <si>
    <t>Impedance-Music</t>
  </si>
  <si>
    <t>J.Ruegg</t>
  </si>
  <si>
    <t>jasinski</t>
  </si>
  <si>
    <t>Jazzaria</t>
  </si>
  <si>
    <t>lokken</t>
  </si>
  <si>
    <t>MadMcMan</t>
  </si>
  <si>
    <t>miau</t>
  </si>
  <si>
    <t>milksterx</t>
  </si>
  <si>
    <t>ontrackp</t>
  </si>
  <si>
    <t>phankiejankie303</t>
  </si>
  <si>
    <t>Ranoka</t>
  </si>
  <si>
    <t>SeBaer</t>
  </si>
  <si>
    <t>Taron</t>
  </si>
  <si>
    <t>TheFrozenSea</t>
  </si>
  <si>
    <t>TrojakEW</t>
  </si>
  <si>
    <t>zarf</t>
  </si>
  <si>
    <t xml:space="preserve"> 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</si>
  <si>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</si>
  <si>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</si>
  <si>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</si>
  <si>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</si>
  <si>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</si>
  <si>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</si>
  <si>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</si>
  <si>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</si>
  <si>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</si>
  <si>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Lunaris</t>
  </si>
  <si>
    <t>DONE</t>
  </si>
  <si>
    <t>audiothing space echo</t>
  </si>
  <si>
    <t>Modelonia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</si>
</sst>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999999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theme="1"/>
      <name val="Sans-serif"/>
    </font>
    <font>
      <b/>
      <color rgb="FF999999"/>
      <name val="Arial"/>
    </font>
    <font>
      <color rgb="FF000000"/>
      <name val="Sans-serif"/>
    </font>
    <font>
      <color rgb="FF999999"/>
      <name val="Arial"/>
    </font>
    <font>
      <color rgb="FF444444"/>
      <name val="Sans-serif"/>
    </font>
    <font>
      <color rgb="FF444444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vertical="bottom"/>
    </xf>
    <xf borderId="0" fillId="3" fontId="10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4" fontId="12" numFmtId="0" xfId="0" applyAlignment="1" applyFill="1" applyFont="1">
      <alignment horizontal="left" readingOrder="0"/>
    </xf>
    <xf borderId="0" fillId="0" fontId="12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center" readingOrder="0" shrinkToFit="0" wrapText="0"/>
    </xf>
    <xf borderId="0" fillId="5" fontId="1" numFmtId="0" xfId="0" applyAlignment="1" applyFill="1" applyFont="1">
      <alignment horizontal="center" vertical="bottom"/>
    </xf>
    <xf borderId="0" fillId="0" fontId="15" numFmtId="0" xfId="0" applyAlignment="1" applyFont="1">
      <alignment horizontal="left" readingOrder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1" numFmtId="49" xfId="0" applyAlignment="1" applyFont="1" applyNumberFormat="1">
      <alignment readingOrder="0" shrinkToFit="0" vertical="bottom" wrapText="0"/>
    </xf>
    <xf borderId="0" fillId="0" fontId="18" numFmtId="49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0" numFmtId="49" xfId="0" applyAlignment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20" numFmtId="49" xfId="0" applyAlignment="1" applyFont="1" applyNumberFormat="1">
      <alignment vertical="bottom"/>
    </xf>
    <xf borderId="0" fillId="0" fontId="20" numFmtId="4" xfId="0" applyAlignment="1" applyFont="1" applyNumberFormat="1">
      <alignment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476250</xdr:colOff>
      <xdr:row>30</xdr:row>
      <xdr:rowOff>171450</xdr:rowOff>
    </xdr:from>
    <xdr:ext cx="2533650" cy="2533650"/>
    <xdr:pic>
      <xdr:nvPicPr>
        <xdr:cNvPr id="166218076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4.5"/>
    <col customWidth="1" min="4" max="4" width="8.13"/>
    <col customWidth="1" min="5" max="9" width="6.38"/>
    <col customWidth="1" min="10" max="10" width="19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96.0</v>
      </c>
      <c r="D2" s="1" t="s">
        <v>8</v>
      </c>
      <c r="E2" s="8">
        <v>14.0</v>
      </c>
      <c r="F2" s="8">
        <v>5.0</v>
      </c>
      <c r="G2" s="8">
        <v>1.0</v>
      </c>
      <c r="H2" s="8">
        <v>1.0</v>
      </c>
      <c r="I2" s="8">
        <v>1.0</v>
      </c>
      <c r="J2" s="9"/>
    </row>
    <row r="3">
      <c r="A3" s="5">
        <v>2.0</v>
      </c>
      <c r="B3" s="6" t="s">
        <v>9</v>
      </c>
      <c r="C3" s="7">
        <v>92.0</v>
      </c>
      <c r="D3" s="1" t="s">
        <v>8</v>
      </c>
      <c r="E3" s="8">
        <v>11.0</v>
      </c>
      <c r="F3" s="8">
        <v>7.0</v>
      </c>
      <c r="G3" s="8">
        <v>2.0</v>
      </c>
      <c r="H3" s="8">
        <v>1.0</v>
      </c>
      <c r="I3" s="8">
        <v>1.0</v>
      </c>
      <c r="J3" s="9"/>
    </row>
    <row r="4">
      <c r="A4" s="5">
        <v>3.0</v>
      </c>
      <c r="B4" s="6" t="s">
        <v>10</v>
      </c>
      <c r="C4" s="7">
        <v>91.0</v>
      </c>
      <c r="D4" s="1" t="s">
        <v>8</v>
      </c>
      <c r="E4" s="8">
        <v>9.0</v>
      </c>
      <c r="F4" s="8">
        <v>9.0</v>
      </c>
      <c r="G4" s="8">
        <v>3.0</v>
      </c>
      <c r="H4" s="8">
        <v>0.0</v>
      </c>
      <c r="I4" s="8">
        <v>1.0</v>
      </c>
      <c r="J4" s="10"/>
    </row>
    <row r="5">
      <c r="A5" s="5">
        <v>4.0</v>
      </c>
      <c r="B5" s="6" t="s">
        <v>11</v>
      </c>
      <c r="C5" s="7">
        <v>90.0</v>
      </c>
      <c r="D5" s="1" t="s">
        <v>8</v>
      </c>
      <c r="E5" s="8">
        <v>9.0</v>
      </c>
      <c r="F5" s="8">
        <v>9.0</v>
      </c>
      <c r="G5" s="8">
        <v>2.0</v>
      </c>
      <c r="H5" s="8">
        <v>1.0</v>
      </c>
      <c r="I5" s="8">
        <v>1.0</v>
      </c>
      <c r="J5" s="9"/>
    </row>
    <row r="6">
      <c r="A6" s="5">
        <v>5.0</v>
      </c>
      <c r="B6" s="6" t="s">
        <v>12</v>
      </c>
      <c r="C6" s="7">
        <v>90.0</v>
      </c>
      <c r="D6" s="1" t="s">
        <v>8</v>
      </c>
      <c r="E6" s="8">
        <v>8.0</v>
      </c>
      <c r="F6" s="8">
        <v>10.0</v>
      </c>
      <c r="G6" s="8">
        <v>3.0</v>
      </c>
      <c r="H6" s="8">
        <v>0.0</v>
      </c>
      <c r="I6" s="8">
        <v>1.0</v>
      </c>
      <c r="J6" s="9"/>
    </row>
    <row r="7">
      <c r="A7" s="5">
        <v>6.0</v>
      </c>
      <c r="B7" s="6" t="s">
        <v>13</v>
      </c>
      <c r="C7" s="7">
        <v>86.0</v>
      </c>
      <c r="D7" s="1" t="s">
        <v>8</v>
      </c>
      <c r="E7" s="8">
        <v>8.0</v>
      </c>
      <c r="F7" s="8">
        <v>8.0</v>
      </c>
      <c r="G7" s="8">
        <v>3.0</v>
      </c>
      <c r="H7" s="8">
        <v>2.0</v>
      </c>
      <c r="I7" s="8">
        <v>1.0</v>
      </c>
      <c r="J7" s="9"/>
    </row>
    <row r="8">
      <c r="A8" s="5">
        <v>7.0</v>
      </c>
      <c r="B8" s="6" t="s">
        <v>14</v>
      </c>
      <c r="C8" s="7">
        <v>85.0</v>
      </c>
      <c r="D8" s="1" t="s">
        <v>8</v>
      </c>
      <c r="E8" s="8">
        <v>8.0</v>
      </c>
      <c r="F8" s="8">
        <v>6.0</v>
      </c>
      <c r="G8" s="8">
        <v>6.0</v>
      </c>
      <c r="H8" s="8">
        <v>1.0</v>
      </c>
      <c r="I8" s="8">
        <v>1.0</v>
      </c>
      <c r="J8" s="9"/>
    </row>
    <row r="9">
      <c r="A9" s="5">
        <v>8.0</v>
      </c>
      <c r="B9" s="6" t="s">
        <v>15</v>
      </c>
      <c r="C9" s="7">
        <v>83.0</v>
      </c>
      <c r="D9" s="1" t="s">
        <v>8</v>
      </c>
      <c r="E9" s="8">
        <v>6.0</v>
      </c>
      <c r="F9" s="8">
        <v>9.0</v>
      </c>
      <c r="G9" s="8">
        <v>5.0</v>
      </c>
      <c r="H9" s="8">
        <v>0.0</v>
      </c>
      <c r="I9" s="8">
        <v>2.0</v>
      </c>
      <c r="J9" s="9"/>
    </row>
    <row r="10">
      <c r="A10" s="5" t="s">
        <v>16</v>
      </c>
      <c r="B10" s="6" t="s">
        <v>17</v>
      </c>
      <c r="C10" s="7">
        <v>83.0</v>
      </c>
      <c r="D10" s="1" t="s">
        <v>8</v>
      </c>
      <c r="E10" s="8">
        <v>4.0</v>
      </c>
      <c r="F10" s="8">
        <v>11.0</v>
      </c>
      <c r="G10" s="8">
        <v>5.0</v>
      </c>
      <c r="H10" s="8">
        <v>2.0</v>
      </c>
      <c r="I10" s="8">
        <v>0.0</v>
      </c>
      <c r="J10" s="9"/>
    </row>
    <row r="11">
      <c r="A11" s="5">
        <v>9.0</v>
      </c>
      <c r="B11" s="6" t="s">
        <v>18</v>
      </c>
      <c r="C11" s="7">
        <v>82.0</v>
      </c>
      <c r="D11" s="1" t="s">
        <v>8</v>
      </c>
      <c r="E11" s="8">
        <v>4.0</v>
      </c>
      <c r="F11" s="8">
        <v>10.0</v>
      </c>
      <c r="G11" s="8">
        <v>7.0</v>
      </c>
      <c r="H11" s="8">
        <v>0.0</v>
      </c>
      <c r="I11" s="8">
        <v>1.0</v>
      </c>
      <c r="J11" s="9"/>
    </row>
    <row r="12">
      <c r="A12" s="5">
        <v>10.0</v>
      </c>
      <c r="B12" s="6" t="s">
        <v>19</v>
      </c>
      <c r="C12" s="7">
        <v>79.0</v>
      </c>
      <c r="D12" s="1" t="s">
        <v>8</v>
      </c>
      <c r="E12" s="8">
        <v>4.0</v>
      </c>
      <c r="F12" s="8">
        <v>9.0</v>
      </c>
      <c r="G12" s="8">
        <v>6.0</v>
      </c>
      <c r="H12" s="8">
        <v>2.0</v>
      </c>
      <c r="I12" s="8">
        <v>1.0</v>
      </c>
      <c r="J12" s="9"/>
    </row>
    <row r="13">
      <c r="A13" s="5">
        <v>11.0</v>
      </c>
      <c r="B13" s="6" t="s">
        <v>20</v>
      </c>
      <c r="C13" s="7">
        <v>79.0</v>
      </c>
      <c r="D13" s="1" t="s">
        <v>8</v>
      </c>
      <c r="E13" s="8">
        <v>3.0</v>
      </c>
      <c r="F13" s="8">
        <v>10.0</v>
      </c>
      <c r="G13" s="8">
        <v>7.0</v>
      </c>
      <c r="H13" s="8">
        <v>1.0</v>
      </c>
      <c r="I13" s="8">
        <v>1.0</v>
      </c>
      <c r="J13" s="10" t="s">
        <v>21</v>
      </c>
    </row>
    <row r="14">
      <c r="A14" s="5">
        <v>12.0</v>
      </c>
      <c r="B14" s="6" t="s">
        <v>22</v>
      </c>
      <c r="C14" s="7">
        <v>79.0</v>
      </c>
      <c r="D14" s="1" t="s">
        <v>8</v>
      </c>
      <c r="E14" s="8">
        <v>3.0</v>
      </c>
      <c r="F14" s="8">
        <v>10.0</v>
      </c>
      <c r="G14" s="8">
        <v>7.0</v>
      </c>
      <c r="H14" s="8">
        <v>1.0</v>
      </c>
      <c r="I14" s="8">
        <v>1.0</v>
      </c>
      <c r="J14" s="10" t="s">
        <v>23</v>
      </c>
    </row>
    <row r="15">
      <c r="A15" s="5">
        <v>13.0</v>
      </c>
      <c r="B15" s="6" t="s">
        <v>24</v>
      </c>
      <c r="C15" s="7">
        <v>76.0</v>
      </c>
      <c r="D15" s="1" t="s">
        <v>8</v>
      </c>
      <c r="E15" s="8">
        <v>2.0</v>
      </c>
      <c r="F15" s="8">
        <v>10.0</v>
      </c>
      <c r="G15" s="8">
        <v>7.0</v>
      </c>
      <c r="H15" s="8">
        <v>2.0</v>
      </c>
      <c r="I15" s="8">
        <v>1.0</v>
      </c>
      <c r="J15" s="9"/>
    </row>
    <row r="16">
      <c r="A16" s="5">
        <v>14.0</v>
      </c>
      <c r="B16" s="6" t="s">
        <v>25</v>
      </c>
      <c r="C16" s="7">
        <v>75.0</v>
      </c>
      <c r="D16" s="1" t="s">
        <v>8</v>
      </c>
      <c r="E16" s="8">
        <v>2.0</v>
      </c>
      <c r="F16" s="8">
        <v>8.0</v>
      </c>
      <c r="G16" s="8">
        <v>10.0</v>
      </c>
      <c r="H16" s="8">
        <v>1.0</v>
      </c>
      <c r="I16" s="8">
        <v>1.0</v>
      </c>
      <c r="J16" s="9"/>
    </row>
    <row r="17">
      <c r="A17" s="5" t="s">
        <v>16</v>
      </c>
      <c r="B17" s="6" t="s">
        <v>26</v>
      </c>
      <c r="C17" s="7">
        <v>74.0</v>
      </c>
      <c r="D17" s="1" t="s">
        <v>8</v>
      </c>
      <c r="E17" s="8">
        <v>1.0</v>
      </c>
      <c r="F17" s="8">
        <v>9.0</v>
      </c>
      <c r="G17" s="8">
        <v>9.0</v>
      </c>
      <c r="H17" s="8">
        <v>3.0</v>
      </c>
      <c r="I17" s="8">
        <v>0.0</v>
      </c>
      <c r="J17" s="9"/>
    </row>
    <row r="18">
      <c r="A18" s="5">
        <v>15.0</v>
      </c>
      <c r="B18" s="6" t="s">
        <v>27</v>
      </c>
      <c r="C18" s="7">
        <v>72.0</v>
      </c>
      <c r="D18" s="1" t="s">
        <v>8</v>
      </c>
      <c r="E18" s="8">
        <v>2.0</v>
      </c>
      <c r="F18" s="8">
        <v>7.0</v>
      </c>
      <c r="G18" s="8">
        <v>9.0</v>
      </c>
      <c r="H18" s="8">
        <v>3.0</v>
      </c>
      <c r="I18" s="8">
        <v>1.0</v>
      </c>
      <c r="J18" s="9"/>
    </row>
    <row r="19">
      <c r="A19" s="5">
        <v>16.0</v>
      </c>
      <c r="B19" s="6" t="s">
        <v>28</v>
      </c>
      <c r="C19" s="7">
        <v>67.0</v>
      </c>
      <c r="D19" s="1" t="s">
        <v>8</v>
      </c>
      <c r="E19" s="8">
        <v>1.0</v>
      </c>
      <c r="F19" s="8">
        <v>4.0</v>
      </c>
      <c r="G19" s="8">
        <v>14.0</v>
      </c>
      <c r="H19" s="8">
        <v>1.0</v>
      </c>
      <c r="I19" s="8">
        <v>2.0</v>
      </c>
      <c r="J19" s="9"/>
    </row>
    <row r="20">
      <c r="A20" s="5" t="s">
        <v>16</v>
      </c>
      <c r="B20" s="6" t="s">
        <v>29</v>
      </c>
      <c r="C20" s="7">
        <v>66.0</v>
      </c>
      <c r="D20" s="1" t="s">
        <v>8</v>
      </c>
      <c r="E20" s="8">
        <v>1.0</v>
      </c>
      <c r="F20" s="8">
        <v>3.0</v>
      </c>
      <c r="G20" s="8">
        <v>14.0</v>
      </c>
      <c r="H20" s="8">
        <v>3.0</v>
      </c>
      <c r="I20" s="8">
        <v>1.0</v>
      </c>
      <c r="J20" s="9"/>
    </row>
    <row r="21">
      <c r="A21" s="5">
        <v>17.0</v>
      </c>
      <c r="B21" s="6" t="s">
        <v>30</v>
      </c>
      <c r="C21" s="7">
        <v>64.0</v>
      </c>
      <c r="D21" s="1" t="s">
        <v>8</v>
      </c>
      <c r="E21" s="8">
        <v>1.0</v>
      </c>
      <c r="F21" s="8">
        <v>2.0</v>
      </c>
      <c r="G21" s="8">
        <v>15.0</v>
      </c>
      <c r="H21" s="8">
        <v>2.0</v>
      </c>
      <c r="I21" s="8">
        <v>2.0</v>
      </c>
      <c r="J21" s="9"/>
    </row>
    <row r="22">
      <c r="A22" s="5">
        <v>18.0</v>
      </c>
      <c r="B22" s="6" t="s">
        <v>31</v>
      </c>
      <c r="C22" s="7">
        <v>64.0</v>
      </c>
      <c r="D22" s="1" t="s">
        <v>8</v>
      </c>
      <c r="E22" s="8">
        <v>1.0</v>
      </c>
      <c r="F22" s="8">
        <v>1.0</v>
      </c>
      <c r="G22" s="8">
        <v>16.0</v>
      </c>
      <c r="H22" s="8">
        <v>3.0</v>
      </c>
      <c r="I22" s="8">
        <v>1.0</v>
      </c>
      <c r="J22" s="9"/>
    </row>
    <row r="23">
      <c r="A23" s="5">
        <v>19.0</v>
      </c>
      <c r="B23" s="6" t="s">
        <v>32</v>
      </c>
      <c r="C23" s="7">
        <v>63.0</v>
      </c>
      <c r="D23" s="1" t="s">
        <v>8</v>
      </c>
      <c r="E23" s="8">
        <v>1.0</v>
      </c>
      <c r="F23" s="8">
        <v>2.0</v>
      </c>
      <c r="G23" s="8">
        <v>15.0</v>
      </c>
      <c r="H23" s="8">
        <v>1.0</v>
      </c>
      <c r="I23" s="8">
        <v>3.0</v>
      </c>
      <c r="J23" s="9"/>
    </row>
    <row r="24">
      <c r="A24" s="5">
        <v>20.0</v>
      </c>
      <c r="B24" s="6" t="s">
        <v>33</v>
      </c>
      <c r="C24" s="7">
        <v>61.0</v>
      </c>
      <c r="D24" s="1" t="s">
        <v>8</v>
      </c>
      <c r="E24" s="8">
        <v>1.0</v>
      </c>
      <c r="F24" s="8">
        <v>4.0</v>
      </c>
      <c r="G24" s="8">
        <v>8.0</v>
      </c>
      <c r="H24" s="8">
        <v>7.0</v>
      </c>
      <c r="I24" s="8">
        <v>2.0</v>
      </c>
      <c r="J24" s="9"/>
    </row>
    <row r="25">
      <c r="A25" s="5">
        <v>21.0</v>
      </c>
      <c r="B25" s="6" t="s">
        <v>34</v>
      </c>
      <c r="C25" s="7">
        <v>45.0</v>
      </c>
      <c r="D25" s="1" t="s">
        <v>8</v>
      </c>
      <c r="E25" s="8">
        <v>0.0</v>
      </c>
      <c r="F25" s="8">
        <v>0.0</v>
      </c>
      <c r="G25" s="8">
        <v>6.0</v>
      </c>
      <c r="H25" s="8">
        <v>11.0</v>
      </c>
      <c r="I25" s="8">
        <v>5.0</v>
      </c>
      <c r="J25" s="9"/>
    </row>
    <row r="112">
      <c r="F112" s="11"/>
      <c r="G112" s="1"/>
      <c r="H112" s="1"/>
      <c r="I112" s="1"/>
      <c r="J112" s="1"/>
      <c r="K112" s="1"/>
    </row>
    <row r="113">
      <c r="F113" s="1"/>
      <c r="G113" s="1"/>
      <c r="H113" s="1"/>
      <c r="I113" s="1"/>
      <c r="J113" s="1"/>
      <c r="K113" s="1"/>
    </row>
    <row r="114">
      <c r="F114" s="11"/>
      <c r="G114" s="1"/>
      <c r="H114" s="1"/>
      <c r="I114" s="1"/>
      <c r="J114" s="1"/>
      <c r="K114" s="1"/>
    </row>
    <row r="115">
      <c r="F115" s="11"/>
      <c r="G115" s="1"/>
      <c r="H115" s="1"/>
      <c r="I115" s="1"/>
      <c r="J115" s="1"/>
      <c r="K115" s="1"/>
    </row>
    <row r="116">
      <c r="F116" s="11"/>
      <c r="G116" s="1"/>
      <c r="H116" s="1"/>
      <c r="I116" s="1"/>
      <c r="J116" s="1"/>
      <c r="K116" s="1"/>
    </row>
    <row r="117">
      <c r="F117" s="11"/>
      <c r="G117" s="1"/>
      <c r="H117" s="1"/>
      <c r="I117" s="1"/>
      <c r="J117" s="1"/>
      <c r="K117" s="1"/>
    </row>
    <row r="118">
      <c r="F118" s="11"/>
      <c r="G118" s="1"/>
      <c r="H118" s="1"/>
      <c r="I118" s="1"/>
      <c r="J118" s="1"/>
      <c r="K118" s="1"/>
    </row>
    <row r="119">
      <c r="F119" s="1"/>
      <c r="G119" s="1"/>
      <c r="H119" s="1"/>
      <c r="I119" s="1"/>
      <c r="J119" s="1"/>
      <c r="K119" s="1"/>
    </row>
    <row r="120">
      <c r="F120" s="12"/>
      <c r="G120" s="1"/>
      <c r="H120" s="1"/>
      <c r="I120" s="1"/>
      <c r="J120" s="1"/>
      <c r="K120" s="1"/>
    </row>
    <row r="121">
      <c r="F121" s="12"/>
      <c r="G121" s="1"/>
      <c r="H121" s="1"/>
      <c r="I121" s="1"/>
      <c r="J121" s="1"/>
      <c r="K121" s="1"/>
    </row>
    <row r="122">
      <c r="F122" s="12"/>
      <c r="G122" s="1"/>
      <c r="H122" s="1"/>
      <c r="I122" s="1"/>
      <c r="J122" s="1"/>
      <c r="K122" s="1"/>
    </row>
    <row r="123">
      <c r="F123" s="12"/>
      <c r="G123" s="1"/>
      <c r="H123" s="1"/>
      <c r="I123" s="1"/>
      <c r="J123" s="1"/>
      <c r="K123" s="1"/>
    </row>
    <row r="124">
      <c r="F124" s="12"/>
      <c r="G124" s="1"/>
      <c r="H124" s="1"/>
      <c r="I124" s="1"/>
      <c r="J124" s="1"/>
      <c r="K124" s="1"/>
    </row>
    <row r="125">
      <c r="F125" s="12"/>
      <c r="G125" s="1"/>
      <c r="H125" s="1"/>
      <c r="I125" s="1"/>
      <c r="J125" s="1"/>
      <c r="K125" s="1"/>
    </row>
    <row r="126">
      <c r="F126" s="12"/>
      <c r="G126" s="1"/>
      <c r="H126" s="1"/>
      <c r="I126" s="1"/>
      <c r="J126" s="1"/>
      <c r="K126" s="1"/>
    </row>
    <row r="127">
      <c r="F127" s="12"/>
      <c r="G127" s="1"/>
      <c r="H127" s="1"/>
      <c r="I127" s="1"/>
      <c r="J127" s="1"/>
      <c r="K127" s="1"/>
    </row>
    <row r="128">
      <c r="F128" s="12"/>
      <c r="G128" s="1"/>
      <c r="H128" s="1"/>
      <c r="I128" s="1"/>
      <c r="J128" s="1"/>
      <c r="K128" s="1"/>
    </row>
    <row r="129">
      <c r="F129" s="12"/>
      <c r="G129" s="1"/>
      <c r="H129" s="1"/>
      <c r="I129" s="1"/>
      <c r="J129" s="1"/>
      <c r="K129" s="1"/>
    </row>
    <row r="130">
      <c r="F130" s="12"/>
      <c r="G130" s="1"/>
      <c r="H130" s="1"/>
      <c r="I130" s="1"/>
      <c r="J130" s="1"/>
      <c r="K130" s="1"/>
    </row>
    <row r="131">
      <c r="F131" s="12"/>
      <c r="G131" s="1"/>
      <c r="H131" s="1"/>
      <c r="I131" s="1"/>
      <c r="J131" s="1"/>
      <c r="K131" s="1"/>
    </row>
    <row r="132">
      <c r="F132" s="12"/>
      <c r="G132" s="1"/>
      <c r="H132" s="1"/>
      <c r="I132" s="1"/>
      <c r="J132" s="1"/>
      <c r="K132" s="1"/>
    </row>
    <row r="133">
      <c r="F133" s="12"/>
      <c r="G133" s="1"/>
      <c r="H133" s="1"/>
      <c r="I133" s="1"/>
      <c r="J133" s="1"/>
      <c r="K133" s="1"/>
    </row>
    <row r="134">
      <c r="F134" s="12"/>
      <c r="G134" s="1"/>
      <c r="H134" s="1"/>
      <c r="I134" s="1"/>
      <c r="J134" s="1"/>
      <c r="K134" s="1"/>
    </row>
    <row r="135">
      <c r="F135" s="12"/>
      <c r="G135" s="1"/>
      <c r="H135" s="1"/>
      <c r="I135" s="1"/>
      <c r="J135" s="1"/>
      <c r="K135" s="1"/>
    </row>
    <row r="136">
      <c r="F136" s="12"/>
      <c r="G136" s="1"/>
      <c r="H136" s="1"/>
      <c r="I136" s="1"/>
      <c r="J136" s="1"/>
      <c r="K136" s="1"/>
    </row>
    <row r="137">
      <c r="F137" s="12"/>
      <c r="G137" s="1"/>
      <c r="H137" s="1"/>
      <c r="I137" s="1"/>
      <c r="J137" s="1"/>
      <c r="K137" s="1"/>
    </row>
    <row r="138">
      <c r="F138" s="12"/>
      <c r="G138" s="1"/>
      <c r="H138" s="1"/>
      <c r="I138" s="1"/>
      <c r="J138" s="1"/>
      <c r="K138" s="1"/>
    </row>
    <row r="139">
      <c r="F139" s="12"/>
      <c r="I139" s="1"/>
      <c r="J139" s="1"/>
      <c r="K139" s="1"/>
    </row>
    <row r="140">
      <c r="F140" s="12"/>
      <c r="I140" s="1"/>
      <c r="J140" s="1"/>
      <c r="K140" s="1"/>
    </row>
    <row r="141">
      <c r="F141" s="12"/>
      <c r="I141" s="1"/>
      <c r="J141" s="1"/>
      <c r="K141" s="1"/>
    </row>
    <row r="142">
      <c r="I142" s="1"/>
      <c r="J142" s="1"/>
      <c r="K142" s="1"/>
    </row>
    <row r="143">
      <c r="F143" s="11"/>
      <c r="G143" s="1"/>
      <c r="H143" s="1"/>
      <c r="I143" s="1"/>
      <c r="J143" s="1"/>
      <c r="K143" s="1"/>
    </row>
    <row r="144">
      <c r="F144" s="11"/>
      <c r="G144" s="1"/>
      <c r="H144" s="1"/>
      <c r="I144" s="1"/>
      <c r="J144" s="1"/>
      <c r="K144" s="1"/>
    </row>
    <row r="145">
      <c r="F145" s="1"/>
      <c r="G145" s="1"/>
      <c r="H145" s="1"/>
      <c r="I145" s="1"/>
      <c r="J145" s="1"/>
      <c r="K145" s="1"/>
    </row>
    <row r="146">
      <c r="F146" s="11"/>
      <c r="G146" s="1"/>
      <c r="H146" s="1"/>
    </row>
    <row r="147">
      <c r="F147" s="1"/>
      <c r="G147" s="1"/>
      <c r="H147" s="1"/>
    </row>
    <row r="148">
      <c r="F148" s="13"/>
      <c r="G148" s="1"/>
      <c r="H148" s="1"/>
    </row>
    <row r="149">
      <c r="F149" s="14"/>
      <c r="G149" s="1"/>
      <c r="H149" s="1"/>
    </row>
  </sheetData>
  <autoFilter ref="$A$1:$J$25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7" width="7.88"/>
  </cols>
  <sheetData>
    <row r="1">
      <c r="A1" s="15" t="s">
        <v>35</v>
      </c>
      <c r="B1" s="16" t="s">
        <v>29</v>
      </c>
      <c r="C1" s="17" t="s">
        <v>34</v>
      </c>
      <c r="D1" s="17" t="s">
        <v>25</v>
      </c>
      <c r="E1" s="17" t="s">
        <v>10</v>
      </c>
      <c r="F1" s="16" t="s">
        <v>17</v>
      </c>
      <c r="G1" s="17" t="s">
        <v>12</v>
      </c>
      <c r="H1" s="18" t="s">
        <v>31</v>
      </c>
      <c r="I1" s="17" t="s">
        <v>19</v>
      </c>
      <c r="J1" s="17" t="s">
        <v>13</v>
      </c>
      <c r="K1" s="17" t="s">
        <v>7</v>
      </c>
      <c r="L1" s="17" t="s">
        <v>33</v>
      </c>
      <c r="M1" s="17" t="s">
        <v>14</v>
      </c>
      <c r="N1" s="17" t="s">
        <v>30</v>
      </c>
      <c r="O1" s="17" t="s">
        <v>15</v>
      </c>
      <c r="P1" s="17" t="s">
        <v>11</v>
      </c>
      <c r="Q1" s="17" t="s">
        <v>20</v>
      </c>
      <c r="R1" s="16" t="s">
        <v>26</v>
      </c>
      <c r="S1" s="17" t="s">
        <v>32</v>
      </c>
      <c r="T1" s="17" t="s">
        <v>27</v>
      </c>
      <c r="U1" s="17" t="s">
        <v>18</v>
      </c>
      <c r="V1" s="17" t="s">
        <v>9</v>
      </c>
      <c r="W1" s="17" t="s">
        <v>28</v>
      </c>
      <c r="X1" s="17" t="s">
        <v>22</v>
      </c>
      <c r="Y1" s="17" t="s">
        <v>24</v>
      </c>
      <c r="Z1" s="19" t="s">
        <v>36</v>
      </c>
      <c r="AA1" s="20"/>
    </row>
    <row r="2">
      <c r="A2" s="21" t="s">
        <v>37</v>
      </c>
      <c r="B2" s="22">
        <v>3.0</v>
      </c>
      <c r="C2" s="22">
        <v>2.0</v>
      </c>
      <c r="D2" s="22">
        <v>3.0</v>
      </c>
      <c r="E2" s="22">
        <v>4.0</v>
      </c>
      <c r="F2" s="22">
        <v>4.0</v>
      </c>
      <c r="G2" s="22">
        <v>4.0</v>
      </c>
      <c r="H2" s="22">
        <v>3.0</v>
      </c>
      <c r="I2" s="22">
        <v>2.0</v>
      </c>
      <c r="J2" s="22">
        <v>4.0</v>
      </c>
      <c r="K2" s="22">
        <v>5.0</v>
      </c>
      <c r="L2" s="22">
        <v>2.0</v>
      </c>
      <c r="M2" s="22">
        <v>5.0</v>
      </c>
      <c r="N2" s="22">
        <v>2.0</v>
      </c>
      <c r="O2" s="22">
        <v>3.0</v>
      </c>
      <c r="P2" s="22">
        <v>4.0</v>
      </c>
      <c r="Q2" s="22">
        <v>4.0</v>
      </c>
      <c r="R2" s="22">
        <v>4.0</v>
      </c>
      <c r="S2" s="22">
        <v>3.0</v>
      </c>
      <c r="T2" s="22">
        <v>3.0</v>
      </c>
      <c r="U2" s="22">
        <v>5.0</v>
      </c>
      <c r="V2" s="22">
        <v>4.0</v>
      </c>
      <c r="W2" s="22">
        <v>3.0</v>
      </c>
      <c r="X2" s="22">
        <v>3.0</v>
      </c>
      <c r="Y2" s="22">
        <v>5.0</v>
      </c>
      <c r="Z2" s="23">
        <f t="shared" ref="Z2:Z23" si="1">SUM(B2:Y2)</f>
        <v>84</v>
      </c>
      <c r="AA2" s="24">
        <f t="shared" ref="AA2:AA23" si="2">(Z2-$B$36)/$B$36</f>
        <v>0.00325732899</v>
      </c>
    </row>
    <row r="3">
      <c r="A3" s="25" t="s">
        <v>38</v>
      </c>
      <c r="B3" s="26">
        <v>5.0</v>
      </c>
      <c r="C3" s="27">
        <v>1.0</v>
      </c>
      <c r="D3" s="26">
        <v>4.0</v>
      </c>
      <c r="E3" s="26">
        <v>4.0</v>
      </c>
      <c r="F3" s="26">
        <v>5.0</v>
      </c>
      <c r="G3" s="26">
        <v>5.0</v>
      </c>
      <c r="H3" s="26">
        <v>5.0</v>
      </c>
      <c r="I3" s="26">
        <v>5.0</v>
      </c>
      <c r="J3" s="26">
        <v>5.0</v>
      </c>
      <c r="K3" s="26">
        <v>4.0</v>
      </c>
      <c r="L3" s="26">
        <v>5.0</v>
      </c>
      <c r="M3" s="26">
        <v>5.0</v>
      </c>
      <c r="N3" s="26">
        <v>5.0</v>
      </c>
      <c r="O3" s="26">
        <v>5.0</v>
      </c>
      <c r="P3" s="26">
        <v>4.0</v>
      </c>
      <c r="Q3" s="26">
        <v>3.0</v>
      </c>
      <c r="R3" s="26">
        <v>4.0</v>
      </c>
      <c r="S3" s="26">
        <v>5.0</v>
      </c>
      <c r="T3" s="26">
        <v>5.0</v>
      </c>
      <c r="U3" s="26">
        <v>5.0</v>
      </c>
      <c r="V3" s="26">
        <v>5.0</v>
      </c>
      <c r="W3" s="26">
        <v>4.0</v>
      </c>
      <c r="X3" s="26">
        <v>5.0</v>
      </c>
      <c r="Y3" s="26">
        <v>4.0</v>
      </c>
      <c r="Z3" s="23">
        <f t="shared" si="1"/>
        <v>107</v>
      </c>
      <c r="AA3" s="24">
        <f t="shared" si="2"/>
        <v>0.2779587405</v>
      </c>
    </row>
    <row r="4">
      <c r="A4" s="25" t="s">
        <v>39</v>
      </c>
      <c r="B4" s="26">
        <v>3.0</v>
      </c>
      <c r="C4" s="26">
        <v>2.0</v>
      </c>
      <c r="D4" s="27">
        <v>1.0</v>
      </c>
      <c r="E4" s="26">
        <v>4.0</v>
      </c>
      <c r="F4" s="26">
        <v>2.0</v>
      </c>
      <c r="G4" s="26">
        <v>3.0</v>
      </c>
      <c r="H4" s="26">
        <v>2.0</v>
      </c>
      <c r="I4" s="26">
        <v>5.0</v>
      </c>
      <c r="J4" s="26">
        <v>4.0</v>
      </c>
      <c r="K4" s="26">
        <v>5.0</v>
      </c>
      <c r="L4" s="26">
        <v>2.0</v>
      </c>
      <c r="M4" s="26">
        <v>3.0</v>
      </c>
      <c r="N4" s="26">
        <v>3.0</v>
      </c>
      <c r="O4" s="26">
        <v>5.0</v>
      </c>
      <c r="P4" s="26">
        <v>5.0</v>
      </c>
      <c r="Q4" s="26">
        <v>4.0</v>
      </c>
      <c r="R4" s="26">
        <v>3.0</v>
      </c>
      <c r="S4" s="26">
        <v>3.0</v>
      </c>
      <c r="T4" s="26">
        <v>3.0</v>
      </c>
      <c r="U4" s="26">
        <v>3.0</v>
      </c>
      <c r="V4" s="26">
        <v>4.0</v>
      </c>
      <c r="W4" s="26">
        <v>2.0</v>
      </c>
      <c r="X4" s="26">
        <v>3.0</v>
      </c>
      <c r="Y4" s="26">
        <v>3.0</v>
      </c>
      <c r="Z4" s="23">
        <f t="shared" si="1"/>
        <v>77</v>
      </c>
      <c r="AA4" s="24">
        <f t="shared" si="2"/>
        <v>-0.08034744843</v>
      </c>
    </row>
    <row r="5">
      <c r="A5" s="25" t="s">
        <v>40</v>
      </c>
      <c r="B5" s="26">
        <v>3.0</v>
      </c>
      <c r="C5" s="26">
        <v>3.0</v>
      </c>
      <c r="D5" s="26">
        <v>4.0</v>
      </c>
      <c r="E5" s="27">
        <v>1.0</v>
      </c>
      <c r="F5" s="26">
        <v>4.0</v>
      </c>
      <c r="G5" s="26">
        <v>5.0</v>
      </c>
      <c r="H5" s="26">
        <v>3.0</v>
      </c>
      <c r="I5" s="26">
        <v>4.0</v>
      </c>
      <c r="J5" s="26">
        <v>5.0</v>
      </c>
      <c r="K5" s="26">
        <v>5.0</v>
      </c>
      <c r="L5" s="26">
        <v>3.0</v>
      </c>
      <c r="M5" s="26">
        <v>5.0</v>
      </c>
      <c r="N5" s="26">
        <v>3.0</v>
      </c>
      <c r="O5" s="26">
        <v>5.0</v>
      </c>
      <c r="P5" s="26">
        <v>5.0</v>
      </c>
      <c r="Q5" s="26">
        <v>5.0</v>
      </c>
      <c r="R5" s="26">
        <v>5.0</v>
      </c>
      <c r="S5" s="26">
        <v>3.0</v>
      </c>
      <c r="T5" s="26">
        <v>4.0</v>
      </c>
      <c r="U5" s="26">
        <v>4.0</v>
      </c>
      <c r="V5" s="26">
        <v>5.0</v>
      </c>
      <c r="W5" s="26">
        <v>3.0</v>
      </c>
      <c r="X5" s="26">
        <v>4.0</v>
      </c>
      <c r="Y5" s="26">
        <v>3.0</v>
      </c>
      <c r="Z5" s="23">
        <f t="shared" si="1"/>
        <v>94</v>
      </c>
      <c r="AA5" s="24">
        <f t="shared" si="2"/>
        <v>0.1226927253</v>
      </c>
    </row>
    <row r="6">
      <c r="A6" s="25" t="s">
        <v>41</v>
      </c>
      <c r="B6" s="26">
        <v>3.0</v>
      </c>
      <c r="C6" s="26">
        <v>1.0</v>
      </c>
      <c r="D6" s="26">
        <v>3.0</v>
      </c>
      <c r="E6" s="26">
        <v>5.0</v>
      </c>
      <c r="F6" s="26">
        <v>3.0</v>
      </c>
      <c r="G6" s="27">
        <v>1.0</v>
      </c>
      <c r="H6" s="26">
        <v>4.0</v>
      </c>
      <c r="I6" s="26">
        <v>4.0</v>
      </c>
      <c r="J6" s="26">
        <v>4.0</v>
      </c>
      <c r="K6" s="26">
        <v>5.0</v>
      </c>
      <c r="L6" s="26">
        <v>2.0</v>
      </c>
      <c r="M6" s="26">
        <v>4.0</v>
      </c>
      <c r="N6" s="26">
        <v>2.0</v>
      </c>
      <c r="O6" s="26">
        <v>4.0</v>
      </c>
      <c r="P6" s="26">
        <v>4.0</v>
      </c>
      <c r="Q6" s="26">
        <v>4.0</v>
      </c>
      <c r="R6" s="26">
        <v>3.0</v>
      </c>
      <c r="S6" s="26">
        <v>3.0</v>
      </c>
      <c r="T6" s="26">
        <v>3.0</v>
      </c>
      <c r="U6" s="26">
        <v>4.0</v>
      </c>
      <c r="V6" s="26">
        <v>5.0</v>
      </c>
      <c r="W6" s="26">
        <v>3.0</v>
      </c>
      <c r="X6" s="26">
        <v>4.0</v>
      </c>
      <c r="Y6" s="26">
        <v>5.0</v>
      </c>
      <c r="Z6" s="23">
        <f t="shared" si="1"/>
        <v>83</v>
      </c>
      <c r="AA6" s="24">
        <f t="shared" si="2"/>
        <v>-0.008686210641</v>
      </c>
    </row>
    <row r="7">
      <c r="A7" s="25" t="s">
        <v>42</v>
      </c>
      <c r="B7" s="26">
        <v>3.0</v>
      </c>
      <c r="C7" s="26">
        <v>2.0</v>
      </c>
      <c r="D7" s="26">
        <v>4.0</v>
      </c>
      <c r="E7" s="26">
        <v>4.0</v>
      </c>
      <c r="F7" s="26">
        <v>3.0</v>
      </c>
      <c r="G7" s="26">
        <v>5.0</v>
      </c>
      <c r="H7" s="27">
        <v>1.0</v>
      </c>
      <c r="I7" s="26">
        <v>4.0</v>
      </c>
      <c r="J7" s="26">
        <v>4.0</v>
      </c>
      <c r="K7" s="26">
        <v>4.0</v>
      </c>
      <c r="L7" s="26">
        <v>3.0</v>
      </c>
      <c r="M7" s="26">
        <v>3.0</v>
      </c>
      <c r="N7" s="26">
        <v>4.0</v>
      </c>
      <c r="O7" s="26">
        <v>3.0</v>
      </c>
      <c r="P7" s="26">
        <v>4.0</v>
      </c>
      <c r="Q7" s="26">
        <v>4.0</v>
      </c>
      <c r="R7" s="26">
        <v>4.0</v>
      </c>
      <c r="S7" s="26">
        <v>3.0</v>
      </c>
      <c r="T7" s="26">
        <v>4.0</v>
      </c>
      <c r="U7" s="26">
        <v>4.0</v>
      </c>
      <c r="V7" s="26">
        <v>5.0</v>
      </c>
      <c r="W7" s="26">
        <v>3.0</v>
      </c>
      <c r="X7" s="26">
        <v>3.0</v>
      </c>
      <c r="Y7" s="26">
        <v>3.0</v>
      </c>
      <c r="Z7" s="23">
        <f t="shared" si="1"/>
        <v>84</v>
      </c>
      <c r="AA7" s="24">
        <f t="shared" si="2"/>
        <v>0.00325732899</v>
      </c>
    </row>
    <row r="8">
      <c r="A8" s="25" t="s">
        <v>43</v>
      </c>
      <c r="B8" s="26">
        <v>3.0</v>
      </c>
      <c r="C8" s="26">
        <v>2.0</v>
      </c>
      <c r="D8" s="26">
        <v>5.0</v>
      </c>
      <c r="E8" s="26">
        <v>4.0</v>
      </c>
      <c r="F8" s="26">
        <v>4.0</v>
      </c>
      <c r="G8" s="26">
        <v>4.0</v>
      </c>
      <c r="H8" s="26">
        <v>3.0</v>
      </c>
      <c r="I8" s="27">
        <v>1.0</v>
      </c>
      <c r="J8" s="26">
        <v>4.0</v>
      </c>
      <c r="K8" s="26">
        <v>5.0</v>
      </c>
      <c r="L8" s="26">
        <v>4.0</v>
      </c>
      <c r="M8" s="26">
        <v>4.0</v>
      </c>
      <c r="N8" s="26">
        <v>3.0</v>
      </c>
      <c r="O8" s="26">
        <v>3.0</v>
      </c>
      <c r="P8" s="26">
        <v>5.0</v>
      </c>
      <c r="Q8" s="26">
        <v>3.0</v>
      </c>
      <c r="R8" s="26">
        <v>4.0</v>
      </c>
      <c r="S8" s="26">
        <v>3.0</v>
      </c>
      <c r="T8" s="26">
        <v>5.0</v>
      </c>
      <c r="U8" s="26">
        <v>3.0</v>
      </c>
      <c r="V8" s="26">
        <v>5.0</v>
      </c>
      <c r="W8" s="26">
        <v>4.0</v>
      </c>
      <c r="X8" s="26">
        <v>4.0</v>
      </c>
      <c r="Y8" s="26">
        <v>4.0</v>
      </c>
      <c r="Z8" s="23">
        <f t="shared" si="1"/>
        <v>89</v>
      </c>
      <c r="AA8" s="24">
        <f t="shared" si="2"/>
        <v>0.06297502714</v>
      </c>
    </row>
    <row r="9">
      <c r="A9" s="25" t="s">
        <v>44</v>
      </c>
      <c r="B9" s="26">
        <v>3.0</v>
      </c>
      <c r="C9" s="26">
        <v>3.0</v>
      </c>
      <c r="D9" s="26">
        <v>4.0</v>
      </c>
      <c r="E9" s="26">
        <v>5.0</v>
      </c>
      <c r="F9" s="26">
        <v>4.0</v>
      </c>
      <c r="G9" s="26">
        <v>5.0</v>
      </c>
      <c r="H9" s="26">
        <v>3.0</v>
      </c>
      <c r="I9" s="26">
        <v>5.0</v>
      </c>
      <c r="J9" s="27">
        <v>1.0</v>
      </c>
      <c r="K9" s="26">
        <v>5.0</v>
      </c>
      <c r="L9" s="26">
        <v>4.0</v>
      </c>
      <c r="M9" s="26">
        <v>5.0</v>
      </c>
      <c r="N9" s="26">
        <v>3.0</v>
      </c>
      <c r="O9" s="26">
        <v>5.0</v>
      </c>
      <c r="P9" s="26">
        <v>4.0</v>
      </c>
      <c r="Q9" s="26">
        <v>3.0</v>
      </c>
      <c r="R9" s="26">
        <v>3.0</v>
      </c>
      <c r="S9" s="26">
        <v>3.0</v>
      </c>
      <c r="T9" s="26">
        <v>4.0</v>
      </c>
      <c r="U9" s="26">
        <v>3.0</v>
      </c>
      <c r="V9" s="26">
        <v>4.0</v>
      </c>
      <c r="W9" s="26">
        <v>3.0</v>
      </c>
      <c r="X9" s="26">
        <v>4.0</v>
      </c>
      <c r="Y9" s="26">
        <v>4.0</v>
      </c>
      <c r="Z9" s="23">
        <f t="shared" si="1"/>
        <v>90</v>
      </c>
      <c r="AA9" s="24">
        <f t="shared" si="2"/>
        <v>0.07491856678</v>
      </c>
    </row>
    <row r="10">
      <c r="A10" s="25" t="s">
        <v>45</v>
      </c>
      <c r="B10" s="26">
        <v>4.0</v>
      </c>
      <c r="C10" s="26">
        <v>3.0</v>
      </c>
      <c r="D10" s="26">
        <v>3.0</v>
      </c>
      <c r="E10" s="26">
        <v>5.0</v>
      </c>
      <c r="F10" s="26">
        <v>5.0</v>
      </c>
      <c r="G10" s="26">
        <v>4.0</v>
      </c>
      <c r="H10" s="26">
        <v>3.0</v>
      </c>
      <c r="I10" s="26">
        <v>4.0</v>
      </c>
      <c r="J10" s="26">
        <v>5.0</v>
      </c>
      <c r="K10" s="27">
        <v>1.0</v>
      </c>
      <c r="L10" s="26">
        <v>3.0</v>
      </c>
      <c r="M10" s="26">
        <v>5.0</v>
      </c>
      <c r="N10" s="26">
        <v>3.0</v>
      </c>
      <c r="O10" s="26">
        <v>4.0</v>
      </c>
      <c r="P10" s="26">
        <v>5.0</v>
      </c>
      <c r="Q10" s="26">
        <v>3.0</v>
      </c>
      <c r="R10" s="26">
        <v>4.0</v>
      </c>
      <c r="S10" s="26">
        <v>4.0</v>
      </c>
      <c r="T10" s="26">
        <v>3.0</v>
      </c>
      <c r="U10" s="26">
        <v>4.0</v>
      </c>
      <c r="V10" s="26">
        <v>5.0</v>
      </c>
      <c r="W10" s="26">
        <v>4.0</v>
      </c>
      <c r="X10" s="26">
        <v>3.0</v>
      </c>
      <c r="Y10" s="26">
        <v>4.0</v>
      </c>
      <c r="Z10" s="23">
        <f t="shared" si="1"/>
        <v>91</v>
      </c>
      <c r="AA10" s="24">
        <f t="shared" si="2"/>
        <v>0.08686210641</v>
      </c>
    </row>
    <row r="11">
      <c r="A11" s="25" t="s">
        <v>46</v>
      </c>
      <c r="B11" s="26">
        <v>3.0</v>
      </c>
      <c r="C11" s="26">
        <v>3.0</v>
      </c>
      <c r="D11" s="26">
        <v>4.0</v>
      </c>
      <c r="E11" s="26">
        <v>4.0</v>
      </c>
      <c r="F11" s="26">
        <v>3.0</v>
      </c>
      <c r="G11" s="26">
        <v>4.0</v>
      </c>
      <c r="H11" s="26">
        <v>3.0</v>
      </c>
      <c r="I11" s="26">
        <v>5.0</v>
      </c>
      <c r="J11" s="26">
        <v>4.0</v>
      </c>
      <c r="K11" s="26">
        <v>3.0</v>
      </c>
      <c r="L11" s="27">
        <v>1.0</v>
      </c>
      <c r="M11" s="26">
        <v>3.0</v>
      </c>
      <c r="N11" s="26">
        <v>3.0</v>
      </c>
      <c r="O11" s="26">
        <v>4.0</v>
      </c>
      <c r="P11" s="26">
        <v>3.0</v>
      </c>
      <c r="Q11" s="26">
        <v>4.0</v>
      </c>
      <c r="R11" s="26">
        <v>3.0</v>
      </c>
      <c r="S11" s="26">
        <v>3.0</v>
      </c>
      <c r="T11" s="26">
        <v>4.0</v>
      </c>
      <c r="U11" s="26">
        <v>3.0</v>
      </c>
      <c r="V11" s="26">
        <v>4.0</v>
      </c>
      <c r="W11" s="26">
        <v>3.0</v>
      </c>
      <c r="X11" s="26">
        <v>4.0</v>
      </c>
      <c r="Y11" s="26">
        <v>3.0</v>
      </c>
      <c r="Z11" s="23">
        <f t="shared" si="1"/>
        <v>81</v>
      </c>
      <c r="AA11" s="24">
        <f t="shared" si="2"/>
        <v>-0.0325732899</v>
      </c>
    </row>
    <row r="12">
      <c r="A12" s="28" t="s">
        <v>47</v>
      </c>
      <c r="B12" s="26">
        <v>2.0</v>
      </c>
      <c r="C12" s="26">
        <v>1.0</v>
      </c>
      <c r="D12" s="26">
        <v>3.0</v>
      </c>
      <c r="E12" s="26">
        <v>3.0</v>
      </c>
      <c r="F12" s="26">
        <v>4.0</v>
      </c>
      <c r="G12" s="26">
        <v>5.0</v>
      </c>
      <c r="H12" s="26">
        <v>2.0</v>
      </c>
      <c r="I12" s="26">
        <v>2.0</v>
      </c>
      <c r="J12" s="26">
        <v>3.0</v>
      </c>
      <c r="K12" s="26">
        <v>4.0</v>
      </c>
      <c r="L12" s="26">
        <v>1.0</v>
      </c>
      <c r="M12" s="27">
        <v>1.0</v>
      </c>
      <c r="N12" s="26">
        <v>3.0</v>
      </c>
      <c r="O12" s="26">
        <v>3.0</v>
      </c>
      <c r="P12" s="26">
        <v>3.0</v>
      </c>
      <c r="Q12" s="26">
        <v>3.0</v>
      </c>
      <c r="R12" s="26">
        <v>2.0</v>
      </c>
      <c r="S12" s="26">
        <v>1.0</v>
      </c>
      <c r="T12" s="26">
        <v>2.0</v>
      </c>
      <c r="U12" s="26">
        <v>4.0</v>
      </c>
      <c r="V12" s="26">
        <v>3.0</v>
      </c>
      <c r="W12" s="26">
        <v>3.0</v>
      </c>
      <c r="X12" s="26">
        <v>3.0</v>
      </c>
      <c r="Y12" s="26">
        <v>2.0</v>
      </c>
      <c r="Z12" s="23">
        <f t="shared" si="1"/>
        <v>63</v>
      </c>
      <c r="AA12" s="24">
        <f t="shared" si="2"/>
        <v>-0.2475570033</v>
      </c>
    </row>
    <row r="13">
      <c r="A13" s="25" t="s">
        <v>48</v>
      </c>
      <c r="B13" s="26">
        <v>3.0</v>
      </c>
      <c r="C13" s="26">
        <v>1.0</v>
      </c>
      <c r="D13" s="26">
        <v>3.0</v>
      </c>
      <c r="E13" s="26">
        <v>5.0</v>
      </c>
      <c r="F13" s="26">
        <v>4.0</v>
      </c>
      <c r="G13" s="26">
        <v>3.0</v>
      </c>
      <c r="H13" s="26">
        <v>3.0</v>
      </c>
      <c r="I13" s="26">
        <v>3.0</v>
      </c>
      <c r="J13" s="26">
        <v>3.0</v>
      </c>
      <c r="K13" s="26">
        <v>5.0</v>
      </c>
      <c r="L13" s="26">
        <v>2.0</v>
      </c>
      <c r="M13" s="26">
        <v>4.0</v>
      </c>
      <c r="N13" s="27">
        <v>1.0</v>
      </c>
      <c r="O13" s="26">
        <v>4.0</v>
      </c>
      <c r="P13" s="26">
        <v>5.0</v>
      </c>
      <c r="Q13" s="26">
        <v>2.0</v>
      </c>
      <c r="R13" s="26">
        <v>3.0</v>
      </c>
      <c r="S13" s="26">
        <v>3.0</v>
      </c>
      <c r="T13" s="26">
        <v>3.0</v>
      </c>
      <c r="U13" s="26">
        <v>4.0</v>
      </c>
      <c r="V13" s="26">
        <v>4.0</v>
      </c>
      <c r="W13" s="26">
        <v>1.0</v>
      </c>
      <c r="X13" s="26">
        <v>2.0</v>
      </c>
      <c r="Y13" s="26">
        <v>4.0</v>
      </c>
      <c r="Z13" s="23">
        <f t="shared" si="1"/>
        <v>75</v>
      </c>
      <c r="AA13" s="24">
        <f t="shared" si="2"/>
        <v>-0.1042345277</v>
      </c>
    </row>
    <row r="14">
      <c r="A14" s="25" t="s">
        <v>49</v>
      </c>
      <c r="B14" s="26">
        <v>3.0</v>
      </c>
      <c r="C14" s="26">
        <v>2.0</v>
      </c>
      <c r="D14" s="26">
        <v>3.0</v>
      </c>
      <c r="E14" s="26">
        <v>4.0</v>
      </c>
      <c r="F14" s="26">
        <v>3.0</v>
      </c>
      <c r="G14" s="26">
        <v>4.0</v>
      </c>
      <c r="H14" s="26">
        <v>3.0</v>
      </c>
      <c r="I14" s="26">
        <v>3.0</v>
      </c>
      <c r="J14" s="26">
        <v>4.0</v>
      </c>
      <c r="K14" s="26">
        <v>5.0</v>
      </c>
      <c r="L14" s="26">
        <v>3.0</v>
      </c>
      <c r="M14" s="26">
        <v>3.0</v>
      </c>
      <c r="N14" s="26">
        <v>3.0</v>
      </c>
      <c r="O14" s="27">
        <v>1.0</v>
      </c>
      <c r="P14" s="26">
        <v>5.0</v>
      </c>
      <c r="Q14" s="26">
        <v>3.0</v>
      </c>
      <c r="R14" s="26">
        <v>3.0</v>
      </c>
      <c r="S14" s="26">
        <v>3.0</v>
      </c>
      <c r="T14" s="26">
        <v>3.0</v>
      </c>
      <c r="U14" s="26">
        <v>4.0</v>
      </c>
      <c r="V14" s="26">
        <v>4.0</v>
      </c>
      <c r="W14" s="26">
        <v>3.0</v>
      </c>
      <c r="X14" s="26">
        <v>4.0</v>
      </c>
      <c r="Y14" s="26">
        <v>4.0</v>
      </c>
      <c r="Z14" s="23">
        <f t="shared" si="1"/>
        <v>80</v>
      </c>
      <c r="AA14" s="24">
        <f t="shared" si="2"/>
        <v>-0.04451682953</v>
      </c>
    </row>
    <row r="15">
      <c r="A15" s="25" t="s">
        <v>50</v>
      </c>
      <c r="B15" s="26">
        <v>4.0</v>
      </c>
      <c r="C15" s="26">
        <v>3.0</v>
      </c>
      <c r="D15" s="26">
        <v>5.0</v>
      </c>
      <c r="E15" s="26">
        <v>5.0</v>
      </c>
      <c r="F15" s="26">
        <v>4.0</v>
      </c>
      <c r="G15" s="26">
        <v>4.0</v>
      </c>
      <c r="H15" s="26">
        <v>3.0</v>
      </c>
      <c r="I15" s="26">
        <v>4.0</v>
      </c>
      <c r="J15" s="26">
        <v>5.0</v>
      </c>
      <c r="K15" s="26">
        <v>5.0</v>
      </c>
      <c r="L15" s="26">
        <v>3.0</v>
      </c>
      <c r="M15" s="26">
        <v>4.0</v>
      </c>
      <c r="N15" s="26">
        <v>4.0</v>
      </c>
      <c r="O15" s="26">
        <v>5.0</v>
      </c>
      <c r="P15" s="27">
        <v>1.0</v>
      </c>
      <c r="Q15" s="26">
        <v>5.0</v>
      </c>
      <c r="R15" s="26">
        <v>4.0</v>
      </c>
      <c r="S15" s="26">
        <v>4.0</v>
      </c>
      <c r="T15" s="26">
        <v>4.0</v>
      </c>
      <c r="U15" s="26">
        <v>5.0</v>
      </c>
      <c r="V15" s="26">
        <v>4.0</v>
      </c>
      <c r="W15" s="26">
        <v>3.0</v>
      </c>
      <c r="X15" s="26">
        <v>4.0</v>
      </c>
      <c r="Y15" s="26">
        <v>4.0</v>
      </c>
      <c r="Z15" s="23">
        <f t="shared" si="1"/>
        <v>96</v>
      </c>
      <c r="AA15" s="24">
        <f t="shared" si="2"/>
        <v>0.1465798046</v>
      </c>
    </row>
    <row r="16">
      <c r="A16" s="25" t="s">
        <v>51</v>
      </c>
      <c r="B16" s="26">
        <v>4.0</v>
      </c>
      <c r="C16" s="26">
        <v>2.0</v>
      </c>
      <c r="D16" s="26">
        <v>4.0</v>
      </c>
      <c r="E16" s="26">
        <v>5.0</v>
      </c>
      <c r="F16" s="26">
        <v>4.0</v>
      </c>
      <c r="G16" s="26">
        <v>4.0</v>
      </c>
      <c r="H16" s="26">
        <v>3.0</v>
      </c>
      <c r="I16" s="26">
        <v>4.0</v>
      </c>
      <c r="J16" s="26">
        <v>5.0</v>
      </c>
      <c r="K16" s="26">
        <v>5.0</v>
      </c>
      <c r="L16" s="26">
        <v>4.0</v>
      </c>
      <c r="M16" s="26">
        <v>3.0</v>
      </c>
      <c r="N16" s="26">
        <v>3.0</v>
      </c>
      <c r="O16" s="26">
        <v>4.0</v>
      </c>
      <c r="P16" s="26">
        <v>5.0</v>
      </c>
      <c r="Q16" s="27">
        <v>1.0</v>
      </c>
      <c r="R16" s="26">
        <v>4.0</v>
      </c>
      <c r="S16" s="26">
        <v>3.0</v>
      </c>
      <c r="T16" s="26">
        <v>3.0</v>
      </c>
      <c r="U16" s="26">
        <v>3.0</v>
      </c>
      <c r="V16" s="26">
        <v>5.0</v>
      </c>
      <c r="W16" s="26">
        <v>3.0</v>
      </c>
      <c r="X16" s="26">
        <v>4.0</v>
      </c>
      <c r="Y16" s="26">
        <v>4.0</v>
      </c>
      <c r="Z16" s="23">
        <f t="shared" si="1"/>
        <v>89</v>
      </c>
      <c r="AA16" s="24">
        <f t="shared" si="2"/>
        <v>0.06297502714</v>
      </c>
    </row>
    <row r="17">
      <c r="A17" s="25" t="s">
        <v>52</v>
      </c>
      <c r="B17" s="26">
        <v>1.0</v>
      </c>
      <c r="C17" s="26">
        <v>1.0</v>
      </c>
      <c r="D17" s="26">
        <v>2.0</v>
      </c>
      <c r="E17" s="26">
        <v>3.0</v>
      </c>
      <c r="F17" s="26">
        <v>4.0</v>
      </c>
      <c r="G17" s="26">
        <v>5.0</v>
      </c>
      <c r="H17" s="26">
        <v>2.0</v>
      </c>
      <c r="I17" s="26">
        <v>3.0</v>
      </c>
      <c r="J17" s="26">
        <v>2.0</v>
      </c>
      <c r="K17" s="26">
        <v>2.0</v>
      </c>
      <c r="L17" s="26">
        <v>2.0</v>
      </c>
      <c r="M17" s="26">
        <v>5.0</v>
      </c>
      <c r="N17" s="26">
        <v>3.0</v>
      </c>
      <c r="O17" s="26">
        <v>5.0</v>
      </c>
      <c r="P17" s="26">
        <v>4.0</v>
      </c>
      <c r="Q17" s="26">
        <v>5.0</v>
      </c>
      <c r="R17" s="26">
        <v>2.0</v>
      </c>
      <c r="S17" s="27">
        <v>1.0</v>
      </c>
      <c r="T17" s="26">
        <v>3.0</v>
      </c>
      <c r="U17" s="26">
        <v>5.0</v>
      </c>
      <c r="V17" s="26">
        <v>2.0</v>
      </c>
      <c r="W17" s="26">
        <v>3.0</v>
      </c>
      <c r="X17" s="26">
        <v>5.0</v>
      </c>
      <c r="Y17" s="26">
        <v>2.0</v>
      </c>
      <c r="Z17" s="23">
        <f t="shared" si="1"/>
        <v>72</v>
      </c>
      <c r="AA17" s="24">
        <f t="shared" si="2"/>
        <v>-0.1400651466</v>
      </c>
    </row>
    <row r="18">
      <c r="A18" s="25" t="s">
        <v>53</v>
      </c>
      <c r="B18" s="26">
        <v>3.0</v>
      </c>
      <c r="C18" s="26">
        <v>2.0</v>
      </c>
      <c r="D18" s="26">
        <v>4.0</v>
      </c>
      <c r="E18" s="26">
        <v>4.0</v>
      </c>
      <c r="F18" s="26">
        <v>5.0</v>
      </c>
      <c r="G18" s="26">
        <v>4.0</v>
      </c>
      <c r="H18" s="26">
        <v>3.0</v>
      </c>
      <c r="I18" s="26">
        <v>4.0</v>
      </c>
      <c r="J18" s="26">
        <v>5.0</v>
      </c>
      <c r="K18" s="26">
        <v>5.0</v>
      </c>
      <c r="L18" s="26">
        <v>3.0</v>
      </c>
      <c r="M18" s="26">
        <v>5.0</v>
      </c>
      <c r="N18" s="26">
        <v>3.0</v>
      </c>
      <c r="O18" s="26">
        <v>4.0</v>
      </c>
      <c r="P18" s="26">
        <v>4.0</v>
      </c>
      <c r="Q18" s="26">
        <v>4.0</v>
      </c>
      <c r="R18" s="26">
        <v>4.0</v>
      </c>
      <c r="S18" s="26">
        <v>3.0</v>
      </c>
      <c r="T18" s="27">
        <v>1.0</v>
      </c>
      <c r="U18" s="26">
        <v>4.0</v>
      </c>
      <c r="V18" s="26">
        <v>5.0</v>
      </c>
      <c r="W18" s="26">
        <v>3.0</v>
      </c>
      <c r="X18" s="26">
        <v>4.0</v>
      </c>
      <c r="Y18" s="26">
        <v>4.0</v>
      </c>
      <c r="Z18" s="23">
        <f t="shared" si="1"/>
        <v>90</v>
      </c>
      <c r="AA18" s="24">
        <f t="shared" si="2"/>
        <v>0.07491856678</v>
      </c>
    </row>
    <row r="19">
      <c r="A19" s="25" t="s">
        <v>54</v>
      </c>
      <c r="B19" s="26">
        <v>3.0</v>
      </c>
      <c r="C19" s="26">
        <v>2.0</v>
      </c>
      <c r="D19" s="26">
        <v>3.0</v>
      </c>
      <c r="E19" s="26">
        <v>5.0</v>
      </c>
      <c r="F19" s="26">
        <v>3.0</v>
      </c>
      <c r="G19" s="26">
        <v>3.0</v>
      </c>
      <c r="H19" s="26">
        <v>3.0</v>
      </c>
      <c r="I19" s="26">
        <v>4.0</v>
      </c>
      <c r="J19" s="26">
        <v>5.0</v>
      </c>
      <c r="K19" s="26">
        <v>4.0</v>
      </c>
      <c r="L19" s="26">
        <v>2.0</v>
      </c>
      <c r="M19" s="26">
        <v>3.0</v>
      </c>
      <c r="N19" s="26">
        <v>3.0</v>
      </c>
      <c r="O19" s="26">
        <v>4.0</v>
      </c>
      <c r="P19" s="26">
        <v>4.0</v>
      </c>
      <c r="Q19" s="26">
        <v>4.0</v>
      </c>
      <c r="R19" s="26">
        <v>4.0</v>
      </c>
      <c r="S19" s="26">
        <v>3.0</v>
      </c>
      <c r="T19" s="26">
        <v>3.0</v>
      </c>
      <c r="U19" s="27">
        <v>1.0</v>
      </c>
      <c r="V19" s="26">
        <v>5.0</v>
      </c>
      <c r="W19" s="26">
        <v>3.0</v>
      </c>
      <c r="X19" s="26">
        <v>3.0</v>
      </c>
      <c r="Y19" s="26">
        <v>3.0</v>
      </c>
      <c r="Z19" s="23">
        <f t="shared" si="1"/>
        <v>80</v>
      </c>
      <c r="AA19" s="24">
        <f t="shared" si="2"/>
        <v>-0.04451682953</v>
      </c>
    </row>
    <row r="20">
      <c r="A20" s="25" t="s">
        <v>55</v>
      </c>
      <c r="B20" s="26">
        <v>3.0</v>
      </c>
      <c r="C20" s="26">
        <v>2.0</v>
      </c>
      <c r="D20" s="26">
        <v>3.0</v>
      </c>
      <c r="E20" s="26">
        <v>5.0</v>
      </c>
      <c r="F20" s="26">
        <v>5.0</v>
      </c>
      <c r="G20" s="26">
        <v>4.0</v>
      </c>
      <c r="H20" s="26">
        <v>3.0</v>
      </c>
      <c r="I20" s="26">
        <v>3.0</v>
      </c>
      <c r="J20" s="26">
        <v>3.0</v>
      </c>
      <c r="K20" s="26">
        <v>5.0</v>
      </c>
      <c r="L20" s="26">
        <v>2.0</v>
      </c>
      <c r="M20" s="26">
        <v>4.0</v>
      </c>
      <c r="N20" s="26">
        <v>3.0</v>
      </c>
      <c r="O20" s="26">
        <v>3.0</v>
      </c>
      <c r="P20" s="26">
        <v>5.0</v>
      </c>
      <c r="Q20" s="26">
        <v>4.0</v>
      </c>
      <c r="R20" s="26">
        <v>3.0</v>
      </c>
      <c r="S20" s="26">
        <v>2.0</v>
      </c>
      <c r="T20" s="26">
        <v>2.0</v>
      </c>
      <c r="U20" s="26">
        <v>3.0</v>
      </c>
      <c r="V20" s="27">
        <v>1.0</v>
      </c>
      <c r="W20" s="26">
        <v>3.0</v>
      </c>
      <c r="X20" s="26">
        <v>3.0</v>
      </c>
      <c r="Y20" s="26">
        <v>3.0</v>
      </c>
      <c r="Z20" s="23">
        <f t="shared" si="1"/>
        <v>77</v>
      </c>
      <c r="AA20" s="24">
        <f t="shared" si="2"/>
        <v>-0.08034744843</v>
      </c>
    </row>
    <row r="21">
      <c r="A21" s="25" t="s">
        <v>56</v>
      </c>
      <c r="B21" s="26">
        <v>2.0</v>
      </c>
      <c r="C21" s="26">
        <v>2.0</v>
      </c>
      <c r="D21" s="26">
        <v>3.0</v>
      </c>
      <c r="E21" s="26">
        <v>3.0</v>
      </c>
      <c r="F21" s="26">
        <v>2.0</v>
      </c>
      <c r="G21" s="26">
        <v>4.0</v>
      </c>
      <c r="H21" s="26">
        <v>3.0</v>
      </c>
      <c r="I21" s="26">
        <v>3.0</v>
      </c>
      <c r="J21" s="26">
        <v>2.0</v>
      </c>
      <c r="K21" s="26">
        <v>4.0</v>
      </c>
      <c r="L21" s="26">
        <v>3.0</v>
      </c>
      <c r="M21" s="26">
        <v>2.0</v>
      </c>
      <c r="N21" s="26">
        <v>1.0</v>
      </c>
      <c r="O21" s="26">
        <v>1.0</v>
      </c>
      <c r="P21" s="26">
        <v>2.0</v>
      </c>
      <c r="Q21" s="26">
        <v>4.0</v>
      </c>
      <c r="R21" s="26">
        <v>2.0</v>
      </c>
      <c r="S21" s="26">
        <v>1.0</v>
      </c>
      <c r="T21" s="26">
        <v>2.0</v>
      </c>
      <c r="U21" s="26">
        <v>3.0</v>
      </c>
      <c r="V21" s="26">
        <v>3.0</v>
      </c>
      <c r="W21" s="27">
        <v>1.0</v>
      </c>
      <c r="X21" s="26">
        <v>5.0</v>
      </c>
      <c r="Y21" s="26">
        <v>3.0</v>
      </c>
      <c r="Z21" s="23">
        <f t="shared" si="1"/>
        <v>61</v>
      </c>
      <c r="AA21" s="24">
        <f t="shared" si="2"/>
        <v>-0.2714440825</v>
      </c>
    </row>
    <row r="22">
      <c r="A22" s="25" t="s">
        <v>57</v>
      </c>
      <c r="B22" s="26">
        <v>2.0</v>
      </c>
      <c r="C22" s="26">
        <v>2.0</v>
      </c>
      <c r="D22" s="26">
        <v>4.0</v>
      </c>
      <c r="E22" s="26">
        <v>5.0</v>
      </c>
      <c r="F22" s="26">
        <v>4.0</v>
      </c>
      <c r="G22" s="26">
        <v>5.0</v>
      </c>
      <c r="H22" s="26">
        <v>3.0</v>
      </c>
      <c r="I22" s="26">
        <v>4.0</v>
      </c>
      <c r="J22" s="26">
        <v>5.0</v>
      </c>
      <c r="K22" s="26">
        <v>5.0</v>
      </c>
      <c r="L22" s="26">
        <v>4.0</v>
      </c>
      <c r="M22" s="26">
        <v>5.0</v>
      </c>
      <c r="N22" s="26">
        <v>3.0</v>
      </c>
      <c r="O22" s="26">
        <v>4.0</v>
      </c>
      <c r="P22" s="26">
        <v>5.0</v>
      </c>
      <c r="Q22" s="26">
        <v>3.0</v>
      </c>
      <c r="R22" s="26">
        <v>3.0</v>
      </c>
      <c r="S22" s="26">
        <v>3.0</v>
      </c>
      <c r="T22" s="26">
        <v>4.0</v>
      </c>
      <c r="U22" s="26">
        <v>4.0</v>
      </c>
      <c r="V22" s="26">
        <v>5.0</v>
      </c>
      <c r="W22" s="26">
        <v>5.0</v>
      </c>
      <c r="X22" s="27">
        <v>1.0</v>
      </c>
      <c r="Y22" s="26">
        <v>4.0</v>
      </c>
      <c r="Z22" s="23">
        <f t="shared" si="1"/>
        <v>92</v>
      </c>
      <c r="AA22" s="24">
        <f t="shared" si="2"/>
        <v>0.09880564604</v>
      </c>
    </row>
    <row r="23">
      <c r="A23" s="25" t="s">
        <v>58</v>
      </c>
      <c r="B23" s="26">
        <v>3.0</v>
      </c>
      <c r="C23" s="26">
        <v>3.0</v>
      </c>
      <c r="D23" s="26">
        <v>3.0</v>
      </c>
      <c r="E23" s="26">
        <v>4.0</v>
      </c>
      <c r="F23" s="26">
        <v>4.0</v>
      </c>
      <c r="G23" s="26">
        <v>5.0</v>
      </c>
      <c r="H23" s="26">
        <v>3.0</v>
      </c>
      <c r="I23" s="26">
        <v>3.0</v>
      </c>
      <c r="J23" s="26">
        <v>4.0</v>
      </c>
      <c r="K23" s="26">
        <v>5.0</v>
      </c>
      <c r="L23" s="26">
        <v>3.0</v>
      </c>
      <c r="M23" s="26">
        <v>4.0</v>
      </c>
      <c r="N23" s="26">
        <v>3.0</v>
      </c>
      <c r="O23" s="26">
        <v>4.0</v>
      </c>
      <c r="P23" s="26">
        <v>4.0</v>
      </c>
      <c r="Q23" s="26">
        <v>4.0</v>
      </c>
      <c r="R23" s="26">
        <v>3.0</v>
      </c>
      <c r="S23" s="26">
        <v>3.0</v>
      </c>
      <c r="T23" s="26">
        <v>4.0</v>
      </c>
      <c r="U23" s="26">
        <v>4.0</v>
      </c>
      <c r="V23" s="26">
        <v>5.0</v>
      </c>
      <c r="W23" s="26">
        <v>4.0</v>
      </c>
      <c r="X23" s="26">
        <v>4.0</v>
      </c>
      <c r="Y23" s="27">
        <v>1.0</v>
      </c>
      <c r="Z23" s="23">
        <f t="shared" si="1"/>
        <v>87</v>
      </c>
      <c r="AA23" s="24">
        <f t="shared" si="2"/>
        <v>0.03908794788</v>
      </c>
    </row>
    <row r="24">
      <c r="A24" s="29" t="s">
        <v>1</v>
      </c>
      <c r="B24" s="30">
        <f t="shared" ref="B24:Y24" si="3">SUM(B2:B23)</f>
        <v>66</v>
      </c>
      <c r="C24" s="30">
        <f t="shared" si="3"/>
        <v>45</v>
      </c>
      <c r="D24" s="30">
        <f t="shared" si="3"/>
        <v>75</v>
      </c>
      <c r="E24" s="30">
        <f t="shared" si="3"/>
        <v>91</v>
      </c>
      <c r="F24" s="30">
        <f t="shared" si="3"/>
        <v>83</v>
      </c>
      <c r="G24" s="30">
        <f t="shared" si="3"/>
        <v>90</v>
      </c>
      <c r="H24" s="30">
        <f t="shared" si="3"/>
        <v>64</v>
      </c>
      <c r="I24" s="30">
        <f t="shared" si="3"/>
        <v>79</v>
      </c>
      <c r="J24" s="30">
        <f t="shared" si="3"/>
        <v>86</v>
      </c>
      <c r="K24" s="30">
        <f t="shared" si="3"/>
        <v>96</v>
      </c>
      <c r="L24" s="30">
        <f t="shared" si="3"/>
        <v>61</v>
      </c>
      <c r="M24" s="30">
        <f t="shared" si="3"/>
        <v>85</v>
      </c>
      <c r="N24" s="30">
        <f t="shared" si="3"/>
        <v>64</v>
      </c>
      <c r="O24" s="30">
        <f t="shared" si="3"/>
        <v>83</v>
      </c>
      <c r="P24" s="30">
        <f t="shared" si="3"/>
        <v>90</v>
      </c>
      <c r="Q24" s="30">
        <f t="shared" si="3"/>
        <v>79</v>
      </c>
      <c r="R24" s="30">
        <f t="shared" si="3"/>
        <v>74</v>
      </c>
      <c r="S24" s="30">
        <f t="shared" si="3"/>
        <v>63</v>
      </c>
      <c r="T24" s="30">
        <f t="shared" si="3"/>
        <v>72</v>
      </c>
      <c r="U24" s="30">
        <f t="shared" si="3"/>
        <v>82</v>
      </c>
      <c r="V24" s="30">
        <f t="shared" si="3"/>
        <v>92</v>
      </c>
      <c r="W24" s="30">
        <f t="shared" si="3"/>
        <v>67</v>
      </c>
      <c r="X24" s="30">
        <f t="shared" si="3"/>
        <v>79</v>
      </c>
      <c r="Y24" s="30">
        <f t="shared" si="3"/>
        <v>76</v>
      </c>
      <c r="Z24" s="31" t="s">
        <v>59</v>
      </c>
      <c r="AA24" s="20"/>
    </row>
    <row r="25">
      <c r="A25" s="32" t="s">
        <v>2</v>
      </c>
      <c r="B25" s="33">
        <f t="shared" ref="B25:Y25" si="4">COUNTIF(B2:B23,5)</f>
        <v>1</v>
      </c>
      <c r="C25" s="33">
        <f t="shared" si="4"/>
        <v>0</v>
      </c>
      <c r="D25" s="33">
        <f t="shared" si="4"/>
        <v>2</v>
      </c>
      <c r="E25" s="33">
        <f t="shared" si="4"/>
        <v>9</v>
      </c>
      <c r="F25" s="33">
        <f t="shared" si="4"/>
        <v>4</v>
      </c>
      <c r="G25" s="33">
        <f t="shared" si="4"/>
        <v>8</v>
      </c>
      <c r="H25" s="33">
        <f t="shared" si="4"/>
        <v>1</v>
      </c>
      <c r="I25" s="33">
        <f t="shared" si="4"/>
        <v>4</v>
      </c>
      <c r="J25" s="33">
        <f t="shared" si="4"/>
        <v>8</v>
      </c>
      <c r="K25" s="33">
        <f t="shared" si="4"/>
        <v>14</v>
      </c>
      <c r="L25" s="33">
        <f t="shared" si="4"/>
        <v>1</v>
      </c>
      <c r="M25" s="33">
        <f t="shared" si="4"/>
        <v>8</v>
      </c>
      <c r="N25" s="33">
        <f t="shared" si="4"/>
        <v>1</v>
      </c>
      <c r="O25" s="33">
        <f t="shared" si="4"/>
        <v>6</v>
      </c>
      <c r="P25" s="33">
        <f t="shared" si="4"/>
        <v>9</v>
      </c>
      <c r="Q25" s="33">
        <f t="shared" si="4"/>
        <v>3</v>
      </c>
      <c r="R25" s="33">
        <f t="shared" si="4"/>
        <v>1</v>
      </c>
      <c r="S25" s="33">
        <f t="shared" si="4"/>
        <v>1</v>
      </c>
      <c r="T25" s="33">
        <f t="shared" si="4"/>
        <v>2</v>
      </c>
      <c r="U25" s="33">
        <f t="shared" si="4"/>
        <v>4</v>
      </c>
      <c r="V25" s="33">
        <f t="shared" si="4"/>
        <v>11</v>
      </c>
      <c r="W25" s="33">
        <f t="shared" si="4"/>
        <v>1</v>
      </c>
      <c r="X25" s="33">
        <f t="shared" si="4"/>
        <v>3</v>
      </c>
      <c r="Y25" s="33">
        <f t="shared" si="4"/>
        <v>2</v>
      </c>
      <c r="Z25" s="34">
        <f t="shared" ref="Z25:Z29" si="6">SUM(B25:Y25)</f>
        <v>104</v>
      </c>
      <c r="AA25" s="35">
        <f t="shared" ref="AA25:AA30" si="7">Z25/$Z$30</f>
        <v>0.196969697</v>
      </c>
    </row>
    <row r="26">
      <c r="A26" s="32" t="s">
        <v>3</v>
      </c>
      <c r="B26" s="33">
        <f t="shared" ref="B26:Y26" si="5">COUNTIF(B2:B23,4)</f>
        <v>3</v>
      </c>
      <c r="C26" s="33">
        <f t="shared" si="5"/>
        <v>0</v>
      </c>
      <c r="D26" s="33">
        <f t="shared" si="5"/>
        <v>8</v>
      </c>
      <c r="E26" s="33">
        <f t="shared" si="5"/>
        <v>9</v>
      </c>
      <c r="F26" s="33">
        <f t="shared" si="5"/>
        <v>11</v>
      </c>
      <c r="G26" s="33">
        <f t="shared" si="5"/>
        <v>10</v>
      </c>
      <c r="H26" s="33">
        <f t="shared" si="5"/>
        <v>1</v>
      </c>
      <c r="I26" s="33">
        <f t="shared" si="5"/>
        <v>9</v>
      </c>
      <c r="J26" s="33">
        <f t="shared" si="5"/>
        <v>8</v>
      </c>
      <c r="K26" s="33">
        <f t="shared" si="5"/>
        <v>5</v>
      </c>
      <c r="L26" s="33">
        <f t="shared" si="5"/>
        <v>4</v>
      </c>
      <c r="M26" s="33">
        <f t="shared" si="5"/>
        <v>6</v>
      </c>
      <c r="N26" s="33">
        <f t="shared" si="5"/>
        <v>2</v>
      </c>
      <c r="O26" s="33">
        <f t="shared" si="5"/>
        <v>9</v>
      </c>
      <c r="P26" s="33">
        <f t="shared" si="5"/>
        <v>9</v>
      </c>
      <c r="Q26" s="33">
        <f t="shared" si="5"/>
        <v>10</v>
      </c>
      <c r="R26" s="33">
        <f t="shared" si="5"/>
        <v>9</v>
      </c>
      <c r="S26" s="33">
        <f t="shared" si="5"/>
        <v>2</v>
      </c>
      <c r="T26" s="33">
        <f t="shared" si="5"/>
        <v>7</v>
      </c>
      <c r="U26" s="33">
        <f t="shared" si="5"/>
        <v>10</v>
      </c>
      <c r="V26" s="33">
        <f t="shared" si="5"/>
        <v>7</v>
      </c>
      <c r="W26" s="33">
        <f t="shared" si="5"/>
        <v>4</v>
      </c>
      <c r="X26" s="33">
        <f t="shared" si="5"/>
        <v>10</v>
      </c>
      <c r="Y26" s="33">
        <f t="shared" si="5"/>
        <v>10</v>
      </c>
      <c r="Z26" s="34">
        <f t="shared" si="6"/>
        <v>163</v>
      </c>
      <c r="AA26" s="35">
        <f t="shared" si="7"/>
        <v>0.3087121212</v>
      </c>
    </row>
    <row r="27">
      <c r="A27" s="32" t="s">
        <v>4</v>
      </c>
      <c r="B27" s="33">
        <f t="shared" ref="B27:Y27" si="8">COUNTIF(B2:B23,3)</f>
        <v>14</v>
      </c>
      <c r="C27" s="33">
        <f t="shared" si="8"/>
        <v>6</v>
      </c>
      <c r="D27" s="33">
        <f t="shared" si="8"/>
        <v>10</v>
      </c>
      <c r="E27" s="33">
        <f t="shared" si="8"/>
        <v>3</v>
      </c>
      <c r="F27" s="33">
        <f t="shared" si="8"/>
        <v>5</v>
      </c>
      <c r="G27" s="33">
        <f t="shared" si="8"/>
        <v>3</v>
      </c>
      <c r="H27" s="33">
        <f t="shared" si="8"/>
        <v>16</v>
      </c>
      <c r="I27" s="33">
        <f t="shared" si="8"/>
        <v>6</v>
      </c>
      <c r="J27" s="33">
        <f t="shared" si="8"/>
        <v>3</v>
      </c>
      <c r="K27" s="33">
        <f t="shared" si="8"/>
        <v>1</v>
      </c>
      <c r="L27" s="33">
        <f t="shared" si="8"/>
        <v>8</v>
      </c>
      <c r="M27" s="33">
        <f t="shared" si="8"/>
        <v>6</v>
      </c>
      <c r="N27" s="33">
        <f t="shared" si="8"/>
        <v>15</v>
      </c>
      <c r="O27" s="33">
        <f t="shared" si="8"/>
        <v>5</v>
      </c>
      <c r="P27" s="33">
        <f t="shared" si="8"/>
        <v>2</v>
      </c>
      <c r="Q27" s="33">
        <f t="shared" si="8"/>
        <v>7</v>
      </c>
      <c r="R27" s="33">
        <f t="shared" si="8"/>
        <v>9</v>
      </c>
      <c r="S27" s="33">
        <f t="shared" si="8"/>
        <v>15</v>
      </c>
      <c r="T27" s="33">
        <f t="shared" si="8"/>
        <v>9</v>
      </c>
      <c r="U27" s="33">
        <f t="shared" si="8"/>
        <v>7</v>
      </c>
      <c r="V27" s="33">
        <f t="shared" si="8"/>
        <v>2</v>
      </c>
      <c r="W27" s="33">
        <f t="shared" si="8"/>
        <v>14</v>
      </c>
      <c r="X27" s="33">
        <f t="shared" si="8"/>
        <v>7</v>
      </c>
      <c r="Y27" s="33">
        <f t="shared" si="8"/>
        <v>7</v>
      </c>
      <c r="Z27" s="34">
        <f t="shared" si="6"/>
        <v>180</v>
      </c>
      <c r="AA27" s="35">
        <f t="shared" si="7"/>
        <v>0.3409090909</v>
      </c>
    </row>
    <row r="28">
      <c r="A28" s="32" t="s">
        <v>5</v>
      </c>
      <c r="B28" s="33">
        <f t="shared" ref="B28:Y28" si="9">COUNTIF(B2:B23,2)</f>
        <v>3</v>
      </c>
      <c r="C28" s="33">
        <f t="shared" si="9"/>
        <v>11</v>
      </c>
      <c r="D28" s="33">
        <f t="shared" si="9"/>
        <v>1</v>
      </c>
      <c r="E28" s="33">
        <f t="shared" si="9"/>
        <v>0</v>
      </c>
      <c r="F28" s="33">
        <f t="shared" si="9"/>
        <v>2</v>
      </c>
      <c r="G28" s="33">
        <f t="shared" si="9"/>
        <v>0</v>
      </c>
      <c r="H28" s="33">
        <f t="shared" si="9"/>
        <v>3</v>
      </c>
      <c r="I28" s="33">
        <f t="shared" si="9"/>
        <v>2</v>
      </c>
      <c r="J28" s="33">
        <f t="shared" si="9"/>
        <v>2</v>
      </c>
      <c r="K28" s="33">
        <f t="shared" si="9"/>
        <v>1</v>
      </c>
      <c r="L28" s="33">
        <f t="shared" si="9"/>
        <v>7</v>
      </c>
      <c r="M28" s="33">
        <f t="shared" si="9"/>
        <v>1</v>
      </c>
      <c r="N28" s="33">
        <f t="shared" si="9"/>
        <v>2</v>
      </c>
      <c r="O28" s="33">
        <f t="shared" si="9"/>
        <v>0</v>
      </c>
      <c r="P28" s="33">
        <f t="shared" si="9"/>
        <v>1</v>
      </c>
      <c r="Q28" s="33">
        <f t="shared" si="9"/>
        <v>1</v>
      </c>
      <c r="R28" s="33">
        <f t="shared" si="9"/>
        <v>3</v>
      </c>
      <c r="S28" s="33">
        <f t="shared" si="9"/>
        <v>1</v>
      </c>
      <c r="T28" s="33">
        <f t="shared" si="9"/>
        <v>3</v>
      </c>
      <c r="U28" s="33">
        <f t="shared" si="9"/>
        <v>0</v>
      </c>
      <c r="V28" s="33">
        <f t="shared" si="9"/>
        <v>1</v>
      </c>
      <c r="W28" s="33">
        <f t="shared" si="9"/>
        <v>1</v>
      </c>
      <c r="X28" s="33">
        <f t="shared" si="9"/>
        <v>1</v>
      </c>
      <c r="Y28" s="33">
        <f t="shared" si="9"/>
        <v>2</v>
      </c>
      <c r="Z28" s="34">
        <f t="shared" si="6"/>
        <v>49</v>
      </c>
      <c r="AA28" s="35">
        <f t="shared" si="7"/>
        <v>0.0928030303</v>
      </c>
    </row>
    <row r="29">
      <c r="A29" s="32" t="s">
        <v>6</v>
      </c>
      <c r="B29" s="33">
        <f t="shared" ref="B29:Y29" si="10">COUNTIF(B2:B23,1)</f>
        <v>1</v>
      </c>
      <c r="C29" s="33">
        <f t="shared" si="10"/>
        <v>5</v>
      </c>
      <c r="D29" s="33">
        <f t="shared" si="10"/>
        <v>1</v>
      </c>
      <c r="E29" s="33">
        <f t="shared" si="10"/>
        <v>1</v>
      </c>
      <c r="F29" s="33">
        <f t="shared" si="10"/>
        <v>0</v>
      </c>
      <c r="G29" s="33">
        <f t="shared" si="10"/>
        <v>1</v>
      </c>
      <c r="H29" s="33">
        <f t="shared" si="10"/>
        <v>1</v>
      </c>
      <c r="I29" s="33">
        <f t="shared" si="10"/>
        <v>1</v>
      </c>
      <c r="J29" s="33">
        <f t="shared" si="10"/>
        <v>1</v>
      </c>
      <c r="K29" s="33">
        <f t="shared" si="10"/>
        <v>1</v>
      </c>
      <c r="L29" s="33">
        <f t="shared" si="10"/>
        <v>2</v>
      </c>
      <c r="M29" s="33">
        <f t="shared" si="10"/>
        <v>1</v>
      </c>
      <c r="N29" s="33">
        <f t="shared" si="10"/>
        <v>2</v>
      </c>
      <c r="O29" s="33">
        <f t="shared" si="10"/>
        <v>2</v>
      </c>
      <c r="P29" s="33">
        <f t="shared" si="10"/>
        <v>1</v>
      </c>
      <c r="Q29" s="33">
        <f t="shared" si="10"/>
        <v>1</v>
      </c>
      <c r="R29" s="33">
        <f t="shared" si="10"/>
        <v>0</v>
      </c>
      <c r="S29" s="33">
        <f t="shared" si="10"/>
        <v>3</v>
      </c>
      <c r="T29" s="33">
        <f t="shared" si="10"/>
        <v>1</v>
      </c>
      <c r="U29" s="33">
        <f t="shared" si="10"/>
        <v>1</v>
      </c>
      <c r="V29" s="33">
        <f t="shared" si="10"/>
        <v>1</v>
      </c>
      <c r="W29" s="33">
        <f t="shared" si="10"/>
        <v>2</v>
      </c>
      <c r="X29" s="33">
        <f t="shared" si="10"/>
        <v>1</v>
      </c>
      <c r="Y29" s="33">
        <f t="shared" si="10"/>
        <v>1</v>
      </c>
      <c r="Z29" s="34">
        <f t="shared" si="6"/>
        <v>32</v>
      </c>
      <c r="AA29" s="35">
        <f t="shared" si="7"/>
        <v>0.06060606061</v>
      </c>
    </row>
    <row r="30">
      <c r="A30" s="36"/>
      <c r="B30" s="1"/>
      <c r="C30" s="1"/>
      <c r="D30" s="1"/>
      <c r="E30" s="1"/>
      <c r="F30" s="1"/>
      <c r="G30" s="1"/>
      <c r="Z30" s="34">
        <f>SUM(Z25:Z29)</f>
        <v>528</v>
      </c>
      <c r="AA30" s="35">
        <f t="shared" si="7"/>
        <v>1</v>
      </c>
    </row>
    <row r="31">
      <c r="A31" s="36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36"/>
      <c r="B34" s="1"/>
      <c r="C34" s="1"/>
      <c r="D34" s="1"/>
      <c r="E34" s="1"/>
      <c r="F34" s="1"/>
      <c r="G34" s="1"/>
    </row>
    <row r="35">
      <c r="A35" s="37" t="s">
        <v>60</v>
      </c>
      <c r="B35" s="1"/>
      <c r="C35" s="1"/>
      <c r="D35" s="1"/>
      <c r="E35" s="1"/>
      <c r="F35" s="1"/>
      <c r="G35" s="1"/>
    </row>
    <row r="36">
      <c r="A36" s="38" t="s">
        <v>61</v>
      </c>
      <c r="B36" s="39">
        <f>AVERAGE(Z1:Z23)</f>
        <v>83.72727273</v>
      </c>
      <c r="C36" s="1"/>
      <c r="D36" s="1"/>
      <c r="E36" s="1"/>
      <c r="F36" s="1"/>
      <c r="G36" s="1"/>
    </row>
  </sheetData>
  <conditionalFormatting sqref="B2:B23 C2 D2:D3 E2:E4 F2:F23 G2:G5 H2:H6 I2:I7 J2:J8 K2:K9 L2:L10 M2:M11 N2:N12 O2:O13 P2:P14 Q2:Q15 R2:R23 S2:S16 T2:T17 U2:U18 V2:V19 W2:W20 X2:X21 Y2:Y22 C4:C23 D5:D23 E6:E23 G7:G23 H8:H23 I9:I23 J10:J23 K11:K23 L12:L23 M13:M23 N14:N23 O15:O23 P16:P23 Q17:Q23 S18:S23 T19:T23 U20:U23 V21:V23 W22:W23 X23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17.25"/>
  </cols>
  <sheetData>
    <row r="1">
      <c r="A1" s="40" t="s">
        <v>62</v>
      </c>
      <c r="B1" s="41" t="s">
        <v>63</v>
      </c>
      <c r="C1" s="41" t="s">
        <v>64</v>
      </c>
      <c r="D1" s="41" t="s">
        <v>65</v>
      </c>
      <c r="E1" s="41" t="s">
        <v>66</v>
      </c>
    </row>
    <row r="2">
      <c r="A2" s="42">
        <v>1.0</v>
      </c>
      <c r="B2" s="6" t="s">
        <v>7</v>
      </c>
      <c r="C2" s="43" t="s">
        <v>67</v>
      </c>
      <c r="D2" s="1"/>
      <c r="E2" s="43" t="s">
        <v>68</v>
      </c>
    </row>
    <row r="3">
      <c r="A3" s="42">
        <v>2.0</v>
      </c>
      <c r="B3" s="6" t="s">
        <v>9</v>
      </c>
      <c r="C3" s="43" t="s">
        <v>67</v>
      </c>
      <c r="D3" s="1"/>
      <c r="E3" s="43" t="s">
        <v>68</v>
      </c>
    </row>
    <row r="4">
      <c r="A4" s="42">
        <v>3.0</v>
      </c>
      <c r="B4" s="6" t="s">
        <v>10</v>
      </c>
      <c r="C4" s="43" t="s">
        <v>69</v>
      </c>
      <c r="D4" s="1"/>
      <c r="E4" s="43" t="s">
        <v>70</v>
      </c>
    </row>
    <row r="5">
      <c r="A5" s="42">
        <v>4.0</v>
      </c>
      <c r="B5" s="6" t="s">
        <v>11</v>
      </c>
      <c r="C5" s="43" t="s">
        <v>71</v>
      </c>
      <c r="D5" s="1"/>
      <c r="E5" s="43" t="s">
        <v>70</v>
      </c>
    </row>
    <row r="6">
      <c r="A6" s="42">
        <v>5.0</v>
      </c>
      <c r="B6" s="6" t="s">
        <v>12</v>
      </c>
      <c r="C6" s="43" t="s">
        <v>72</v>
      </c>
      <c r="D6" s="1"/>
      <c r="E6" s="43" t="s">
        <v>70</v>
      </c>
    </row>
  </sheetData>
  <drawing r:id="rId1"/>
</worksheet>
</file>
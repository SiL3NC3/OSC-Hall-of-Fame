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Results!$A$1:$J$48</definedName>
  </definedNames>
  <calcPr/>
</workbook>
</file>

<file path=xl/sharedStrings.xml><?xml version="1.0" encoding="utf-8"?>
<sst xmlns="http://schemas.openxmlformats.org/spreadsheetml/2006/main" count="230" uniqueCount="121">
  <si>
    <t>Name</t>
  </si>
  <si>
    <t>Score</t>
  </si>
  <si>
    <t>5's</t>
  </si>
  <si>
    <t>4's</t>
  </si>
  <si>
    <t>3's</t>
  </si>
  <si>
    <t>2's</t>
  </si>
  <si>
    <t>1's</t>
  </si>
  <si>
    <t>schiing - Into the Night</t>
  </si>
  <si>
    <t>pts</t>
  </si>
  <si>
    <t>MrKarolus - Úlfhéðnar Battle Trance</t>
  </si>
  <si>
    <t>ThePresent - Spring</t>
  </si>
  <si>
    <t>Photonic - Hyperloop</t>
  </si>
  <si>
    <t>Toss -&gt; Heads -&gt; Wins</t>
  </si>
  <si>
    <t>simanus - Dreamless Oasis</t>
  </si>
  <si>
    <t>Toss -&gt; Tails</t>
  </si>
  <si>
    <t>exponent1 - Light &amp; Shadow</t>
  </si>
  <si>
    <t>kraftraum - Rotation 32</t>
  </si>
  <si>
    <t>doctorbob - Qyoozzy Jazzoozzy</t>
  </si>
  <si>
    <t>TrojakEW - Blooo</t>
  </si>
  <si>
    <t>MilksterX - Sprites &amp; Jets</t>
  </si>
  <si>
    <t>zarf - gweirdos holiday</t>
  </si>
  <si>
    <t>dq</t>
  </si>
  <si>
    <t>bh9090 - 44317</t>
  </si>
  <si>
    <t>ELEX - Grumpy's Day in the Sun</t>
  </si>
  <si>
    <t>J.Ruegg - Becoming Something</t>
  </si>
  <si>
    <t>nenneb - MagicPolkaSurprise</t>
  </si>
  <si>
    <t>Leonard Bowman - Larger Than The Oceans</t>
  </si>
  <si>
    <t>ontrackp - The Circular Schizoid</t>
  </si>
  <si>
    <t>functionform - Still Have You (Mark's Song)</t>
  </si>
  <si>
    <t>treeheated - Conversation</t>
  </si>
  <si>
    <t>fese - Periscope</t>
  </si>
  <si>
    <t>twinsofmessaline - Poseidon</t>
  </si>
  <si>
    <t>baalisoda - Calvaire</t>
  </si>
  <si>
    <t>FrogsInPants - Mecha Rabbit Awakes</t>
  </si>
  <si>
    <t>kylebenjamin - troposphere</t>
  </si>
  <si>
    <t>PeterH - FullBucket of Beer Emptied In One Go</t>
  </si>
  <si>
    <t>gorgorgathgorgorgor - Unearthed</t>
  </si>
  <si>
    <t>reusenoise - The Rise Of Gods</t>
  </si>
  <si>
    <t>brucerimell - Carousel</t>
  </si>
  <si>
    <t>Eauson - Warped Moral Compass</t>
  </si>
  <si>
    <t>VCA-089 - Visitors</t>
  </si>
  <si>
    <t>opdobqo - i contain my own destruction</t>
  </si>
  <si>
    <t>phankiejankie303 - Oh Did That Hurt</t>
  </si>
  <si>
    <t>Jazzaria - Synthvention 3</t>
  </si>
  <si>
    <t>Single Instance</t>
  </si>
  <si>
    <t>TheFrozenSea - Once I Was A Dancing Prince Of Ligh...</t>
  </si>
  <si>
    <t>ElVincente - Grève</t>
  </si>
  <si>
    <t>liqih - Wen Ton Si Oen</t>
  </si>
  <si>
    <t>fab music - Fatherhood in the time of lockdown</t>
  </si>
  <si>
    <t>tickytock - Nighttime Walk</t>
  </si>
  <si>
    <t>Darksynth FX - Back in Safe Town</t>
  </si>
  <si>
    <t>emikaela - The Shiny Future</t>
  </si>
  <si>
    <t>1980-F - I Did Not Shoot The Deputy</t>
  </si>
  <si>
    <t>Spring Goose - Blue JAM</t>
  </si>
  <si>
    <t>gigue07 - OSC147</t>
  </si>
  <si>
    <t>yplugins - Desert</t>
  </si>
  <si>
    <t>3lu5iv3 - Strong Rock</t>
  </si>
  <si>
    <t>Dirtgrain - Can We Go</t>
  </si>
  <si>
    <t>davetbass - OSC117</t>
  </si>
  <si>
    <t>Voter Name (KVR nick)</t>
  </si>
  <si>
    <t>Gen. Score *</t>
  </si>
  <si>
    <t>1980-F</t>
  </si>
  <si>
    <t>3lu5iv3</t>
  </si>
  <si>
    <t>baalisoda</t>
  </si>
  <si>
    <t>brucerimell</t>
  </si>
  <si>
    <t>Darksynth FX</t>
  </si>
  <si>
    <t>davetbass</t>
  </si>
  <si>
    <t>Dirtgrain</t>
  </si>
  <si>
    <t>doctorbob</t>
  </si>
  <si>
    <t>Eauson</t>
  </si>
  <si>
    <t>ELEX</t>
  </si>
  <si>
    <t>ElVincente</t>
  </si>
  <si>
    <t>emikaela</t>
  </si>
  <si>
    <t>exponent1</t>
  </si>
  <si>
    <t>fab music</t>
  </si>
  <si>
    <t>fese</t>
  </si>
  <si>
    <t>FrogsInPants</t>
  </si>
  <si>
    <t>functionform</t>
  </si>
  <si>
    <t>gigue07</t>
  </si>
  <si>
    <t>Gorgorgathgorgorgor</t>
  </si>
  <si>
    <t>J.Ruegg</t>
  </si>
  <si>
    <t>Jazzaria</t>
  </si>
  <si>
    <t>Kraftraum</t>
  </si>
  <si>
    <t>kylebenjamin</t>
  </si>
  <si>
    <t>Leonard Bowman</t>
  </si>
  <si>
    <t>Liqih</t>
  </si>
  <si>
    <t>milksterx</t>
  </si>
  <si>
    <t>MrKarolus</t>
  </si>
  <si>
    <t>nenneb</t>
  </si>
  <si>
    <t>ontrackp</t>
  </si>
  <si>
    <t>opdobqo</t>
  </si>
  <si>
    <t>PeterH</t>
  </si>
  <si>
    <t>phankiejankie303</t>
  </si>
  <si>
    <t>Photonic</t>
  </si>
  <si>
    <t>reusenoise</t>
  </si>
  <si>
    <t>schiing</t>
  </si>
  <si>
    <t>simanus</t>
  </si>
  <si>
    <t>Spring Goose</t>
  </si>
  <si>
    <t>TheFrozenSea</t>
  </si>
  <si>
    <t>ThePresent</t>
  </si>
  <si>
    <t>tickytock</t>
  </si>
  <si>
    <t>treeheated</t>
  </si>
  <si>
    <t>TrojakEW</t>
  </si>
  <si>
    <t>twinsofmessaline</t>
  </si>
  <si>
    <t>VCA-089</t>
  </si>
  <si>
    <t>yplugins</t>
  </si>
  <si>
    <t>zarf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</si>
  <si>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</si>
  <si>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</si>
  <si>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</si>
  <si>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</si>
  <si>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</si>
  <si>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</si>
  <si>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</si>
  <si>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</si>
  <si>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Luftrum's LUNARIS</t>
  </si>
  <si>
    <t>Request Sent</t>
  </si>
  <si>
    <t>Audio Thing - Outer Space</t>
  </si>
  <si>
    <t>SoundGym : 6 Month Subscription</t>
  </si>
  <si>
    <t>Pass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</si>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</sst>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i/>
      <color rgb="FF999999"/>
      <name val="Arial"/>
      <scheme val="minor"/>
    </font>
    <font>
      <i/>
      <color rgb="FF666666"/>
      <name val="Arial"/>
    </font>
    <font>
      <i/>
      <color rgb="FF999999"/>
      <name val="Arial"/>
    </font>
    <font>
      <color rgb="FF666666"/>
      <name val="Arial"/>
      <scheme val="minor"/>
    </font>
    <font>
      <sz val="11.0"/>
      <color rgb="FFA61D4C"/>
      <name val="Inconsolata"/>
    </font>
    <font>
      <sz val="11.0"/>
      <color rgb="FF000000"/>
      <name val="Inconsolata"/>
    </font>
    <font>
      <u/>
      <color rgb="FF1155CC"/>
      <name val="Arial"/>
    </font>
    <font>
      <b/>
      <color theme="1"/>
      <name val="Arial"/>
    </font>
    <font>
      <b/>
      <color theme="1"/>
      <name val="Sans-serif"/>
    </font>
    <font>
      <b/>
      <color rgb="FF999999"/>
      <name val="Arial"/>
    </font>
    <font>
      <color theme="1"/>
      <name val="Sans-serif"/>
    </font>
    <font>
      <color rgb="FF000000"/>
      <name val="Sans-serif"/>
    </font>
    <font>
      <color rgb="FF444444"/>
      <name val="Sans-serif"/>
    </font>
    <font>
      <color rgb="FF999999"/>
      <name val="Arial"/>
    </font>
    <font>
      <color rgb="FF444444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left"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horizontal="left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shrinkToFit="0" vertical="bottom" wrapText="0"/>
    </xf>
    <xf borderId="0" fillId="2" fontId="9" numFmtId="0" xfId="0" applyAlignment="1" applyFill="1" applyFont="1">
      <alignment shrinkToFit="0" vertical="bottom" wrapText="0"/>
    </xf>
    <xf borderId="0" fillId="2" fontId="10" numFmtId="0" xfId="0" applyAlignment="1" applyFont="1">
      <alignment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left" readingOrder="0" vertical="bottom"/>
    </xf>
    <xf borderId="0" fillId="0" fontId="13" numFmtId="0" xfId="0" applyAlignment="1" applyFont="1">
      <alignment horizontal="left" readingOrder="0"/>
    </xf>
    <xf borderId="0" fillId="3" fontId="13" numFmtId="0" xfId="0" applyAlignment="1" applyFill="1" applyFont="1">
      <alignment horizontal="left" readingOrder="0"/>
    </xf>
    <xf borderId="0" fillId="0" fontId="12" numFmtId="0" xfId="0" applyAlignment="1" applyFont="1">
      <alignment horizontal="left" readingOrder="0"/>
    </xf>
    <xf borderId="0" fillId="0" fontId="14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15" numFmtId="0" xfId="0" applyAlignment="1" applyFont="1">
      <alignment horizontal="left" readingOrder="0"/>
    </xf>
    <xf borderId="0" fillId="0" fontId="16" numFmtId="0" xfId="0" applyAlignment="1" applyFont="1">
      <alignment horizontal="left" readingOrder="0"/>
    </xf>
    <xf borderId="0" fillId="4" fontId="1" numFmtId="0" xfId="0" applyAlignment="1" applyFill="1" applyFont="1">
      <alignment horizontal="center" vertical="bottom"/>
    </xf>
    <xf borderId="0" fillId="0" fontId="17" numFmtId="0" xfId="0" applyAlignment="1" applyFont="1">
      <alignment horizontal="center" readingOrder="0" shrinkToFit="0" wrapText="0"/>
    </xf>
    <xf borderId="0" fillId="0" fontId="18" numFmtId="0" xfId="0" applyAlignment="1" applyFont="1">
      <alignment horizontal="right" vertical="bottom"/>
    </xf>
    <xf borderId="0" fillId="0" fontId="18" numFmtId="10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9" numFmtId="0" xfId="0" applyAlignment="1" applyFont="1">
      <alignment horizontal="center" readingOrder="0" shrinkToFit="0" wrapText="0"/>
    </xf>
    <xf borderId="0" fillId="0" fontId="20" numFmtId="49" xfId="0" applyAlignment="1" applyFont="1" applyNumberFormat="1">
      <alignment vertical="bottom"/>
    </xf>
    <xf borderId="0" fillId="0" fontId="21" numFmtId="0" xfId="0" applyAlignment="1" applyFont="1">
      <alignment horizontal="center" vertical="bottom"/>
    </xf>
    <xf borderId="0" fillId="0" fontId="14" numFmtId="49" xfId="0" applyAlignment="1" applyFont="1" applyNumberFormat="1">
      <alignment shrinkToFit="0" vertical="bottom" wrapText="0"/>
    </xf>
    <xf borderId="0" fillId="0" fontId="22" numFmtId="49" xfId="0" applyAlignment="1" applyFont="1" applyNumberFormat="1">
      <alignment vertical="bottom"/>
    </xf>
    <xf borderId="0" fillId="0" fontId="23" numFmtId="0" xfId="0" applyAlignment="1" applyFont="1">
      <alignment horizontal="center" vertical="bottom"/>
    </xf>
    <xf borderId="0" fillId="0" fontId="24" numFmtId="49" xfId="0" applyAlignment="1" applyFont="1" applyNumberFormat="1">
      <alignment horizontal="right" vertical="bottom"/>
    </xf>
    <xf borderId="0" fillId="0" fontId="24" numFmtId="10" xfId="0" applyAlignment="1" applyFont="1" applyNumberFormat="1">
      <alignment horizontal="right" vertical="bottom"/>
    </xf>
    <xf borderId="0" fillId="0" fontId="1" numFmtId="0" xfId="0" applyAlignment="1" applyFont="1">
      <alignment horizontal="left" vertical="bottom"/>
    </xf>
    <xf borderId="0" fillId="0" fontId="4" numFmtId="0" xfId="0" applyAlignment="1" applyFont="1">
      <alignment horizontal="left"/>
    </xf>
    <xf borderId="0" fillId="0" fontId="18" numFmtId="49" xfId="0" applyAlignment="1" applyFont="1" applyNumberFormat="1">
      <alignment shrinkToFit="0" vertical="bottom" wrapText="0"/>
    </xf>
    <xf borderId="0" fillId="0" fontId="24" numFmtId="49" xfId="0" applyAlignment="1" applyFont="1" applyNumberFormat="1">
      <alignment vertical="bottom"/>
    </xf>
    <xf borderId="0" fillId="0" fontId="24" numFmtId="4" xfId="0" applyAlignment="1" applyFont="1" applyNumberFormat="1">
      <alignment horizontal="left" vertical="bottom"/>
    </xf>
    <xf borderId="0" fillId="0" fontId="4" numFmtId="0" xfId="0" applyAlignment="1" applyFont="1">
      <alignment horizontal="left" readingOrder="0"/>
    </xf>
    <xf borderId="0" fillId="0" fontId="25" numFmtId="0" xfId="0" applyAlignment="1" applyFont="1">
      <alignment horizontal="center" vertical="bottom"/>
    </xf>
    <xf borderId="0" fillId="0" fontId="25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38</xdr:col>
      <xdr:colOff>200025</xdr:colOff>
      <xdr:row>55</xdr:row>
      <xdr:rowOff>95250</xdr:rowOff>
    </xdr:from>
    <xdr:ext cx="2533650" cy="2533650"/>
    <xdr:pic>
      <xdr:nvPicPr>
        <xdr:cNvPr id="157044418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7.75"/>
    <col customWidth="1" min="3" max="3" width="6.38"/>
    <col customWidth="1" min="4" max="4" width="5.5"/>
    <col customWidth="1" min="5" max="9" width="4.88"/>
    <col customWidth="1" min="10" max="10" width="19.75"/>
    <col customWidth="1" min="11" max="47" width="5.25"/>
  </cols>
  <sheetData>
    <row r="1" ht="27.75" customHeight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/>
    </row>
    <row r="2">
      <c r="A2" s="6">
        <v>1.0</v>
      </c>
      <c r="B2" s="7" t="s">
        <v>7</v>
      </c>
      <c r="C2" s="8">
        <v>189.0</v>
      </c>
      <c r="D2" s="9" t="s">
        <v>8</v>
      </c>
      <c r="E2" s="10">
        <v>17.0</v>
      </c>
      <c r="F2" s="11">
        <v>20.0</v>
      </c>
      <c r="G2" s="10">
        <v>7.0</v>
      </c>
      <c r="H2" s="10">
        <v>1.0</v>
      </c>
      <c r="I2" s="10">
        <v>1.0</v>
      </c>
      <c r="J2" s="12"/>
    </row>
    <row r="3">
      <c r="A3" s="6">
        <v>2.0</v>
      </c>
      <c r="B3" s="7" t="s">
        <v>9</v>
      </c>
      <c r="C3" s="8">
        <v>185.0</v>
      </c>
      <c r="D3" s="9" t="s">
        <v>8</v>
      </c>
      <c r="E3" s="10">
        <v>16.0</v>
      </c>
      <c r="F3" s="11">
        <v>20.0</v>
      </c>
      <c r="G3" s="10">
        <v>7.0</v>
      </c>
      <c r="H3" s="10">
        <v>1.0</v>
      </c>
      <c r="I3" s="10">
        <v>2.0</v>
      </c>
      <c r="J3" s="12"/>
    </row>
    <row r="4">
      <c r="A4" s="6">
        <v>3.0</v>
      </c>
      <c r="B4" s="7" t="s">
        <v>10</v>
      </c>
      <c r="C4" s="8">
        <v>183.0</v>
      </c>
      <c r="D4" s="9" t="s">
        <v>8</v>
      </c>
      <c r="E4" s="10">
        <v>15.0</v>
      </c>
      <c r="F4" s="11">
        <v>19.0</v>
      </c>
      <c r="G4" s="10">
        <v>9.0</v>
      </c>
      <c r="H4" s="10">
        <v>2.0</v>
      </c>
      <c r="I4" s="10">
        <v>1.0</v>
      </c>
      <c r="J4" s="12"/>
    </row>
    <row r="5">
      <c r="A5" s="6">
        <v>4.0</v>
      </c>
      <c r="B5" s="7" t="s">
        <v>11</v>
      </c>
      <c r="C5" s="8">
        <v>182.0</v>
      </c>
      <c r="D5" s="9" t="s">
        <v>8</v>
      </c>
      <c r="E5" s="10">
        <v>17.0</v>
      </c>
      <c r="F5" s="11">
        <v>13.0</v>
      </c>
      <c r="G5" s="10">
        <v>14.0</v>
      </c>
      <c r="H5" s="10">
        <v>1.0</v>
      </c>
      <c r="I5" s="10">
        <v>1.0</v>
      </c>
      <c r="J5" s="13" t="s">
        <v>12</v>
      </c>
    </row>
    <row r="6">
      <c r="A6" s="6">
        <v>5.0</v>
      </c>
      <c r="B6" s="7" t="s">
        <v>13</v>
      </c>
      <c r="C6" s="8">
        <v>182.0</v>
      </c>
      <c r="D6" s="9" t="s">
        <v>8</v>
      </c>
      <c r="E6" s="10">
        <v>17.0</v>
      </c>
      <c r="F6" s="11">
        <v>13.0</v>
      </c>
      <c r="G6" s="10">
        <v>14.0</v>
      </c>
      <c r="H6" s="10">
        <v>1.0</v>
      </c>
      <c r="I6" s="10">
        <v>1.0</v>
      </c>
      <c r="J6" s="13" t="s">
        <v>14</v>
      </c>
    </row>
    <row r="7">
      <c r="A7" s="6">
        <v>6.0</v>
      </c>
      <c r="B7" s="7" t="s">
        <v>15</v>
      </c>
      <c r="C7" s="1">
        <v>180.0</v>
      </c>
      <c r="D7" s="9" t="s">
        <v>8</v>
      </c>
      <c r="E7" s="14">
        <v>16.0</v>
      </c>
      <c r="F7" s="15">
        <v>15.0</v>
      </c>
      <c r="G7" s="14">
        <v>12.0</v>
      </c>
      <c r="H7" s="14">
        <v>1.0</v>
      </c>
      <c r="I7" s="14">
        <v>2.0</v>
      </c>
      <c r="J7" s="12"/>
    </row>
    <row r="8">
      <c r="A8" s="6">
        <v>7.0</v>
      </c>
      <c r="B8" s="7" t="s">
        <v>16</v>
      </c>
      <c r="C8" s="8">
        <v>178.0</v>
      </c>
      <c r="D8" s="9" t="s">
        <v>8</v>
      </c>
      <c r="E8" s="10">
        <v>13.0</v>
      </c>
      <c r="F8" s="11">
        <v>17.0</v>
      </c>
      <c r="G8" s="10">
        <v>14.0</v>
      </c>
      <c r="H8" s="10">
        <v>1.0</v>
      </c>
      <c r="I8" s="10">
        <v>1.0</v>
      </c>
      <c r="J8" s="12"/>
    </row>
    <row r="9">
      <c r="A9" s="6">
        <v>8.0</v>
      </c>
      <c r="B9" s="7" t="s">
        <v>17</v>
      </c>
      <c r="C9" s="8">
        <v>177.0</v>
      </c>
      <c r="D9" s="9" t="s">
        <v>8</v>
      </c>
      <c r="E9" s="10">
        <v>16.0</v>
      </c>
      <c r="F9" s="11">
        <v>12.0</v>
      </c>
      <c r="G9" s="10">
        <v>15.0</v>
      </c>
      <c r="H9" s="10">
        <v>1.0</v>
      </c>
      <c r="I9" s="10">
        <v>2.0</v>
      </c>
      <c r="J9" s="12"/>
    </row>
    <row r="10">
      <c r="A10" s="6">
        <v>9.0</v>
      </c>
      <c r="B10" s="7" t="s">
        <v>18</v>
      </c>
      <c r="C10" s="8">
        <v>177.0</v>
      </c>
      <c r="D10" s="9" t="s">
        <v>8</v>
      </c>
      <c r="E10" s="10">
        <v>11.0</v>
      </c>
      <c r="F10" s="11">
        <v>23.0</v>
      </c>
      <c r="G10" s="10">
        <v>9.0</v>
      </c>
      <c r="H10" s="10">
        <v>0.0</v>
      </c>
      <c r="I10" s="10">
        <v>3.0</v>
      </c>
      <c r="J10" s="12"/>
    </row>
    <row r="11">
      <c r="A11" s="6">
        <v>10.0</v>
      </c>
      <c r="B11" s="7" t="s">
        <v>19</v>
      </c>
      <c r="C11" s="8">
        <v>176.0</v>
      </c>
      <c r="D11" s="9" t="s">
        <v>8</v>
      </c>
      <c r="E11" s="10">
        <v>12.0</v>
      </c>
      <c r="F11" s="11">
        <v>21.0</v>
      </c>
      <c r="G11" s="10">
        <v>8.0</v>
      </c>
      <c r="H11" s="10">
        <v>3.0</v>
      </c>
      <c r="I11" s="10">
        <v>2.0</v>
      </c>
      <c r="J11" s="12"/>
    </row>
    <row r="12">
      <c r="A12" s="6">
        <v>11.0</v>
      </c>
      <c r="B12" s="7" t="s">
        <v>20</v>
      </c>
      <c r="C12" s="8">
        <v>175.0</v>
      </c>
      <c r="D12" s="9" t="s">
        <v>8</v>
      </c>
      <c r="E12" s="10">
        <v>14.0</v>
      </c>
      <c r="F12" s="11">
        <v>16.0</v>
      </c>
      <c r="G12" s="10">
        <v>10.0</v>
      </c>
      <c r="H12" s="10">
        <v>5.0</v>
      </c>
      <c r="I12" s="10">
        <v>1.0</v>
      </c>
      <c r="J12" s="12"/>
    </row>
    <row r="13">
      <c r="A13" s="16" t="s">
        <v>21</v>
      </c>
      <c r="B13" s="7" t="s">
        <v>22</v>
      </c>
      <c r="C13" s="8">
        <v>169.0</v>
      </c>
      <c r="D13" s="9" t="s">
        <v>8</v>
      </c>
      <c r="E13" s="10">
        <v>10.0</v>
      </c>
      <c r="F13" s="11">
        <v>16.0</v>
      </c>
      <c r="G13" s="10">
        <v>16.0</v>
      </c>
      <c r="H13" s="10">
        <v>3.0</v>
      </c>
      <c r="I13" s="10">
        <v>1.0</v>
      </c>
      <c r="J13" s="12"/>
    </row>
    <row r="14">
      <c r="A14" s="6">
        <v>12.0</v>
      </c>
      <c r="B14" s="7" t="s">
        <v>23</v>
      </c>
      <c r="C14" s="8">
        <v>165.0</v>
      </c>
      <c r="D14" s="9" t="s">
        <v>8</v>
      </c>
      <c r="E14" s="10">
        <v>11.0</v>
      </c>
      <c r="F14" s="11">
        <v>14.0</v>
      </c>
      <c r="G14" s="10">
        <v>16.0</v>
      </c>
      <c r="H14" s="10">
        <v>1.0</v>
      </c>
      <c r="I14" s="10">
        <v>4.0</v>
      </c>
      <c r="J14" s="12"/>
    </row>
    <row r="15">
      <c r="A15" s="6">
        <v>13.0</v>
      </c>
      <c r="B15" s="7" t="s">
        <v>24</v>
      </c>
      <c r="C15" s="8">
        <v>164.0</v>
      </c>
      <c r="D15" s="9" t="s">
        <v>8</v>
      </c>
      <c r="E15" s="10">
        <v>5.0</v>
      </c>
      <c r="F15" s="11">
        <v>23.0</v>
      </c>
      <c r="G15" s="11">
        <v>13.0</v>
      </c>
      <c r="H15" s="11">
        <v>3.0</v>
      </c>
      <c r="I15" s="10">
        <v>2.0</v>
      </c>
      <c r="J15" s="12"/>
    </row>
    <row r="16">
      <c r="A16" s="6">
        <v>14.0</v>
      </c>
      <c r="B16" s="7" t="s">
        <v>25</v>
      </c>
      <c r="C16" s="8">
        <v>164.0</v>
      </c>
      <c r="D16" s="9" t="s">
        <v>8</v>
      </c>
      <c r="E16" s="10">
        <v>5.0</v>
      </c>
      <c r="F16" s="11">
        <v>22.0</v>
      </c>
      <c r="G16" s="11">
        <v>15.0</v>
      </c>
      <c r="H16" s="11">
        <v>2.0</v>
      </c>
      <c r="I16" s="10">
        <v>2.0</v>
      </c>
      <c r="J16" s="12"/>
    </row>
    <row r="17">
      <c r="A17" s="6">
        <v>15.0</v>
      </c>
      <c r="B17" s="7" t="s">
        <v>26</v>
      </c>
      <c r="C17" s="8">
        <v>162.0</v>
      </c>
      <c r="D17" s="9" t="s">
        <v>8</v>
      </c>
      <c r="E17" s="10">
        <v>8.0</v>
      </c>
      <c r="F17" s="11">
        <v>16.0</v>
      </c>
      <c r="G17" s="10">
        <v>16.0</v>
      </c>
      <c r="H17" s="10">
        <v>4.0</v>
      </c>
      <c r="I17" s="10">
        <v>2.0</v>
      </c>
      <c r="J17" s="12"/>
    </row>
    <row r="18">
      <c r="A18" s="6">
        <v>16.0</v>
      </c>
      <c r="B18" s="7" t="s">
        <v>27</v>
      </c>
      <c r="C18" s="8">
        <v>162.0</v>
      </c>
      <c r="D18" s="9" t="s">
        <v>8</v>
      </c>
      <c r="E18" s="10">
        <v>6.0</v>
      </c>
      <c r="F18" s="11">
        <v>17.0</v>
      </c>
      <c r="G18" s="10">
        <v>19.0</v>
      </c>
      <c r="H18" s="10">
        <v>3.0</v>
      </c>
      <c r="I18" s="10">
        <v>1.0</v>
      </c>
      <c r="J18" s="12"/>
    </row>
    <row r="19">
      <c r="A19" s="6">
        <v>17.0</v>
      </c>
      <c r="B19" s="7" t="s">
        <v>28</v>
      </c>
      <c r="C19" s="8">
        <v>161.0</v>
      </c>
      <c r="D19" s="9" t="s">
        <v>8</v>
      </c>
      <c r="E19" s="10">
        <v>5.0</v>
      </c>
      <c r="F19" s="11">
        <v>20.0</v>
      </c>
      <c r="G19" s="10">
        <v>16.0</v>
      </c>
      <c r="H19" s="10">
        <v>3.0</v>
      </c>
      <c r="I19" s="10">
        <v>2.0</v>
      </c>
      <c r="J19" s="12"/>
    </row>
    <row r="20">
      <c r="A20" s="6">
        <v>18.0</v>
      </c>
      <c r="B20" s="7" t="s">
        <v>29</v>
      </c>
      <c r="C20" s="8">
        <v>160.0</v>
      </c>
      <c r="D20" s="9" t="s">
        <v>8</v>
      </c>
      <c r="E20" s="10">
        <v>8.0</v>
      </c>
      <c r="F20" s="11">
        <v>16.0</v>
      </c>
      <c r="G20" s="10">
        <v>15.0</v>
      </c>
      <c r="H20" s="10">
        <v>4.0</v>
      </c>
      <c r="I20" s="10">
        <v>3.0</v>
      </c>
      <c r="J20" s="12"/>
    </row>
    <row r="21">
      <c r="A21" s="6">
        <v>19.0</v>
      </c>
      <c r="B21" s="7" t="s">
        <v>30</v>
      </c>
      <c r="C21" s="8">
        <v>157.0</v>
      </c>
      <c r="D21" s="9" t="s">
        <v>8</v>
      </c>
      <c r="E21" s="10">
        <v>4.0</v>
      </c>
      <c r="F21" s="11">
        <v>17.0</v>
      </c>
      <c r="G21" s="10">
        <v>21.0</v>
      </c>
      <c r="H21" s="10">
        <v>2.0</v>
      </c>
      <c r="I21" s="10">
        <v>2.0</v>
      </c>
      <c r="J21" s="12"/>
    </row>
    <row r="22">
      <c r="A22" s="6">
        <v>20.0</v>
      </c>
      <c r="B22" s="7" t="s">
        <v>31</v>
      </c>
      <c r="C22" s="8">
        <v>156.0</v>
      </c>
      <c r="D22" s="9" t="s">
        <v>8</v>
      </c>
      <c r="E22" s="10">
        <v>3.0</v>
      </c>
      <c r="F22" s="11">
        <v>17.0</v>
      </c>
      <c r="G22" s="10">
        <v>22.0</v>
      </c>
      <c r="H22" s="10">
        <v>3.0</v>
      </c>
      <c r="I22" s="10">
        <v>1.0</v>
      </c>
      <c r="J22" s="12"/>
    </row>
    <row r="23">
      <c r="A23" s="6">
        <v>21.0</v>
      </c>
      <c r="B23" s="7" t="s">
        <v>32</v>
      </c>
      <c r="C23" s="8">
        <v>154.0</v>
      </c>
      <c r="D23" s="9" t="s">
        <v>8</v>
      </c>
      <c r="E23" s="10">
        <v>2.0</v>
      </c>
      <c r="F23" s="11">
        <v>18.0</v>
      </c>
      <c r="G23" s="10">
        <v>22.0</v>
      </c>
      <c r="H23" s="10">
        <v>2.0</v>
      </c>
      <c r="I23" s="10">
        <v>2.0</v>
      </c>
      <c r="J23" s="12"/>
    </row>
    <row r="24">
      <c r="A24" s="6">
        <v>22.0</v>
      </c>
      <c r="B24" s="7" t="s">
        <v>33</v>
      </c>
      <c r="C24" s="8">
        <v>153.0</v>
      </c>
      <c r="D24" s="9" t="s">
        <v>8</v>
      </c>
      <c r="E24" s="10">
        <v>6.0</v>
      </c>
      <c r="F24" s="11">
        <v>14.0</v>
      </c>
      <c r="G24" s="10">
        <v>17.0</v>
      </c>
      <c r="H24" s="10">
        <v>7.0</v>
      </c>
      <c r="I24" s="10">
        <v>2.0</v>
      </c>
      <c r="J24" s="12"/>
    </row>
    <row r="25">
      <c r="A25" s="6">
        <v>23.0</v>
      </c>
      <c r="B25" s="7" t="s">
        <v>34</v>
      </c>
      <c r="C25" s="8">
        <v>150.0</v>
      </c>
      <c r="D25" s="9" t="s">
        <v>8</v>
      </c>
      <c r="E25" s="10">
        <v>5.0</v>
      </c>
      <c r="F25" s="10">
        <v>11.0</v>
      </c>
      <c r="G25" s="10">
        <v>23.0</v>
      </c>
      <c r="H25" s="10">
        <v>5.0</v>
      </c>
      <c r="I25" s="10">
        <v>2.0</v>
      </c>
      <c r="J25" s="12"/>
    </row>
    <row r="26">
      <c r="A26" s="6">
        <v>24.0</v>
      </c>
      <c r="B26" s="7" t="s">
        <v>35</v>
      </c>
      <c r="C26" s="8">
        <v>149.0</v>
      </c>
      <c r="D26" s="9" t="s">
        <v>8</v>
      </c>
      <c r="E26" s="10">
        <v>1.0</v>
      </c>
      <c r="F26" s="11">
        <v>20.0</v>
      </c>
      <c r="G26" s="10">
        <v>18.0</v>
      </c>
      <c r="H26" s="10">
        <v>3.0</v>
      </c>
      <c r="I26" s="10">
        <v>4.0</v>
      </c>
      <c r="J26" s="12"/>
    </row>
    <row r="27">
      <c r="A27" s="6">
        <v>25.0</v>
      </c>
      <c r="B27" s="7" t="s">
        <v>36</v>
      </c>
      <c r="C27" s="8">
        <v>148.0</v>
      </c>
      <c r="D27" s="9" t="s">
        <v>8</v>
      </c>
      <c r="E27" s="10">
        <v>2.0</v>
      </c>
      <c r="F27" s="11">
        <v>14.0</v>
      </c>
      <c r="G27" s="10">
        <v>24.0</v>
      </c>
      <c r="H27" s="10">
        <v>4.0</v>
      </c>
      <c r="I27" s="10">
        <v>2.0</v>
      </c>
      <c r="J27" s="12"/>
    </row>
    <row r="28">
      <c r="A28" s="6">
        <v>26.0</v>
      </c>
      <c r="B28" s="7" t="s">
        <v>37</v>
      </c>
      <c r="C28" s="8">
        <v>148.0</v>
      </c>
      <c r="D28" s="9" t="s">
        <v>8</v>
      </c>
      <c r="E28" s="10">
        <v>1.0</v>
      </c>
      <c r="F28" s="11">
        <v>12.0</v>
      </c>
      <c r="G28" s="10">
        <v>30.0</v>
      </c>
      <c r="H28" s="10">
        <v>2.0</v>
      </c>
      <c r="I28" s="10">
        <v>1.0</v>
      </c>
      <c r="J28" s="12"/>
    </row>
    <row r="29">
      <c r="A29" s="6">
        <v>27.0</v>
      </c>
      <c r="B29" s="7" t="s">
        <v>38</v>
      </c>
      <c r="C29" s="8">
        <v>147.0</v>
      </c>
      <c r="D29" s="9" t="s">
        <v>8</v>
      </c>
      <c r="E29" s="10">
        <v>5.0</v>
      </c>
      <c r="F29" s="11">
        <v>11.0</v>
      </c>
      <c r="G29" s="10">
        <v>21.0</v>
      </c>
      <c r="H29" s="10">
        <v>6.0</v>
      </c>
      <c r="I29" s="10">
        <v>3.0</v>
      </c>
      <c r="J29" s="12"/>
    </row>
    <row r="30">
      <c r="A30" s="6">
        <v>28.0</v>
      </c>
      <c r="B30" s="7" t="s">
        <v>39</v>
      </c>
      <c r="C30" s="8">
        <v>146.0</v>
      </c>
      <c r="D30" s="9" t="s">
        <v>8</v>
      </c>
      <c r="E30" s="10">
        <v>2.0</v>
      </c>
      <c r="F30" s="11">
        <v>14.0</v>
      </c>
      <c r="G30" s="10">
        <v>22.0</v>
      </c>
      <c r="H30" s="10">
        <v>6.0</v>
      </c>
      <c r="I30" s="10">
        <v>2.0</v>
      </c>
      <c r="J30" s="12"/>
    </row>
    <row r="31">
      <c r="A31" s="6">
        <v>29.0</v>
      </c>
      <c r="B31" s="7" t="s">
        <v>40</v>
      </c>
      <c r="C31" s="8">
        <v>145.0</v>
      </c>
      <c r="D31" s="9" t="s">
        <v>8</v>
      </c>
      <c r="E31" s="10">
        <v>3.0</v>
      </c>
      <c r="F31" s="11">
        <v>11.0</v>
      </c>
      <c r="G31" s="10">
        <v>25.0</v>
      </c>
      <c r="H31" s="10">
        <v>4.0</v>
      </c>
      <c r="I31" s="10">
        <v>3.0</v>
      </c>
      <c r="J31" s="12"/>
    </row>
    <row r="32">
      <c r="A32" s="6">
        <v>30.0</v>
      </c>
      <c r="B32" s="7" t="s">
        <v>41</v>
      </c>
      <c r="C32" s="8">
        <v>144.0</v>
      </c>
      <c r="D32" s="9" t="s">
        <v>8</v>
      </c>
      <c r="E32" s="10">
        <v>5.0</v>
      </c>
      <c r="F32" s="11">
        <v>9.0</v>
      </c>
      <c r="G32" s="10">
        <v>22.0</v>
      </c>
      <c r="H32" s="10">
        <v>7.0</v>
      </c>
      <c r="I32" s="10">
        <v>3.0</v>
      </c>
      <c r="J32" s="12"/>
    </row>
    <row r="33">
      <c r="A33" s="16" t="s">
        <v>21</v>
      </c>
      <c r="B33" s="7" t="s">
        <v>42</v>
      </c>
      <c r="C33" s="8">
        <v>141.0</v>
      </c>
      <c r="D33" s="9" t="s">
        <v>8</v>
      </c>
      <c r="E33" s="10">
        <v>4.0</v>
      </c>
      <c r="F33" s="11">
        <v>12.0</v>
      </c>
      <c r="G33" s="10">
        <v>18.0</v>
      </c>
      <c r="H33" s="10">
        <v>7.0</v>
      </c>
      <c r="I33" s="10">
        <v>5.0</v>
      </c>
      <c r="J33" s="12"/>
    </row>
    <row r="34">
      <c r="A34" s="6">
        <v>31.0</v>
      </c>
      <c r="B34" s="7" t="s">
        <v>43</v>
      </c>
      <c r="C34" s="8">
        <v>141.0</v>
      </c>
      <c r="D34" s="9" t="s">
        <v>8</v>
      </c>
      <c r="E34" s="10">
        <v>1.0</v>
      </c>
      <c r="F34" s="11">
        <v>11.0</v>
      </c>
      <c r="G34" s="10">
        <v>26.0</v>
      </c>
      <c r="H34" s="10">
        <v>6.0</v>
      </c>
      <c r="I34" s="10">
        <v>2.0</v>
      </c>
      <c r="J34" s="12" t="s">
        <v>44</v>
      </c>
    </row>
    <row r="35">
      <c r="A35" s="6">
        <v>32.0</v>
      </c>
      <c r="B35" s="7" t="s">
        <v>45</v>
      </c>
      <c r="C35" s="8">
        <v>141.0</v>
      </c>
      <c r="D35" s="9" t="s">
        <v>8</v>
      </c>
      <c r="E35" s="10">
        <v>1.0</v>
      </c>
      <c r="F35" s="11">
        <v>7.0</v>
      </c>
      <c r="G35" s="10">
        <v>33.0</v>
      </c>
      <c r="H35" s="10">
        <v>4.0</v>
      </c>
      <c r="I35" s="10">
        <v>1.0</v>
      </c>
      <c r="J35" s="12"/>
    </row>
    <row r="36">
      <c r="A36" s="6">
        <v>33.0</v>
      </c>
      <c r="B36" s="7" t="s">
        <v>46</v>
      </c>
      <c r="C36" s="1">
        <v>140.0</v>
      </c>
      <c r="D36" s="9" t="s">
        <v>8</v>
      </c>
      <c r="E36" s="14">
        <v>5.0</v>
      </c>
      <c r="F36" s="14">
        <v>11.0</v>
      </c>
      <c r="G36" s="14">
        <v>15.0</v>
      </c>
      <c r="H36" s="14">
        <v>11.0</v>
      </c>
      <c r="I36" s="14">
        <v>4.0</v>
      </c>
      <c r="J36" s="12"/>
    </row>
    <row r="37">
      <c r="A37" s="6">
        <v>34.0</v>
      </c>
      <c r="B37" s="7" t="s">
        <v>47</v>
      </c>
      <c r="C37" s="8">
        <v>139.0</v>
      </c>
      <c r="D37" s="9" t="s">
        <v>8</v>
      </c>
      <c r="E37" s="10">
        <v>2.0</v>
      </c>
      <c r="F37" s="11">
        <v>10.0</v>
      </c>
      <c r="G37" s="10">
        <v>24.0</v>
      </c>
      <c r="H37" s="10">
        <v>7.0</v>
      </c>
      <c r="I37" s="10">
        <v>3.0</v>
      </c>
      <c r="J37" s="12"/>
    </row>
    <row r="38">
      <c r="A38" s="6">
        <v>35.0</v>
      </c>
      <c r="B38" s="7" t="s">
        <v>48</v>
      </c>
      <c r="C38" s="1">
        <v>138.0</v>
      </c>
      <c r="D38" s="9" t="s">
        <v>8</v>
      </c>
      <c r="E38" s="14">
        <v>2.0</v>
      </c>
      <c r="F38" s="15">
        <v>13.0</v>
      </c>
      <c r="G38" s="14">
        <v>17.0</v>
      </c>
      <c r="H38" s="14">
        <v>11.0</v>
      </c>
      <c r="I38" s="14">
        <v>3.0</v>
      </c>
      <c r="J38" s="12"/>
    </row>
    <row r="39">
      <c r="A39" s="6">
        <v>36.0</v>
      </c>
      <c r="B39" s="7" t="s">
        <v>49</v>
      </c>
      <c r="C39" s="8">
        <v>138.0</v>
      </c>
      <c r="D39" s="9" t="s">
        <v>8</v>
      </c>
      <c r="E39" s="10">
        <v>1.0</v>
      </c>
      <c r="F39" s="11">
        <v>9.0</v>
      </c>
      <c r="G39" s="10">
        <v>26.0</v>
      </c>
      <c r="H39" s="10">
        <v>9.0</v>
      </c>
      <c r="I39" s="10">
        <v>1.0</v>
      </c>
      <c r="J39" s="12"/>
    </row>
    <row r="40">
      <c r="A40" s="6">
        <v>37.0</v>
      </c>
      <c r="B40" s="7" t="s">
        <v>50</v>
      </c>
      <c r="C40" s="8">
        <v>134.0</v>
      </c>
      <c r="D40" s="9" t="s">
        <v>8</v>
      </c>
      <c r="E40" s="10">
        <v>2.0</v>
      </c>
      <c r="F40" s="10">
        <v>3.0</v>
      </c>
      <c r="G40" s="10">
        <v>32.0</v>
      </c>
      <c r="H40" s="10">
        <v>7.0</v>
      </c>
      <c r="I40" s="10">
        <v>2.0</v>
      </c>
      <c r="J40" s="12"/>
    </row>
    <row r="41">
      <c r="A41" s="6">
        <v>38.0</v>
      </c>
      <c r="B41" s="7" t="s">
        <v>51</v>
      </c>
      <c r="C41" s="1">
        <v>133.0</v>
      </c>
      <c r="D41" s="9" t="s">
        <v>8</v>
      </c>
      <c r="E41" s="14">
        <v>2.0</v>
      </c>
      <c r="F41" s="15">
        <v>7.0</v>
      </c>
      <c r="G41" s="14">
        <v>22.0</v>
      </c>
      <c r="H41" s="14">
        <v>14.0</v>
      </c>
      <c r="I41" s="14">
        <v>1.0</v>
      </c>
      <c r="J41" s="12"/>
    </row>
    <row r="42">
      <c r="A42" s="6">
        <v>39.0</v>
      </c>
      <c r="B42" s="7" t="s">
        <v>52</v>
      </c>
      <c r="C42" s="8">
        <v>132.0</v>
      </c>
      <c r="D42" s="9" t="s">
        <v>8</v>
      </c>
      <c r="E42" s="10">
        <v>0.0</v>
      </c>
      <c r="F42" s="11">
        <v>4.0</v>
      </c>
      <c r="G42" s="10">
        <v>33.0</v>
      </c>
      <c r="H42" s="10">
        <v>8.0</v>
      </c>
      <c r="I42" s="10">
        <v>1.0</v>
      </c>
      <c r="J42" s="12"/>
    </row>
    <row r="43">
      <c r="A43" s="6">
        <v>40.0</v>
      </c>
      <c r="B43" s="7" t="s">
        <v>53</v>
      </c>
      <c r="C43" s="8">
        <v>120.0</v>
      </c>
      <c r="D43" s="9" t="s">
        <v>8</v>
      </c>
      <c r="E43" s="10">
        <v>0.0</v>
      </c>
      <c r="F43" s="10">
        <v>2.0</v>
      </c>
      <c r="G43" s="10">
        <v>28.0</v>
      </c>
      <c r="H43" s="10">
        <v>12.0</v>
      </c>
      <c r="I43" s="10">
        <v>4.0</v>
      </c>
      <c r="J43" s="12"/>
    </row>
    <row r="44">
      <c r="A44" s="6">
        <v>41.0</v>
      </c>
      <c r="B44" s="7" t="s">
        <v>54</v>
      </c>
      <c r="C44" s="8">
        <v>118.0</v>
      </c>
      <c r="D44" s="9" t="s">
        <v>8</v>
      </c>
      <c r="E44" s="10">
        <v>1.0</v>
      </c>
      <c r="F44" s="11">
        <v>3.0</v>
      </c>
      <c r="G44" s="10">
        <v>22.0</v>
      </c>
      <c r="H44" s="10">
        <v>15.0</v>
      </c>
      <c r="I44" s="10">
        <v>5.0</v>
      </c>
      <c r="J44" s="12"/>
    </row>
    <row r="45">
      <c r="A45" s="6">
        <v>42.0</v>
      </c>
      <c r="B45" s="7" t="s">
        <v>55</v>
      </c>
      <c r="C45" s="8">
        <v>114.0</v>
      </c>
      <c r="D45" s="9" t="s">
        <v>8</v>
      </c>
      <c r="E45" s="10">
        <v>1.0</v>
      </c>
      <c r="F45" s="10">
        <v>0.0</v>
      </c>
      <c r="G45" s="10">
        <v>23.0</v>
      </c>
      <c r="H45" s="10">
        <v>18.0</v>
      </c>
      <c r="I45" s="10">
        <v>4.0</v>
      </c>
      <c r="J45" s="12"/>
    </row>
    <row r="46">
      <c r="A46" s="6">
        <v>43.0</v>
      </c>
      <c r="B46" s="7" t="s">
        <v>56</v>
      </c>
      <c r="C46" s="8">
        <v>113.0</v>
      </c>
      <c r="D46" s="9" t="s">
        <v>8</v>
      </c>
      <c r="E46" s="10">
        <v>0.0</v>
      </c>
      <c r="F46" s="10">
        <v>2.0</v>
      </c>
      <c r="G46" s="10">
        <v>22.0</v>
      </c>
      <c r="H46" s="10">
        <v>17.0</v>
      </c>
      <c r="I46" s="10">
        <v>5.0</v>
      </c>
      <c r="J46" s="12"/>
    </row>
    <row r="47">
      <c r="A47" s="6">
        <v>44.0</v>
      </c>
      <c r="B47" s="7" t="s">
        <v>57</v>
      </c>
      <c r="C47" s="8">
        <v>112.0</v>
      </c>
      <c r="D47" s="9" t="s">
        <v>8</v>
      </c>
      <c r="E47" s="10">
        <v>0.0</v>
      </c>
      <c r="F47" s="10">
        <v>1.0</v>
      </c>
      <c r="G47" s="10">
        <v>21.0</v>
      </c>
      <c r="H47" s="10">
        <v>21.0</v>
      </c>
      <c r="I47" s="10">
        <v>3.0</v>
      </c>
      <c r="J47" s="12"/>
    </row>
    <row r="48">
      <c r="A48" s="6">
        <v>45.0</v>
      </c>
      <c r="B48" s="7" t="s">
        <v>58</v>
      </c>
      <c r="C48" s="8">
        <v>94.0</v>
      </c>
      <c r="D48" s="9" t="s">
        <v>8</v>
      </c>
      <c r="E48" s="10">
        <v>0.0</v>
      </c>
      <c r="F48" s="10">
        <v>1.0</v>
      </c>
      <c r="G48" s="10">
        <v>11.0</v>
      </c>
      <c r="H48" s="10">
        <v>23.0</v>
      </c>
      <c r="I48" s="10">
        <v>11.0</v>
      </c>
      <c r="J48" s="12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17"/>
    </row>
    <row r="67">
      <c r="A67" s="8"/>
      <c r="L67" s="5"/>
      <c r="M67" s="5"/>
      <c r="N67" s="5"/>
      <c r="O67" s="5"/>
    </row>
    <row r="68">
      <c r="A68" s="8"/>
      <c r="L68" s="5"/>
      <c r="M68" s="5"/>
      <c r="N68" s="5"/>
      <c r="O68" s="5"/>
    </row>
    <row r="69">
      <c r="A69" s="8"/>
      <c r="L69" s="5"/>
      <c r="M69" s="5"/>
      <c r="N69" s="5"/>
      <c r="O69" s="5"/>
    </row>
    <row r="70">
      <c r="A70" s="8"/>
      <c r="L70" s="5"/>
      <c r="M70" s="5"/>
      <c r="N70" s="5"/>
      <c r="O70" s="5"/>
    </row>
    <row r="71">
      <c r="A71" s="8"/>
      <c r="L71" s="5"/>
      <c r="M71" s="5"/>
      <c r="N71" s="5"/>
      <c r="O71" s="5"/>
    </row>
    <row r="72">
      <c r="A72" s="8"/>
      <c r="L72" s="5"/>
      <c r="M72" s="5"/>
      <c r="N72" s="5"/>
      <c r="O72" s="5"/>
    </row>
    <row r="73">
      <c r="A73" s="8"/>
      <c r="L73" s="5"/>
      <c r="M73" s="5"/>
      <c r="N73" s="5"/>
      <c r="O73" s="5"/>
    </row>
    <row r="74">
      <c r="L74" s="5"/>
      <c r="M74" s="5"/>
      <c r="N74" s="5"/>
      <c r="O74" s="5"/>
    </row>
    <row r="75">
      <c r="L75" s="5"/>
      <c r="M75" s="5"/>
      <c r="N75" s="5"/>
      <c r="O75" s="5"/>
    </row>
    <row r="76">
      <c r="L76" s="5"/>
      <c r="M76" s="5"/>
      <c r="N76" s="5"/>
      <c r="O76" s="5"/>
    </row>
    <row r="77">
      <c r="L77" s="5"/>
      <c r="M77" s="5"/>
      <c r="N77" s="5"/>
      <c r="O77" s="5"/>
    </row>
    <row r="78">
      <c r="L78" s="5"/>
      <c r="M78" s="5"/>
      <c r="N78" s="5"/>
      <c r="O78" s="5"/>
    </row>
    <row r="79">
      <c r="L79" s="5"/>
      <c r="M79" s="5"/>
      <c r="N79" s="5"/>
      <c r="O79" s="5"/>
    </row>
    <row r="80">
      <c r="L80" s="5"/>
      <c r="M80" s="5"/>
      <c r="N80" s="5"/>
      <c r="O80" s="5"/>
    </row>
    <row r="81">
      <c r="L81" s="5"/>
      <c r="M81" s="5"/>
      <c r="N81" s="5"/>
      <c r="O81" s="5"/>
    </row>
    <row r="82">
      <c r="L82" s="5"/>
      <c r="M82" s="5"/>
      <c r="N82" s="5"/>
      <c r="O82" s="5"/>
    </row>
    <row r="83">
      <c r="L83" s="5"/>
      <c r="M83" s="5"/>
      <c r="N83" s="5"/>
      <c r="O83" s="5"/>
    </row>
    <row r="84">
      <c r="L84" s="5"/>
      <c r="M84" s="5"/>
      <c r="N84" s="5"/>
      <c r="O84" s="5"/>
    </row>
    <row r="85">
      <c r="L85" s="5"/>
      <c r="M85" s="5"/>
      <c r="N85" s="5"/>
      <c r="O85" s="5"/>
    </row>
    <row r="86">
      <c r="L86" s="5"/>
      <c r="M86" s="5"/>
      <c r="N86" s="5"/>
      <c r="O86" s="5"/>
    </row>
    <row r="87">
      <c r="L87" s="5"/>
      <c r="M87" s="5"/>
      <c r="N87" s="5"/>
      <c r="O87" s="5"/>
    </row>
    <row r="88">
      <c r="L88" s="5"/>
      <c r="M88" s="5"/>
      <c r="N88" s="5"/>
      <c r="O88" s="5"/>
    </row>
    <row r="89">
      <c r="L89" s="5"/>
      <c r="M89" s="5"/>
      <c r="N89" s="5"/>
      <c r="O89" s="5"/>
    </row>
    <row r="90">
      <c r="L90" s="5"/>
      <c r="M90" s="5"/>
      <c r="N90" s="5"/>
      <c r="O90" s="5"/>
    </row>
    <row r="96">
      <c r="L96" s="5"/>
      <c r="M96" s="5"/>
      <c r="N96" s="5"/>
      <c r="O96" s="5"/>
    </row>
    <row r="97">
      <c r="L97" s="5"/>
      <c r="M97" s="5"/>
      <c r="N97" s="5"/>
      <c r="O97" s="5"/>
    </row>
    <row r="98">
      <c r="L98" s="5"/>
      <c r="M98" s="5"/>
      <c r="N98" s="5"/>
      <c r="O98" s="5"/>
    </row>
    <row r="99">
      <c r="L99" s="5"/>
      <c r="M99" s="5"/>
      <c r="N99" s="5"/>
      <c r="O99" s="5"/>
    </row>
    <row r="100">
      <c r="L100" s="5"/>
      <c r="M100" s="5"/>
      <c r="N100" s="5"/>
      <c r="O100" s="5"/>
    </row>
    <row r="101">
      <c r="L101" s="5"/>
      <c r="M101" s="5"/>
      <c r="N101" s="5"/>
      <c r="O101" s="5"/>
    </row>
    <row r="102">
      <c r="L102" s="5"/>
      <c r="M102" s="5"/>
      <c r="N102" s="5"/>
      <c r="O102" s="5"/>
    </row>
    <row r="103">
      <c r="L103" s="5"/>
      <c r="M103" s="5"/>
      <c r="N103" s="5"/>
      <c r="O103" s="5"/>
    </row>
    <row r="110">
      <c r="K110" s="18"/>
      <c r="L110" s="5"/>
      <c r="M110" s="5"/>
      <c r="N110" s="5"/>
      <c r="O110" s="5"/>
    </row>
    <row r="111">
      <c r="K111" s="5"/>
      <c r="L111" s="5"/>
      <c r="M111" s="5"/>
      <c r="N111" s="5"/>
      <c r="O111" s="5"/>
    </row>
    <row r="112">
      <c r="K112" s="18"/>
      <c r="L112" s="5"/>
      <c r="M112" s="5"/>
      <c r="N112" s="5"/>
      <c r="O112" s="5"/>
    </row>
    <row r="113">
      <c r="K113" s="18"/>
      <c r="L113" s="5"/>
      <c r="M113" s="5"/>
      <c r="N113" s="5"/>
      <c r="O113" s="5"/>
    </row>
    <row r="114">
      <c r="K114" s="18"/>
      <c r="L114" s="5"/>
      <c r="M114" s="5"/>
      <c r="N114" s="5"/>
      <c r="O114" s="5"/>
    </row>
    <row r="115">
      <c r="K115" s="18"/>
      <c r="L115" s="5"/>
      <c r="M115" s="5"/>
      <c r="N115" s="5"/>
      <c r="O115" s="5"/>
    </row>
    <row r="116">
      <c r="K116" s="18"/>
      <c r="L116" s="5"/>
      <c r="M116" s="5"/>
      <c r="N116" s="5"/>
      <c r="O116" s="5"/>
    </row>
    <row r="117">
      <c r="K117" s="5"/>
      <c r="L117" s="5"/>
      <c r="M117" s="5"/>
      <c r="N117" s="5"/>
      <c r="O117" s="5"/>
    </row>
    <row r="118">
      <c r="K118" s="19"/>
      <c r="L118" s="5"/>
      <c r="M118" s="5"/>
      <c r="N118" s="5"/>
      <c r="O118" s="5"/>
    </row>
    <row r="119">
      <c r="K119" s="19"/>
      <c r="L119" s="5"/>
      <c r="M119" s="5"/>
      <c r="N119" s="5"/>
      <c r="O119" s="5"/>
    </row>
    <row r="120">
      <c r="K120" s="19"/>
      <c r="L120" s="5"/>
      <c r="M120" s="5"/>
      <c r="N120" s="5"/>
      <c r="O120" s="5"/>
    </row>
    <row r="121">
      <c r="A121" s="8"/>
      <c r="K121" s="19"/>
      <c r="L121" s="5"/>
      <c r="M121" s="5"/>
      <c r="N121" s="5"/>
      <c r="O121" s="5"/>
    </row>
    <row r="122">
      <c r="A122" s="8"/>
      <c r="K122" s="19"/>
      <c r="L122" s="5"/>
      <c r="M122" s="5"/>
      <c r="N122" s="5"/>
      <c r="O122" s="5"/>
    </row>
    <row r="123">
      <c r="A123" s="8"/>
      <c r="K123" s="19"/>
      <c r="L123" s="5"/>
      <c r="M123" s="5"/>
      <c r="N123" s="5"/>
      <c r="O123" s="5"/>
    </row>
    <row r="124">
      <c r="A124" s="8"/>
      <c r="K124" s="19"/>
      <c r="L124" s="5"/>
      <c r="M124" s="5"/>
      <c r="N124" s="5"/>
      <c r="O124" s="5"/>
    </row>
    <row r="125">
      <c r="A125" s="8"/>
      <c r="K125" s="19"/>
      <c r="L125" s="5"/>
      <c r="M125" s="5"/>
      <c r="N125" s="5"/>
      <c r="O125" s="5"/>
    </row>
    <row r="126">
      <c r="A126" s="8"/>
      <c r="K126" s="19"/>
      <c r="L126" s="5"/>
      <c r="M126" s="5"/>
      <c r="N126" s="5"/>
      <c r="O126" s="5"/>
    </row>
    <row r="127">
      <c r="A127" s="8"/>
      <c r="K127" s="19"/>
      <c r="L127" s="5"/>
      <c r="M127" s="5"/>
      <c r="N127" s="5"/>
      <c r="O127" s="5"/>
    </row>
    <row r="128">
      <c r="A128" s="8"/>
      <c r="K128" s="19"/>
      <c r="L128" s="5"/>
      <c r="M128" s="5"/>
      <c r="N128" s="5"/>
      <c r="O128" s="5"/>
    </row>
    <row r="129">
      <c r="A129" s="8"/>
      <c r="K129" s="19"/>
      <c r="L129" s="5"/>
      <c r="M129" s="5"/>
      <c r="N129" s="5"/>
      <c r="O129" s="5"/>
    </row>
    <row r="130">
      <c r="A130" s="8"/>
      <c r="K130" s="19"/>
      <c r="L130" s="5"/>
      <c r="M130" s="5"/>
      <c r="N130" s="5"/>
      <c r="O130" s="5"/>
    </row>
    <row r="131">
      <c r="A131" s="8"/>
      <c r="K131" s="19"/>
      <c r="L131" s="5"/>
      <c r="M131" s="5"/>
      <c r="N131" s="5"/>
      <c r="O131" s="5"/>
    </row>
    <row r="132">
      <c r="A132" s="8"/>
      <c r="K132" s="19"/>
      <c r="L132" s="5"/>
      <c r="M132" s="5"/>
      <c r="N132" s="5"/>
      <c r="O132" s="5"/>
    </row>
    <row r="133">
      <c r="A133" s="8"/>
      <c r="K133" s="19"/>
      <c r="L133" s="5"/>
      <c r="M133" s="5"/>
      <c r="N133" s="5"/>
      <c r="O133" s="5"/>
    </row>
    <row r="134">
      <c r="A134" s="8"/>
      <c r="K134" s="19"/>
      <c r="L134" s="5"/>
      <c r="M134" s="5"/>
      <c r="N134" s="5"/>
      <c r="O134" s="5"/>
    </row>
    <row r="135">
      <c r="A135" s="8"/>
      <c r="K135" s="19"/>
      <c r="L135" s="5"/>
      <c r="M135" s="5"/>
      <c r="N135" s="5"/>
      <c r="O135" s="5"/>
    </row>
    <row r="136">
      <c r="A136" s="8"/>
      <c r="K136" s="19"/>
      <c r="L136" s="5"/>
      <c r="M136" s="5"/>
      <c r="N136" s="5"/>
      <c r="O136" s="5"/>
    </row>
    <row r="137">
      <c r="A137" s="8"/>
      <c r="K137" s="19"/>
    </row>
    <row r="138">
      <c r="A138" s="8"/>
      <c r="K138" s="19"/>
    </row>
    <row r="139">
      <c r="A139" s="8"/>
      <c r="K139" s="19"/>
    </row>
    <row r="140">
      <c r="A140" s="8"/>
      <c r="K140" s="19"/>
    </row>
    <row r="141">
      <c r="A141" s="8"/>
      <c r="K141" s="19"/>
    </row>
    <row r="142">
      <c r="A142" s="8"/>
      <c r="K142" s="19"/>
    </row>
    <row r="143">
      <c r="A143" s="8"/>
      <c r="K143" s="19"/>
    </row>
    <row r="144">
      <c r="A144" s="8"/>
      <c r="K144" s="19"/>
      <c r="L144" s="5"/>
      <c r="M144" s="5"/>
      <c r="N144" s="5"/>
      <c r="O144" s="5"/>
    </row>
    <row r="145">
      <c r="A145" s="8"/>
      <c r="K145" s="19"/>
    </row>
    <row r="146">
      <c r="A146" s="8"/>
      <c r="K146" s="19"/>
    </row>
    <row r="147">
      <c r="A147" s="8"/>
      <c r="K147" s="19"/>
    </row>
    <row r="148">
      <c r="A148" s="8"/>
      <c r="K148" s="19"/>
    </row>
    <row r="149">
      <c r="A149" s="8"/>
      <c r="K149" s="19"/>
    </row>
    <row r="150">
      <c r="A150" s="8"/>
      <c r="K150" s="19"/>
    </row>
    <row r="151">
      <c r="A151" s="8"/>
      <c r="K151" s="19"/>
    </row>
    <row r="152">
      <c r="A152" s="8"/>
      <c r="K152" s="19"/>
    </row>
    <row r="153">
      <c r="A153" s="8"/>
      <c r="K153" s="19"/>
    </row>
    <row r="154">
      <c r="A154" s="8"/>
      <c r="K154" s="19"/>
    </row>
    <row r="155">
      <c r="A155" s="8"/>
      <c r="K155" s="19"/>
    </row>
    <row r="156">
      <c r="A156" s="8"/>
      <c r="K156" s="19"/>
    </row>
    <row r="157">
      <c r="A157" s="8"/>
      <c r="K157" s="19"/>
    </row>
    <row r="158">
      <c r="A158" s="8"/>
      <c r="K158" s="19"/>
    </row>
    <row r="159">
      <c r="A159" s="8"/>
      <c r="K159" s="19"/>
    </row>
    <row r="160">
      <c r="A160" s="8"/>
      <c r="K160" s="19"/>
    </row>
    <row r="161">
      <c r="A161" s="8"/>
      <c r="K161" s="19"/>
    </row>
    <row r="162">
      <c r="A162" s="8"/>
      <c r="K162" s="18"/>
      <c r="L162" s="5"/>
      <c r="M162" s="5"/>
      <c r="N162" s="5"/>
    </row>
    <row r="163">
      <c r="A163" s="8"/>
      <c r="K163" s="18"/>
      <c r="L163" s="5"/>
      <c r="M163" s="5"/>
      <c r="N163" s="5"/>
    </row>
    <row r="164">
      <c r="A164" s="8"/>
      <c r="K164" s="5"/>
      <c r="L164" s="5"/>
      <c r="M164" s="5"/>
      <c r="N164" s="5"/>
    </row>
    <row r="165">
      <c r="A165" s="8"/>
      <c r="K165" s="18"/>
      <c r="L165" s="5"/>
      <c r="M165" s="5"/>
      <c r="N165" s="5"/>
    </row>
    <row r="166">
      <c r="A166" s="8"/>
      <c r="K166" s="5"/>
      <c r="L166" s="5"/>
      <c r="M166" s="5"/>
      <c r="N166" s="5"/>
      <c r="O166" s="5"/>
    </row>
    <row r="167">
      <c r="A167" s="8"/>
      <c r="K167" s="20"/>
      <c r="L167" s="5"/>
      <c r="M167" s="5"/>
      <c r="N167" s="5"/>
      <c r="O167" s="5"/>
    </row>
    <row r="168">
      <c r="A168" s="8"/>
      <c r="K168" s="21"/>
      <c r="L168" s="5"/>
      <c r="M168" s="5"/>
      <c r="N168" s="5"/>
      <c r="O168" s="5"/>
    </row>
    <row r="169">
      <c r="A169" s="8"/>
      <c r="O169" s="5"/>
    </row>
    <row r="170">
      <c r="A170" s="8"/>
      <c r="O170" s="5"/>
    </row>
    <row r="171">
      <c r="A171" s="8"/>
      <c r="O171" s="5"/>
    </row>
    <row r="172">
      <c r="A172" s="8"/>
      <c r="O172" s="5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</sheetData>
  <autoFilter ref="$A$1:$J$48">
    <sortState ref="A1:J48">
      <sortCondition descending="1" ref="C1:C48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25"/>
    <col customWidth="1" min="2" max="48" width="4.63"/>
    <col customWidth="1" min="49" max="49" width="4.75"/>
    <col customWidth="1" min="50" max="50" width="7.0"/>
    <col customWidth="1" min="51" max="64" width="16.63"/>
  </cols>
  <sheetData>
    <row r="1">
      <c r="A1" s="22" t="s">
        <v>59</v>
      </c>
      <c r="B1" s="23" t="s">
        <v>52</v>
      </c>
      <c r="C1" s="23" t="s">
        <v>56</v>
      </c>
      <c r="D1" s="23" t="s">
        <v>32</v>
      </c>
      <c r="E1" s="24" t="s">
        <v>22</v>
      </c>
      <c r="F1" s="23" t="s">
        <v>38</v>
      </c>
      <c r="G1" s="23" t="s">
        <v>50</v>
      </c>
      <c r="H1" s="23" t="s">
        <v>58</v>
      </c>
      <c r="I1" s="23" t="s">
        <v>57</v>
      </c>
      <c r="J1" s="25" t="s">
        <v>17</v>
      </c>
      <c r="K1" s="23" t="s">
        <v>39</v>
      </c>
      <c r="L1" s="23" t="s">
        <v>23</v>
      </c>
      <c r="M1" s="23" t="s">
        <v>46</v>
      </c>
      <c r="N1" s="23" t="s">
        <v>51</v>
      </c>
      <c r="O1" s="23" t="s">
        <v>15</v>
      </c>
      <c r="P1" s="23" t="s">
        <v>48</v>
      </c>
      <c r="Q1" s="23" t="s">
        <v>30</v>
      </c>
      <c r="R1" s="23" t="s">
        <v>33</v>
      </c>
      <c r="S1" s="23" t="s">
        <v>28</v>
      </c>
      <c r="T1" s="23" t="s">
        <v>54</v>
      </c>
      <c r="U1" s="23" t="s">
        <v>36</v>
      </c>
      <c r="V1" s="23" t="s">
        <v>24</v>
      </c>
      <c r="W1" s="23" t="s">
        <v>43</v>
      </c>
      <c r="X1" s="23" t="s">
        <v>16</v>
      </c>
      <c r="Y1" s="23" t="s">
        <v>34</v>
      </c>
      <c r="Z1" s="23" t="s">
        <v>26</v>
      </c>
      <c r="AA1" s="23" t="s">
        <v>47</v>
      </c>
      <c r="AB1" s="23" t="s">
        <v>19</v>
      </c>
      <c r="AC1" s="23" t="s">
        <v>9</v>
      </c>
      <c r="AD1" s="23" t="s">
        <v>25</v>
      </c>
      <c r="AE1" s="23" t="s">
        <v>27</v>
      </c>
      <c r="AF1" s="23" t="s">
        <v>41</v>
      </c>
      <c r="AG1" s="23" t="s">
        <v>35</v>
      </c>
      <c r="AH1" s="23" t="s">
        <v>42</v>
      </c>
      <c r="AI1" s="23" t="s">
        <v>11</v>
      </c>
      <c r="AJ1" s="23" t="s">
        <v>37</v>
      </c>
      <c r="AK1" s="23" t="s">
        <v>7</v>
      </c>
      <c r="AL1" s="23" t="s">
        <v>13</v>
      </c>
      <c r="AM1" s="23" t="s">
        <v>53</v>
      </c>
      <c r="AN1" s="23" t="s">
        <v>45</v>
      </c>
      <c r="AO1" s="23" t="s">
        <v>10</v>
      </c>
      <c r="AP1" s="23" t="s">
        <v>49</v>
      </c>
      <c r="AQ1" s="23" t="s">
        <v>29</v>
      </c>
      <c r="AR1" s="23" t="s">
        <v>18</v>
      </c>
      <c r="AS1" s="23" t="s">
        <v>31</v>
      </c>
      <c r="AT1" s="23" t="s">
        <v>40</v>
      </c>
      <c r="AU1" s="23" t="s">
        <v>55</v>
      </c>
      <c r="AV1" s="23" t="s">
        <v>20</v>
      </c>
      <c r="AW1" s="26" t="s">
        <v>60</v>
      </c>
      <c r="AX1" s="27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</row>
    <row r="2">
      <c r="A2" s="29" t="s">
        <v>61</v>
      </c>
      <c r="B2" s="30">
        <v>1.0</v>
      </c>
      <c r="C2" s="31">
        <v>1.0</v>
      </c>
      <c r="D2" s="31">
        <v>5.0</v>
      </c>
      <c r="E2" s="31">
        <v>4.0</v>
      </c>
      <c r="F2" s="31">
        <v>4.0</v>
      </c>
      <c r="G2" s="31">
        <v>3.0</v>
      </c>
      <c r="H2" s="31">
        <v>1.0</v>
      </c>
      <c r="I2" s="31">
        <v>3.0</v>
      </c>
      <c r="J2" s="31">
        <v>1.0</v>
      </c>
      <c r="K2" s="31">
        <v>4.0</v>
      </c>
      <c r="L2" s="31">
        <v>3.0</v>
      </c>
      <c r="M2" s="31">
        <v>2.0</v>
      </c>
      <c r="N2" s="31">
        <v>2.0</v>
      </c>
      <c r="O2" s="31">
        <v>5.0</v>
      </c>
      <c r="P2" s="31">
        <v>2.0</v>
      </c>
      <c r="Q2" s="31">
        <v>4.0</v>
      </c>
      <c r="R2" s="31">
        <v>3.0</v>
      </c>
      <c r="S2" s="31">
        <v>4.0</v>
      </c>
      <c r="T2" s="31">
        <v>4.0</v>
      </c>
      <c r="U2" s="31">
        <v>3.0</v>
      </c>
      <c r="V2" s="31">
        <v>3.0</v>
      </c>
      <c r="W2" s="31">
        <v>2.0</v>
      </c>
      <c r="X2" s="31">
        <v>5.0</v>
      </c>
      <c r="Y2" s="31">
        <v>5.0</v>
      </c>
      <c r="Z2" s="31">
        <v>4.0</v>
      </c>
      <c r="AA2" s="31">
        <v>3.0</v>
      </c>
      <c r="AB2" s="31">
        <v>4.0</v>
      </c>
      <c r="AC2" s="31">
        <v>5.0</v>
      </c>
      <c r="AD2" s="31">
        <v>3.0</v>
      </c>
      <c r="AE2" s="31">
        <v>3.0</v>
      </c>
      <c r="AF2" s="31">
        <v>3.0</v>
      </c>
      <c r="AG2" s="31">
        <v>3.0</v>
      </c>
      <c r="AH2" s="31">
        <v>3.0</v>
      </c>
      <c r="AI2" s="31">
        <v>4.0</v>
      </c>
      <c r="AJ2" s="31">
        <v>4.0</v>
      </c>
      <c r="AK2" s="31">
        <v>5.0</v>
      </c>
      <c r="AL2" s="31">
        <v>5.0</v>
      </c>
      <c r="AM2" s="31">
        <v>2.0</v>
      </c>
      <c r="AN2" s="31">
        <v>3.0</v>
      </c>
      <c r="AO2" s="31">
        <v>4.0</v>
      </c>
      <c r="AP2" s="31">
        <v>4.0</v>
      </c>
      <c r="AQ2" s="31">
        <v>2.0</v>
      </c>
      <c r="AR2" s="31">
        <v>4.0</v>
      </c>
      <c r="AS2" s="31">
        <v>4.0</v>
      </c>
      <c r="AT2" s="31">
        <v>5.0</v>
      </c>
      <c r="AU2" s="31">
        <v>3.0</v>
      </c>
      <c r="AV2" s="31">
        <v>2.0</v>
      </c>
      <c r="AW2" s="32">
        <f>SUM(B2:AV2)</f>
        <v>156</v>
      </c>
      <c r="AX2" s="33">
        <f t="shared" ref="AX2:AX47" si="1">(AW2-$B$60)/$B$60</f>
        <v>0.4229625223</v>
      </c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</row>
    <row r="3">
      <c r="A3" s="29" t="s">
        <v>62</v>
      </c>
      <c r="B3" s="31">
        <v>2.0</v>
      </c>
      <c r="C3" s="30">
        <v>1.0</v>
      </c>
      <c r="D3" s="31">
        <v>3.0</v>
      </c>
      <c r="E3" s="31">
        <v>4.0</v>
      </c>
      <c r="F3" s="31">
        <v>2.0</v>
      </c>
      <c r="G3" s="31">
        <v>3.0</v>
      </c>
      <c r="H3" s="31">
        <v>3.0</v>
      </c>
      <c r="I3" s="31">
        <v>3.0</v>
      </c>
      <c r="J3" s="31">
        <v>5.0</v>
      </c>
      <c r="K3" s="31">
        <v>2.0</v>
      </c>
      <c r="L3" s="31">
        <v>4.0</v>
      </c>
      <c r="M3" s="31">
        <v>2.0</v>
      </c>
      <c r="N3" s="31">
        <v>2.0</v>
      </c>
      <c r="O3" s="31">
        <v>5.0</v>
      </c>
      <c r="P3" s="31">
        <v>2.0</v>
      </c>
      <c r="Q3" s="31">
        <v>4.0</v>
      </c>
      <c r="R3" s="31">
        <v>2.0</v>
      </c>
      <c r="S3" s="31">
        <v>3.0</v>
      </c>
      <c r="T3" s="31">
        <v>2.0</v>
      </c>
      <c r="U3" s="31">
        <v>2.0</v>
      </c>
      <c r="V3" s="31">
        <v>4.0</v>
      </c>
      <c r="W3" s="31">
        <v>4.0</v>
      </c>
      <c r="X3" s="31">
        <v>3.0</v>
      </c>
      <c r="Y3" s="31">
        <v>3.0</v>
      </c>
      <c r="Z3" s="31">
        <v>3.0</v>
      </c>
      <c r="AA3" s="31">
        <v>2.0</v>
      </c>
      <c r="AB3" s="31">
        <v>4.0</v>
      </c>
      <c r="AC3" s="31">
        <v>4.0</v>
      </c>
      <c r="AD3" s="31">
        <v>4.0</v>
      </c>
      <c r="AE3" s="31">
        <v>4.0</v>
      </c>
      <c r="AF3" s="31">
        <v>2.0</v>
      </c>
      <c r="AG3" s="31">
        <v>4.0</v>
      </c>
      <c r="AH3" s="31">
        <v>4.0</v>
      </c>
      <c r="AI3" s="31">
        <v>4.0</v>
      </c>
      <c r="AJ3" s="31">
        <v>3.0</v>
      </c>
      <c r="AK3" s="31">
        <v>4.0</v>
      </c>
      <c r="AL3" s="31">
        <v>3.0</v>
      </c>
      <c r="AM3" s="31">
        <v>3.0</v>
      </c>
      <c r="AN3" s="31">
        <v>3.0</v>
      </c>
      <c r="AO3" s="31">
        <v>5.0</v>
      </c>
      <c r="AP3" s="31">
        <v>3.0</v>
      </c>
      <c r="AQ3" s="31">
        <v>5.0</v>
      </c>
      <c r="AR3" s="31">
        <v>4.0</v>
      </c>
      <c r="AS3" s="31">
        <v>4.0</v>
      </c>
      <c r="AT3" s="31">
        <v>2.0</v>
      </c>
      <c r="AU3" s="31">
        <v>1.0</v>
      </c>
      <c r="AV3" s="31">
        <v>4.0</v>
      </c>
      <c r="AW3" s="32">
        <f t="shared" ref="AW3:AW47" si="2">SUM(Q3:AV3)</f>
        <v>106</v>
      </c>
      <c r="AX3" s="33">
        <f t="shared" si="1"/>
        <v>-0.0331152092</v>
      </c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</row>
    <row r="4">
      <c r="A4" s="29" t="s">
        <v>63</v>
      </c>
      <c r="B4" s="31">
        <v>2.0</v>
      </c>
      <c r="C4" s="31">
        <v>2.0</v>
      </c>
      <c r="D4" s="30">
        <v>1.0</v>
      </c>
      <c r="E4" s="31">
        <v>3.0</v>
      </c>
      <c r="F4" s="31">
        <v>3.0</v>
      </c>
      <c r="G4" s="31">
        <v>3.0</v>
      </c>
      <c r="H4" s="31">
        <v>1.0</v>
      </c>
      <c r="I4" s="31">
        <v>2.0</v>
      </c>
      <c r="J4" s="31">
        <v>4.0</v>
      </c>
      <c r="K4" s="31">
        <v>3.0</v>
      </c>
      <c r="L4" s="31">
        <v>3.0</v>
      </c>
      <c r="M4" s="31">
        <v>2.0</v>
      </c>
      <c r="N4" s="31">
        <v>2.0</v>
      </c>
      <c r="O4" s="31">
        <v>4.0</v>
      </c>
      <c r="P4" s="31">
        <v>1.0</v>
      </c>
      <c r="Q4" s="31">
        <v>3.0</v>
      </c>
      <c r="R4" s="31">
        <v>2.0</v>
      </c>
      <c r="S4" s="31">
        <v>3.0</v>
      </c>
      <c r="T4" s="31">
        <v>1.0</v>
      </c>
      <c r="U4" s="31">
        <v>2.0</v>
      </c>
      <c r="V4" s="31">
        <v>2.0</v>
      </c>
      <c r="W4" s="31">
        <v>3.0</v>
      </c>
      <c r="X4" s="31">
        <v>4.0</v>
      </c>
      <c r="Y4" s="31">
        <v>5.0</v>
      </c>
      <c r="Z4" s="31">
        <v>2.0</v>
      </c>
      <c r="AA4" s="31">
        <v>3.0</v>
      </c>
      <c r="AB4" s="31">
        <v>3.0</v>
      </c>
      <c r="AC4" s="31">
        <v>5.0</v>
      </c>
      <c r="AD4" s="31">
        <v>4.0</v>
      </c>
      <c r="AE4" s="31">
        <v>3.0</v>
      </c>
      <c r="AF4" s="31">
        <v>1.0</v>
      </c>
      <c r="AG4" s="31">
        <v>3.0</v>
      </c>
      <c r="AH4" s="31">
        <v>2.0</v>
      </c>
      <c r="AI4" s="31">
        <v>3.0</v>
      </c>
      <c r="AJ4" s="31">
        <v>3.0</v>
      </c>
      <c r="AK4" s="31">
        <v>4.0</v>
      </c>
      <c r="AL4" s="31">
        <v>4.0</v>
      </c>
      <c r="AM4" s="31">
        <v>2.0</v>
      </c>
      <c r="AN4" s="31">
        <v>3.0</v>
      </c>
      <c r="AO4" s="31">
        <v>4.0</v>
      </c>
      <c r="AP4" s="31">
        <v>2.0</v>
      </c>
      <c r="AQ4" s="31">
        <v>3.0</v>
      </c>
      <c r="AR4" s="31">
        <v>3.0</v>
      </c>
      <c r="AS4" s="31">
        <v>3.0</v>
      </c>
      <c r="AT4" s="31">
        <v>3.0</v>
      </c>
      <c r="AU4" s="31">
        <v>2.0</v>
      </c>
      <c r="AV4" s="31">
        <v>2.0</v>
      </c>
      <c r="AW4" s="32">
        <f t="shared" si="2"/>
        <v>92</v>
      </c>
      <c r="AX4" s="33">
        <f t="shared" si="1"/>
        <v>-0.160816974</v>
      </c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</row>
    <row r="5">
      <c r="A5" s="29" t="s">
        <v>64</v>
      </c>
      <c r="B5" s="31">
        <v>3.0</v>
      </c>
      <c r="C5" s="31">
        <v>2.0</v>
      </c>
      <c r="D5" s="31">
        <v>3.0</v>
      </c>
      <c r="E5" s="31">
        <v>4.0</v>
      </c>
      <c r="F5" s="30">
        <v>1.0</v>
      </c>
      <c r="G5" s="31">
        <v>3.0</v>
      </c>
      <c r="H5" s="31">
        <v>2.0</v>
      </c>
      <c r="I5" s="31">
        <v>3.0</v>
      </c>
      <c r="J5" s="31">
        <v>3.0</v>
      </c>
      <c r="K5" s="31">
        <v>3.0</v>
      </c>
      <c r="L5" s="31">
        <v>2.0</v>
      </c>
      <c r="M5" s="31">
        <v>3.0</v>
      </c>
      <c r="N5" s="31">
        <v>3.0</v>
      </c>
      <c r="O5" s="31">
        <v>5.0</v>
      </c>
      <c r="P5" s="31">
        <v>3.0</v>
      </c>
      <c r="Q5" s="31">
        <v>3.0</v>
      </c>
      <c r="R5" s="31">
        <v>3.0</v>
      </c>
      <c r="S5" s="31">
        <v>4.0</v>
      </c>
      <c r="T5" s="31">
        <v>3.0</v>
      </c>
      <c r="U5" s="31">
        <v>3.0</v>
      </c>
      <c r="V5" s="31">
        <v>4.0</v>
      </c>
      <c r="W5" s="31">
        <v>2.0</v>
      </c>
      <c r="X5" s="31">
        <v>3.0</v>
      </c>
      <c r="Y5" s="31">
        <v>5.0</v>
      </c>
      <c r="Z5" s="31">
        <v>3.0</v>
      </c>
      <c r="AA5" s="31">
        <v>3.0</v>
      </c>
      <c r="AB5" s="31">
        <v>5.0</v>
      </c>
      <c r="AC5" s="31">
        <v>5.0</v>
      </c>
      <c r="AD5" s="31">
        <v>3.0</v>
      </c>
      <c r="AE5" s="31">
        <v>2.0</v>
      </c>
      <c r="AF5" s="31">
        <v>4.0</v>
      </c>
      <c r="AG5" s="31">
        <v>4.0</v>
      </c>
      <c r="AH5" s="31">
        <v>3.0</v>
      </c>
      <c r="AI5" s="31">
        <v>5.0</v>
      </c>
      <c r="AJ5" s="31">
        <v>3.0</v>
      </c>
      <c r="AK5" s="31">
        <v>5.0</v>
      </c>
      <c r="AL5" s="31">
        <v>3.0</v>
      </c>
      <c r="AM5" s="31">
        <v>3.0</v>
      </c>
      <c r="AN5" s="31">
        <v>3.0</v>
      </c>
      <c r="AO5" s="31">
        <v>3.0</v>
      </c>
      <c r="AP5" s="31">
        <v>4.0</v>
      </c>
      <c r="AQ5" s="31">
        <v>2.0</v>
      </c>
      <c r="AR5" s="31">
        <v>4.0</v>
      </c>
      <c r="AS5" s="31">
        <v>5.0</v>
      </c>
      <c r="AT5" s="31">
        <v>3.0</v>
      </c>
      <c r="AU5" s="31">
        <v>2.0</v>
      </c>
      <c r="AV5" s="31">
        <v>4.0</v>
      </c>
      <c r="AW5" s="32">
        <f t="shared" si="2"/>
        <v>111</v>
      </c>
      <c r="AX5" s="33">
        <f t="shared" si="1"/>
        <v>0.01249256395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</row>
    <row r="6">
      <c r="A6" s="29" t="s">
        <v>65</v>
      </c>
      <c r="B6" s="31">
        <v>3.0</v>
      </c>
      <c r="C6" s="31">
        <v>3.0</v>
      </c>
      <c r="D6" s="31">
        <v>3.0</v>
      </c>
      <c r="E6" s="31">
        <v>3.0</v>
      </c>
      <c r="F6" s="31">
        <v>3.0</v>
      </c>
      <c r="G6" s="30">
        <v>1.0</v>
      </c>
      <c r="H6" s="31">
        <v>3.0</v>
      </c>
      <c r="I6" s="31">
        <v>3.0</v>
      </c>
      <c r="J6" s="31">
        <v>3.0</v>
      </c>
      <c r="K6" s="31">
        <v>3.0</v>
      </c>
      <c r="L6" s="31">
        <v>3.0</v>
      </c>
      <c r="M6" s="31">
        <v>3.0</v>
      </c>
      <c r="N6" s="31">
        <v>3.0</v>
      </c>
      <c r="O6" s="31">
        <v>4.0</v>
      </c>
      <c r="P6" s="31">
        <v>3.0</v>
      </c>
      <c r="Q6" s="31">
        <v>4.0</v>
      </c>
      <c r="R6" s="31">
        <v>3.0</v>
      </c>
      <c r="S6" s="31">
        <v>4.0</v>
      </c>
      <c r="T6" s="31">
        <v>3.0</v>
      </c>
      <c r="U6" s="31">
        <v>3.0</v>
      </c>
      <c r="V6" s="31">
        <v>5.0</v>
      </c>
      <c r="W6" s="31">
        <v>3.0</v>
      </c>
      <c r="X6" s="31">
        <v>4.0</v>
      </c>
      <c r="Y6" s="31">
        <v>3.0</v>
      </c>
      <c r="Z6" s="31">
        <v>3.0</v>
      </c>
      <c r="AA6" s="31">
        <v>3.0</v>
      </c>
      <c r="AB6" s="31">
        <v>4.0</v>
      </c>
      <c r="AC6" s="31">
        <v>5.0</v>
      </c>
      <c r="AD6" s="31">
        <v>4.0</v>
      </c>
      <c r="AE6" s="31">
        <v>3.0</v>
      </c>
      <c r="AF6" s="31">
        <v>3.0</v>
      </c>
      <c r="AG6" s="31">
        <v>4.0</v>
      </c>
      <c r="AH6" s="31">
        <v>3.0</v>
      </c>
      <c r="AI6" s="31">
        <v>3.0</v>
      </c>
      <c r="AJ6" s="31">
        <v>4.0</v>
      </c>
      <c r="AK6" s="31">
        <v>5.0</v>
      </c>
      <c r="AL6" s="31">
        <v>5.0</v>
      </c>
      <c r="AM6" s="31">
        <v>3.0</v>
      </c>
      <c r="AN6" s="31">
        <v>4.0</v>
      </c>
      <c r="AO6" s="31">
        <v>4.0</v>
      </c>
      <c r="AP6" s="31">
        <v>3.0</v>
      </c>
      <c r="AQ6" s="31">
        <v>3.0</v>
      </c>
      <c r="AR6" s="31">
        <v>4.0</v>
      </c>
      <c r="AS6" s="31">
        <v>4.0</v>
      </c>
      <c r="AT6" s="31">
        <v>3.0</v>
      </c>
      <c r="AU6" s="31">
        <v>3.0</v>
      </c>
      <c r="AV6" s="31">
        <v>3.0</v>
      </c>
      <c r="AW6" s="32">
        <f t="shared" si="2"/>
        <v>115</v>
      </c>
      <c r="AX6" s="33">
        <f t="shared" si="1"/>
        <v>0.04897878247</v>
      </c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</row>
    <row r="7">
      <c r="A7" s="29" t="s">
        <v>66</v>
      </c>
      <c r="B7" s="31">
        <v>4.0</v>
      </c>
      <c r="C7" s="31">
        <v>3.0</v>
      </c>
      <c r="D7" s="31">
        <v>4.0</v>
      </c>
      <c r="E7" s="31">
        <v>3.0</v>
      </c>
      <c r="F7" s="31">
        <v>3.0</v>
      </c>
      <c r="G7" s="31">
        <v>5.0</v>
      </c>
      <c r="H7" s="30">
        <v>1.0</v>
      </c>
      <c r="I7" s="31">
        <v>3.0</v>
      </c>
      <c r="J7" s="31">
        <v>3.0</v>
      </c>
      <c r="K7" s="31">
        <v>3.0</v>
      </c>
      <c r="L7" s="31">
        <v>4.0</v>
      </c>
      <c r="M7" s="31">
        <v>5.0</v>
      </c>
      <c r="N7" s="31">
        <v>4.0</v>
      </c>
      <c r="O7" s="31">
        <v>5.0</v>
      </c>
      <c r="P7" s="31">
        <v>5.0</v>
      </c>
      <c r="Q7" s="31">
        <v>3.0</v>
      </c>
      <c r="R7" s="31">
        <v>3.0</v>
      </c>
      <c r="S7" s="31">
        <v>3.0</v>
      </c>
      <c r="T7" s="31">
        <v>4.0</v>
      </c>
      <c r="U7" s="31">
        <v>5.0</v>
      </c>
      <c r="V7" s="31">
        <v>4.0</v>
      </c>
      <c r="W7" s="31">
        <v>4.0</v>
      </c>
      <c r="X7" s="31">
        <v>3.0</v>
      </c>
      <c r="Y7" s="31">
        <v>3.0</v>
      </c>
      <c r="Z7" s="31">
        <v>4.0</v>
      </c>
      <c r="AA7" s="31">
        <v>5.0</v>
      </c>
      <c r="AB7" s="31">
        <v>3.0</v>
      </c>
      <c r="AC7" s="31">
        <v>4.0</v>
      </c>
      <c r="AD7" s="31">
        <v>5.0</v>
      </c>
      <c r="AE7" s="31">
        <v>3.0</v>
      </c>
      <c r="AF7" s="31">
        <v>5.0</v>
      </c>
      <c r="AG7" s="31">
        <v>3.0</v>
      </c>
      <c r="AH7" s="31">
        <v>5.0</v>
      </c>
      <c r="AI7" s="31">
        <v>3.0</v>
      </c>
      <c r="AJ7" s="31">
        <v>3.0</v>
      </c>
      <c r="AK7" s="31">
        <v>5.0</v>
      </c>
      <c r="AL7" s="31">
        <v>4.0</v>
      </c>
      <c r="AM7" s="31">
        <v>3.0</v>
      </c>
      <c r="AN7" s="31">
        <v>4.0</v>
      </c>
      <c r="AO7" s="31">
        <v>5.0</v>
      </c>
      <c r="AP7" s="31">
        <v>4.0</v>
      </c>
      <c r="AQ7" s="31">
        <v>5.0</v>
      </c>
      <c r="AR7" s="31">
        <v>3.0</v>
      </c>
      <c r="AS7" s="31">
        <v>3.0</v>
      </c>
      <c r="AT7" s="31">
        <v>4.0</v>
      </c>
      <c r="AU7" s="31">
        <v>5.0</v>
      </c>
      <c r="AV7" s="31">
        <v>5.0</v>
      </c>
      <c r="AW7" s="32">
        <f t="shared" si="2"/>
        <v>125</v>
      </c>
      <c r="AX7" s="33">
        <f t="shared" si="1"/>
        <v>0.1401943288</v>
      </c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</row>
    <row r="8">
      <c r="A8" s="29" t="s">
        <v>67</v>
      </c>
      <c r="B8" s="31">
        <v>3.0</v>
      </c>
      <c r="C8" s="31">
        <v>1.0</v>
      </c>
      <c r="D8" s="31">
        <v>4.0</v>
      </c>
      <c r="E8" s="31">
        <v>2.0</v>
      </c>
      <c r="F8" s="31">
        <v>2.0</v>
      </c>
      <c r="G8" s="31">
        <v>2.0</v>
      </c>
      <c r="H8" s="31">
        <v>2.0</v>
      </c>
      <c r="I8" s="30">
        <v>1.0</v>
      </c>
      <c r="J8" s="31">
        <v>5.0</v>
      </c>
      <c r="K8" s="31">
        <v>3.0</v>
      </c>
      <c r="L8" s="31">
        <v>1.0</v>
      </c>
      <c r="M8" s="31">
        <v>2.0</v>
      </c>
      <c r="N8" s="31">
        <v>3.0</v>
      </c>
      <c r="O8" s="31">
        <v>3.0</v>
      </c>
      <c r="P8" s="31">
        <v>3.0</v>
      </c>
      <c r="Q8" s="31">
        <v>5.0</v>
      </c>
      <c r="R8" s="31">
        <v>2.0</v>
      </c>
      <c r="S8" s="31">
        <v>3.0</v>
      </c>
      <c r="T8" s="31">
        <v>1.0</v>
      </c>
      <c r="U8" s="31">
        <v>3.0</v>
      </c>
      <c r="V8" s="31">
        <v>3.0</v>
      </c>
      <c r="W8" s="31">
        <v>1.0</v>
      </c>
      <c r="X8" s="31">
        <v>3.0</v>
      </c>
      <c r="Y8" s="31">
        <v>2.0</v>
      </c>
      <c r="Z8" s="31">
        <v>2.0</v>
      </c>
      <c r="AA8" s="31">
        <v>3.0</v>
      </c>
      <c r="AB8" s="31">
        <v>2.0</v>
      </c>
      <c r="AC8" s="31">
        <v>3.0</v>
      </c>
      <c r="AD8" s="31">
        <v>2.0</v>
      </c>
      <c r="AE8" s="31">
        <v>3.0</v>
      </c>
      <c r="AF8" s="31">
        <v>2.0</v>
      </c>
      <c r="AG8" s="31">
        <v>2.0</v>
      </c>
      <c r="AH8" s="31">
        <v>4.0</v>
      </c>
      <c r="AI8" s="31">
        <v>3.0</v>
      </c>
      <c r="AJ8" s="31">
        <v>3.0</v>
      </c>
      <c r="AK8" s="31">
        <v>3.0</v>
      </c>
      <c r="AL8" s="31">
        <v>2.0</v>
      </c>
      <c r="AM8" s="31">
        <v>1.0</v>
      </c>
      <c r="AN8" s="31">
        <v>2.0</v>
      </c>
      <c r="AO8" s="31">
        <v>4.0</v>
      </c>
      <c r="AP8" s="31">
        <v>2.0</v>
      </c>
      <c r="AQ8" s="31">
        <v>2.0</v>
      </c>
      <c r="AR8" s="31">
        <v>3.0</v>
      </c>
      <c r="AS8" s="31">
        <v>3.0</v>
      </c>
      <c r="AT8" s="31">
        <v>3.0</v>
      </c>
      <c r="AU8" s="31">
        <v>1.0</v>
      </c>
      <c r="AV8" s="31">
        <v>5.0</v>
      </c>
      <c r="AW8" s="32">
        <f t="shared" si="2"/>
        <v>83</v>
      </c>
      <c r="AX8" s="33">
        <f t="shared" si="1"/>
        <v>-0.2429109657</v>
      </c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5"/>
    </row>
    <row r="9">
      <c r="A9" s="29" t="s">
        <v>68</v>
      </c>
      <c r="B9" s="31">
        <v>2.0</v>
      </c>
      <c r="C9" s="31">
        <v>2.0</v>
      </c>
      <c r="D9" s="31">
        <v>4.0</v>
      </c>
      <c r="E9" s="31">
        <v>4.0</v>
      </c>
      <c r="F9" s="31">
        <v>3.0</v>
      </c>
      <c r="G9" s="31">
        <v>2.0</v>
      </c>
      <c r="H9" s="31">
        <v>2.0</v>
      </c>
      <c r="I9" s="31">
        <v>3.0</v>
      </c>
      <c r="J9" s="30">
        <v>1.0</v>
      </c>
      <c r="K9" s="31">
        <v>2.0</v>
      </c>
      <c r="L9" s="31">
        <v>4.0</v>
      </c>
      <c r="M9" s="31">
        <v>2.0</v>
      </c>
      <c r="N9" s="31">
        <v>2.0</v>
      </c>
      <c r="O9" s="31">
        <v>3.0</v>
      </c>
      <c r="P9" s="31">
        <v>2.0</v>
      </c>
      <c r="Q9" s="31">
        <v>3.0</v>
      </c>
      <c r="R9" s="31">
        <v>3.0</v>
      </c>
      <c r="S9" s="31">
        <v>2.0</v>
      </c>
      <c r="T9" s="31">
        <v>2.0</v>
      </c>
      <c r="U9" s="31">
        <v>3.0</v>
      </c>
      <c r="V9" s="31">
        <v>3.0</v>
      </c>
      <c r="W9" s="31">
        <v>2.0</v>
      </c>
      <c r="X9" s="31">
        <v>5.0</v>
      </c>
      <c r="Y9" s="31">
        <v>2.0</v>
      </c>
      <c r="Z9" s="31">
        <v>3.0</v>
      </c>
      <c r="AA9" s="31">
        <v>4.0</v>
      </c>
      <c r="AB9" s="31">
        <v>4.0</v>
      </c>
      <c r="AC9" s="31">
        <v>4.0</v>
      </c>
      <c r="AD9" s="31">
        <v>3.0</v>
      </c>
      <c r="AE9" s="31">
        <v>4.0</v>
      </c>
      <c r="AF9" s="31">
        <v>3.0</v>
      </c>
      <c r="AG9" s="31">
        <v>3.0</v>
      </c>
      <c r="AH9" s="31">
        <v>3.0</v>
      </c>
      <c r="AI9" s="31">
        <v>5.0</v>
      </c>
      <c r="AJ9" s="31">
        <v>3.0</v>
      </c>
      <c r="AK9" s="31">
        <v>4.0</v>
      </c>
      <c r="AL9" s="31">
        <v>3.0</v>
      </c>
      <c r="AM9" s="31">
        <v>2.0</v>
      </c>
      <c r="AN9" s="31">
        <v>3.0</v>
      </c>
      <c r="AO9" s="31">
        <v>4.0</v>
      </c>
      <c r="AP9" s="31">
        <v>2.0</v>
      </c>
      <c r="AQ9" s="31">
        <v>4.0</v>
      </c>
      <c r="AR9" s="31">
        <v>3.0</v>
      </c>
      <c r="AS9" s="31">
        <v>3.0</v>
      </c>
      <c r="AT9" s="31">
        <v>3.0</v>
      </c>
      <c r="AU9" s="31">
        <v>2.0</v>
      </c>
      <c r="AV9" s="31">
        <v>3.0</v>
      </c>
      <c r="AW9" s="32">
        <f t="shared" si="2"/>
        <v>100</v>
      </c>
      <c r="AX9" s="33">
        <f t="shared" si="1"/>
        <v>-0.08784453698</v>
      </c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</row>
    <row r="10">
      <c r="A10" s="29" t="s">
        <v>69</v>
      </c>
      <c r="B10" s="31">
        <v>3.0</v>
      </c>
      <c r="C10" s="31">
        <v>3.0</v>
      </c>
      <c r="D10" s="31">
        <v>4.0</v>
      </c>
      <c r="E10" s="31">
        <v>4.0</v>
      </c>
      <c r="F10" s="31">
        <v>2.0</v>
      </c>
      <c r="G10" s="31">
        <v>2.0</v>
      </c>
      <c r="H10" s="31">
        <v>2.0</v>
      </c>
      <c r="I10" s="31">
        <v>2.0</v>
      </c>
      <c r="J10" s="31">
        <v>3.0</v>
      </c>
      <c r="K10" s="30">
        <v>1.0</v>
      </c>
      <c r="L10" s="31">
        <v>3.0</v>
      </c>
      <c r="M10" s="31">
        <v>3.0</v>
      </c>
      <c r="N10" s="31">
        <v>3.0</v>
      </c>
      <c r="O10" s="31">
        <v>5.0</v>
      </c>
      <c r="P10" s="31">
        <v>4.0</v>
      </c>
      <c r="Q10" s="31">
        <v>4.0</v>
      </c>
      <c r="R10" s="31">
        <v>4.0</v>
      </c>
      <c r="S10" s="31">
        <v>3.0</v>
      </c>
      <c r="T10" s="31">
        <v>2.0</v>
      </c>
      <c r="U10" s="31">
        <v>3.0</v>
      </c>
      <c r="V10" s="31">
        <v>4.0</v>
      </c>
      <c r="W10" s="31">
        <v>3.0</v>
      </c>
      <c r="X10" s="31">
        <v>5.0</v>
      </c>
      <c r="Y10" s="31">
        <v>3.0</v>
      </c>
      <c r="Z10" s="31">
        <v>4.0</v>
      </c>
      <c r="AA10" s="31">
        <v>3.0</v>
      </c>
      <c r="AB10" s="31">
        <v>5.0</v>
      </c>
      <c r="AC10" s="31">
        <v>4.0</v>
      </c>
      <c r="AD10" s="31">
        <v>3.0</v>
      </c>
      <c r="AE10" s="31">
        <v>4.0</v>
      </c>
      <c r="AF10" s="31">
        <v>3.0</v>
      </c>
      <c r="AG10" s="31">
        <v>4.0</v>
      </c>
      <c r="AH10" s="31">
        <v>5.0</v>
      </c>
      <c r="AI10" s="31">
        <v>4.0</v>
      </c>
      <c r="AJ10" s="31">
        <v>3.0</v>
      </c>
      <c r="AK10" s="31">
        <v>4.0</v>
      </c>
      <c r="AL10" s="31">
        <v>4.0</v>
      </c>
      <c r="AM10" s="31">
        <v>3.0</v>
      </c>
      <c r="AN10" s="31">
        <v>3.0</v>
      </c>
      <c r="AO10" s="31">
        <v>3.0</v>
      </c>
      <c r="AP10" s="31">
        <v>2.0</v>
      </c>
      <c r="AQ10" s="31">
        <v>3.0</v>
      </c>
      <c r="AR10" s="31">
        <v>4.0</v>
      </c>
      <c r="AS10" s="31">
        <v>4.0</v>
      </c>
      <c r="AT10" s="31">
        <v>4.0</v>
      </c>
      <c r="AU10" s="31">
        <v>2.0</v>
      </c>
      <c r="AV10" s="31">
        <v>5.0</v>
      </c>
      <c r="AW10" s="32">
        <f t="shared" si="2"/>
        <v>114</v>
      </c>
      <c r="AX10" s="33">
        <f t="shared" si="1"/>
        <v>0.03985722784</v>
      </c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</row>
    <row r="11">
      <c r="A11" s="29" t="s">
        <v>70</v>
      </c>
      <c r="B11" s="31">
        <v>3.0</v>
      </c>
      <c r="C11" s="31">
        <v>2.0</v>
      </c>
      <c r="D11" s="31">
        <v>3.0</v>
      </c>
      <c r="E11" s="31">
        <v>4.0</v>
      </c>
      <c r="F11" s="31">
        <v>5.0</v>
      </c>
      <c r="G11" s="31">
        <v>3.0</v>
      </c>
      <c r="H11" s="31">
        <v>2.0</v>
      </c>
      <c r="I11" s="31">
        <v>2.0</v>
      </c>
      <c r="J11" s="31">
        <v>5.0</v>
      </c>
      <c r="K11" s="31">
        <v>3.0</v>
      </c>
      <c r="L11" s="30">
        <v>1.0</v>
      </c>
      <c r="M11" s="31">
        <v>3.0</v>
      </c>
      <c r="N11" s="31">
        <v>4.0</v>
      </c>
      <c r="O11" s="31">
        <v>4.0</v>
      </c>
      <c r="P11" s="31">
        <v>4.0</v>
      </c>
      <c r="Q11" s="31">
        <v>3.0</v>
      </c>
      <c r="R11" s="31">
        <v>5.0</v>
      </c>
      <c r="S11" s="31">
        <v>4.0</v>
      </c>
      <c r="T11" s="31">
        <v>3.0</v>
      </c>
      <c r="U11" s="31">
        <v>4.0</v>
      </c>
      <c r="V11" s="31">
        <v>4.0</v>
      </c>
      <c r="W11" s="31">
        <v>3.0</v>
      </c>
      <c r="X11" s="31">
        <v>5.0</v>
      </c>
      <c r="Y11" s="31">
        <v>3.0</v>
      </c>
      <c r="Z11" s="31">
        <v>4.0</v>
      </c>
      <c r="AA11" s="31">
        <v>4.0</v>
      </c>
      <c r="AB11" s="31">
        <v>5.0</v>
      </c>
      <c r="AC11" s="31">
        <v>5.0</v>
      </c>
      <c r="AD11" s="31">
        <v>3.0</v>
      </c>
      <c r="AE11" s="31">
        <v>4.0</v>
      </c>
      <c r="AF11" s="31">
        <v>4.0</v>
      </c>
      <c r="AG11" s="31">
        <v>3.0</v>
      </c>
      <c r="AH11" s="31">
        <v>3.0</v>
      </c>
      <c r="AI11" s="31">
        <v>4.0</v>
      </c>
      <c r="AJ11" s="31">
        <v>3.0</v>
      </c>
      <c r="AK11" s="31">
        <v>4.0</v>
      </c>
      <c r="AL11" s="31">
        <v>4.0</v>
      </c>
      <c r="AM11" s="31">
        <v>3.0</v>
      </c>
      <c r="AN11" s="31">
        <v>4.0</v>
      </c>
      <c r="AO11" s="31">
        <v>4.0</v>
      </c>
      <c r="AP11" s="31">
        <v>3.0</v>
      </c>
      <c r="AQ11" s="31">
        <v>4.0</v>
      </c>
      <c r="AR11" s="31">
        <v>5.0</v>
      </c>
      <c r="AS11" s="31">
        <v>4.0</v>
      </c>
      <c r="AT11" s="31">
        <v>3.0</v>
      </c>
      <c r="AU11" s="31">
        <v>3.0</v>
      </c>
      <c r="AV11" s="31">
        <v>4.0</v>
      </c>
      <c r="AW11" s="32">
        <f t="shared" si="2"/>
        <v>121</v>
      </c>
      <c r="AX11" s="33">
        <f t="shared" si="1"/>
        <v>0.1037081103</v>
      </c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</row>
    <row r="12">
      <c r="A12" s="29" t="s">
        <v>71</v>
      </c>
      <c r="B12" s="31">
        <v>3.0</v>
      </c>
      <c r="C12" s="31">
        <v>2.0</v>
      </c>
      <c r="D12" s="31">
        <v>2.0</v>
      </c>
      <c r="E12" s="31">
        <v>3.0</v>
      </c>
      <c r="F12" s="31">
        <v>2.0</v>
      </c>
      <c r="G12" s="31">
        <v>3.0</v>
      </c>
      <c r="H12" s="31">
        <v>1.0</v>
      </c>
      <c r="I12" s="31">
        <v>2.0</v>
      </c>
      <c r="J12" s="31">
        <v>3.0</v>
      </c>
      <c r="K12" s="31">
        <v>4.0</v>
      </c>
      <c r="L12" s="31">
        <v>3.0</v>
      </c>
      <c r="M12" s="30">
        <v>1.0</v>
      </c>
      <c r="N12" s="31">
        <v>2.0</v>
      </c>
      <c r="O12" s="31">
        <v>3.0</v>
      </c>
      <c r="P12" s="31">
        <v>4.0</v>
      </c>
      <c r="Q12" s="31">
        <v>4.0</v>
      </c>
      <c r="R12" s="31">
        <v>3.0</v>
      </c>
      <c r="S12" s="31">
        <v>4.0</v>
      </c>
      <c r="T12" s="31">
        <v>3.0</v>
      </c>
      <c r="U12" s="31">
        <v>5.0</v>
      </c>
      <c r="V12" s="31">
        <v>4.0</v>
      </c>
      <c r="W12" s="31">
        <v>3.0</v>
      </c>
      <c r="X12" s="31">
        <v>4.0</v>
      </c>
      <c r="Y12" s="31">
        <v>2.0</v>
      </c>
      <c r="Z12" s="31">
        <v>5.0</v>
      </c>
      <c r="AA12" s="31">
        <v>3.0</v>
      </c>
      <c r="AB12" s="31">
        <v>4.0</v>
      </c>
      <c r="AC12" s="31">
        <v>4.0</v>
      </c>
      <c r="AD12" s="31">
        <v>3.0</v>
      </c>
      <c r="AE12" s="31">
        <v>3.0</v>
      </c>
      <c r="AF12" s="31">
        <v>3.0</v>
      </c>
      <c r="AG12" s="31">
        <v>3.0</v>
      </c>
      <c r="AH12" s="31">
        <v>4.0</v>
      </c>
      <c r="AI12" s="31">
        <v>4.0</v>
      </c>
      <c r="AJ12" s="31">
        <v>3.0</v>
      </c>
      <c r="AK12" s="31">
        <v>3.0</v>
      </c>
      <c r="AL12" s="31">
        <v>4.0</v>
      </c>
      <c r="AM12" s="31">
        <v>2.0</v>
      </c>
      <c r="AN12" s="31">
        <v>3.0</v>
      </c>
      <c r="AO12" s="31">
        <v>3.0</v>
      </c>
      <c r="AP12" s="31">
        <v>3.0</v>
      </c>
      <c r="AQ12" s="31">
        <v>3.0</v>
      </c>
      <c r="AR12" s="31">
        <v>5.0</v>
      </c>
      <c r="AS12" s="31">
        <v>3.0</v>
      </c>
      <c r="AT12" s="31">
        <v>3.0</v>
      </c>
      <c r="AU12" s="31">
        <v>2.0</v>
      </c>
      <c r="AV12" s="31">
        <v>5.0</v>
      </c>
      <c r="AW12" s="32">
        <f t="shared" si="2"/>
        <v>110</v>
      </c>
      <c r="AX12" s="33">
        <f t="shared" si="1"/>
        <v>0.00337100932</v>
      </c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</row>
    <row r="13">
      <c r="A13" s="29" t="s">
        <v>72</v>
      </c>
      <c r="B13" s="31">
        <v>2.0</v>
      </c>
      <c r="C13" s="31">
        <v>3.0</v>
      </c>
      <c r="D13" s="31">
        <v>3.0</v>
      </c>
      <c r="E13" s="31">
        <v>4.0</v>
      </c>
      <c r="F13" s="31">
        <v>3.0</v>
      </c>
      <c r="G13" s="31">
        <v>3.0</v>
      </c>
      <c r="H13" s="31">
        <v>2.0</v>
      </c>
      <c r="I13" s="31">
        <v>3.0</v>
      </c>
      <c r="J13" s="31">
        <v>3.0</v>
      </c>
      <c r="K13" s="31">
        <v>3.0</v>
      </c>
      <c r="L13" s="31">
        <v>4.0</v>
      </c>
      <c r="M13" s="31">
        <v>5.0</v>
      </c>
      <c r="N13" s="30">
        <v>1.0</v>
      </c>
      <c r="O13" s="31">
        <v>3.0</v>
      </c>
      <c r="P13" s="31">
        <v>4.0</v>
      </c>
      <c r="Q13" s="31">
        <v>4.0</v>
      </c>
      <c r="R13" s="31">
        <v>4.0</v>
      </c>
      <c r="S13" s="31">
        <v>4.0</v>
      </c>
      <c r="T13" s="31">
        <v>3.0</v>
      </c>
      <c r="U13" s="31">
        <v>4.0</v>
      </c>
      <c r="V13" s="31">
        <v>4.0</v>
      </c>
      <c r="W13" s="31">
        <v>3.0</v>
      </c>
      <c r="X13" s="31">
        <v>4.0</v>
      </c>
      <c r="Y13" s="31">
        <v>3.0</v>
      </c>
      <c r="Z13" s="31">
        <v>4.0</v>
      </c>
      <c r="AA13" s="31">
        <v>4.0</v>
      </c>
      <c r="AB13" s="31">
        <v>4.0</v>
      </c>
      <c r="AC13" s="31">
        <v>5.0</v>
      </c>
      <c r="AD13" s="31">
        <v>4.0</v>
      </c>
      <c r="AE13" s="31">
        <v>5.0</v>
      </c>
      <c r="AF13" s="31">
        <v>4.0</v>
      </c>
      <c r="AG13" s="31">
        <v>4.0</v>
      </c>
      <c r="AH13" s="31">
        <v>4.0</v>
      </c>
      <c r="AI13" s="31">
        <v>3.0</v>
      </c>
      <c r="AJ13" s="31">
        <v>3.0</v>
      </c>
      <c r="AK13" s="31">
        <v>4.0</v>
      </c>
      <c r="AL13" s="31">
        <v>3.0</v>
      </c>
      <c r="AM13" s="31">
        <v>3.0</v>
      </c>
      <c r="AN13" s="31">
        <v>3.0</v>
      </c>
      <c r="AO13" s="31">
        <v>5.0</v>
      </c>
      <c r="AP13" s="31">
        <v>3.0</v>
      </c>
      <c r="AQ13" s="31">
        <v>4.0</v>
      </c>
      <c r="AR13" s="31">
        <v>4.0</v>
      </c>
      <c r="AS13" s="31">
        <v>3.0</v>
      </c>
      <c r="AT13" s="31">
        <v>4.0</v>
      </c>
      <c r="AU13" s="31">
        <v>2.0</v>
      </c>
      <c r="AV13" s="31">
        <v>4.0</v>
      </c>
      <c r="AW13" s="32">
        <f t="shared" si="2"/>
        <v>119</v>
      </c>
      <c r="AX13" s="33">
        <f t="shared" si="1"/>
        <v>0.08546500099</v>
      </c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</row>
    <row r="14">
      <c r="A14" s="29" t="s">
        <v>73</v>
      </c>
      <c r="B14" s="31">
        <v>3.0</v>
      </c>
      <c r="C14" s="31">
        <v>3.0</v>
      </c>
      <c r="D14" s="31">
        <v>4.0</v>
      </c>
      <c r="E14" s="31">
        <v>4.0</v>
      </c>
      <c r="F14" s="31">
        <v>3.0</v>
      </c>
      <c r="G14" s="31">
        <v>3.0</v>
      </c>
      <c r="H14" s="31">
        <v>3.0</v>
      </c>
      <c r="I14" s="31">
        <v>3.0</v>
      </c>
      <c r="J14" s="31">
        <v>5.0</v>
      </c>
      <c r="K14" s="31">
        <v>4.0</v>
      </c>
      <c r="L14" s="31">
        <v>5.0</v>
      </c>
      <c r="M14" s="31">
        <v>3.0</v>
      </c>
      <c r="N14" s="31">
        <v>3.0</v>
      </c>
      <c r="O14" s="30">
        <v>1.0</v>
      </c>
      <c r="P14" s="31">
        <v>3.0</v>
      </c>
      <c r="Q14" s="31">
        <v>3.0</v>
      </c>
      <c r="R14" s="31">
        <v>4.0</v>
      </c>
      <c r="S14" s="31">
        <v>4.0</v>
      </c>
      <c r="T14" s="31">
        <v>3.0</v>
      </c>
      <c r="U14" s="31">
        <v>3.0</v>
      </c>
      <c r="V14" s="31">
        <v>4.0</v>
      </c>
      <c r="W14" s="31">
        <v>3.0</v>
      </c>
      <c r="X14" s="31">
        <v>4.0</v>
      </c>
      <c r="Y14" s="31">
        <v>3.0</v>
      </c>
      <c r="Z14" s="31">
        <v>5.0</v>
      </c>
      <c r="AA14" s="31">
        <v>3.0</v>
      </c>
      <c r="AB14" s="31">
        <v>4.0</v>
      </c>
      <c r="AC14" s="31">
        <v>3.0</v>
      </c>
      <c r="AD14" s="31">
        <v>3.0</v>
      </c>
      <c r="AE14" s="31">
        <v>5.0</v>
      </c>
      <c r="AF14" s="31">
        <v>3.0</v>
      </c>
      <c r="AG14" s="31">
        <v>3.0</v>
      </c>
      <c r="AH14" s="31">
        <v>3.0</v>
      </c>
      <c r="AI14" s="31">
        <v>4.0</v>
      </c>
      <c r="AJ14" s="31">
        <v>3.0</v>
      </c>
      <c r="AK14" s="31">
        <v>3.0</v>
      </c>
      <c r="AL14" s="31">
        <v>5.0</v>
      </c>
      <c r="AM14" s="31">
        <v>3.0</v>
      </c>
      <c r="AN14" s="31">
        <v>3.0</v>
      </c>
      <c r="AO14" s="31">
        <v>4.0</v>
      </c>
      <c r="AP14" s="31">
        <v>4.0</v>
      </c>
      <c r="AQ14" s="31">
        <v>3.0</v>
      </c>
      <c r="AR14" s="31">
        <v>5.0</v>
      </c>
      <c r="AS14" s="31">
        <v>3.0</v>
      </c>
      <c r="AT14" s="31">
        <v>3.0</v>
      </c>
      <c r="AU14" s="31">
        <v>3.0</v>
      </c>
      <c r="AV14" s="31">
        <v>5.0</v>
      </c>
      <c r="AW14" s="32">
        <f t="shared" si="2"/>
        <v>114</v>
      </c>
      <c r="AX14" s="33">
        <f t="shared" si="1"/>
        <v>0.03985722784</v>
      </c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</row>
    <row r="15">
      <c r="A15" s="29" t="s">
        <v>74</v>
      </c>
      <c r="B15" s="31">
        <v>3.0</v>
      </c>
      <c r="C15" s="31">
        <v>1.0</v>
      </c>
      <c r="D15" s="31">
        <v>1.0</v>
      </c>
      <c r="E15" s="31">
        <v>1.0</v>
      </c>
      <c r="F15" s="31">
        <v>1.0</v>
      </c>
      <c r="G15" s="31">
        <v>1.0</v>
      </c>
      <c r="H15" s="31">
        <v>1.0</v>
      </c>
      <c r="I15" s="31">
        <v>1.0</v>
      </c>
      <c r="J15" s="31">
        <v>3.0</v>
      </c>
      <c r="K15" s="31">
        <v>3.0</v>
      </c>
      <c r="L15" s="31">
        <v>3.0</v>
      </c>
      <c r="M15" s="31">
        <v>4.0</v>
      </c>
      <c r="N15" s="31">
        <v>3.0</v>
      </c>
      <c r="O15" s="31">
        <v>2.0</v>
      </c>
      <c r="P15" s="30">
        <v>1.0</v>
      </c>
      <c r="Q15" s="31">
        <v>1.0</v>
      </c>
      <c r="R15" s="31">
        <v>3.0</v>
      </c>
      <c r="S15" s="31">
        <v>1.0</v>
      </c>
      <c r="T15" s="31">
        <v>1.0</v>
      </c>
      <c r="U15" s="31">
        <v>4.0</v>
      </c>
      <c r="V15" s="31">
        <v>2.0</v>
      </c>
      <c r="W15" s="31">
        <v>2.0</v>
      </c>
      <c r="X15" s="31">
        <v>2.0</v>
      </c>
      <c r="Y15" s="31">
        <v>1.0</v>
      </c>
      <c r="Z15" s="31">
        <v>3.0</v>
      </c>
      <c r="AA15" s="31">
        <v>1.0</v>
      </c>
      <c r="AB15" s="31">
        <v>2.0</v>
      </c>
      <c r="AC15" s="31">
        <v>3.0</v>
      </c>
      <c r="AD15" s="31">
        <v>1.0</v>
      </c>
      <c r="AE15" s="31">
        <v>3.0</v>
      </c>
      <c r="AF15" s="31">
        <v>3.0</v>
      </c>
      <c r="AG15" s="31">
        <v>1.0</v>
      </c>
      <c r="AH15" s="31">
        <v>2.0</v>
      </c>
      <c r="AI15" s="31">
        <v>2.0</v>
      </c>
      <c r="AJ15" s="31">
        <v>2.0</v>
      </c>
      <c r="AK15" s="31">
        <v>2.0</v>
      </c>
      <c r="AL15" s="31">
        <v>3.0</v>
      </c>
      <c r="AM15" s="31">
        <v>1.0</v>
      </c>
      <c r="AN15" s="31">
        <v>5.0</v>
      </c>
      <c r="AO15" s="31">
        <v>2.0</v>
      </c>
      <c r="AP15" s="31">
        <v>3.0</v>
      </c>
      <c r="AQ15" s="31">
        <v>1.0</v>
      </c>
      <c r="AR15" s="31">
        <v>1.0</v>
      </c>
      <c r="AS15" s="31">
        <v>2.0</v>
      </c>
      <c r="AT15" s="31">
        <v>4.0</v>
      </c>
      <c r="AU15" s="31">
        <v>1.0</v>
      </c>
      <c r="AV15" s="31">
        <v>3.0</v>
      </c>
      <c r="AW15" s="32">
        <f t="shared" si="2"/>
        <v>68</v>
      </c>
      <c r="AX15" s="33">
        <f t="shared" si="1"/>
        <v>-0.3797342851</v>
      </c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</row>
    <row r="16">
      <c r="A16" s="29" t="s">
        <v>75</v>
      </c>
      <c r="B16" s="31">
        <v>2.0</v>
      </c>
      <c r="C16" s="31">
        <v>2.0</v>
      </c>
      <c r="D16" s="31">
        <v>3.0</v>
      </c>
      <c r="E16" s="31">
        <v>2.0</v>
      </c>
      <c r="F16" s="31">
        <v>2.0</v>
      </c>
      <c r="G16" s="31">
        <v>2.0</v>
      </c>
      <c r="H16" s="31">
        <v>2.0</v>
      </c>
      <c r="I16" s="31">
        <v>2.0</v>
      </c>
      <c r="J16" s="31">
        <v>5.0</v>
      </c>
      <c r="K16" s="31">
        <v>2.0</v>
      </c>
      <c r="L16" s="31">
        <v>5.0</v>
      </c>
      <c r="M16" s="31">
        <v>3.0</v>
      </c>
      <c r="N16" s="31">
        <v>2.0</v>
      </c>
      <c r="O16" s="31">
        <v>4.0</v>
      </c>
      <c r="P16" s="31">
        <v>2.0</v>
      </c>
      <c r="Q16" s="30">
        <v>1.0</v>
      </c>
      <c r="R16" s="31">
        <v>2.0</v>
      </c>
      <c r="S16" s="31">
        <v>3.0</v>
      </c>
      <c r="T16" s="31">
        <v>2.0</v>
      </c>
      <c r="U16" s="31">
        <v>3.0</v>
      </c>
      <c r="V16" s="31">
        <v>3.0</v>
      </c>
      <c r="W16" s="31">
        <v>3.0</v>
      </c>
      <c r="X16" s="31">
        <v>3.0</v>
      </c>
      <c r="Y16" s="31">
        <v>2.0</v>
      </c>
      <c r="Z16" s="31">
        <v>3.0</v>
      </c>
      <c r="AA16" s="31">
        <v>2.0</v>
      </c>
      <c r="AB16" s="31">
        <v>3.0</v>
      </c>
      <c r="AC16" s="31">
        <v>4.0</v>
      </c>
      <c r="AD16" s="31">
        <v>5.0</v>
      </c>
      <c r="AE16" s="31">
        <v>3.0</v>
      </c>
      <c r="AF16" s="31">
        <v>3.0</v>
      </c>
      <c r="AG16" s="31">
        <v>3.0</v>
      </c>
      <c r="AH16" s="31">
        <v>2.0</v>
      </c>
      <c r="AI16" s="31">
        <v>3.0</v>
      </c>
      <c r="AJ16" s="31">
        <v>3.0</v>
      </c>
      <c r="AK16" s="31">
        <v>4.0</v>
      </c>
      <c r="AL16" s="31">
        <v>4.0</v>
      </c>
      <c r="AM16" s="31">
        <v>2.0</v>
      </c>
      <c r="AN16" s="31">
        <v>4.0</v>
      </c>
      <c r="AO16" s="31">
        <v>3.0</v>
      </c>
      <c r="AP16" s="31">
        <v>3.0</v>
      </c>
      <c r="AQ16" s="31">
        <v>3.0</v>
      </c>
      <c r="AR16" s="31">
        <v>3.0</v>
      </c>
      <c r="AS16" s="31">
        <v>4.0</v>
      </c>
      <c r="AT16" s="31">
        <v>2.0</v>
      </c>
      <c r="AU16" s="31">
        <v>2.0</v>
      </c>
      <c r="AV16" s="31">
        <v>2.0</v>
      </c>
      <c r="AW16" s="32">
        <f t="shared" si="2"/>
        <v>92</v>
      </c>
      <c r="AX16" s="33">
        <f t="shared" si="1"/>
        <v>-0.160816974</v>
      </c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</row>
    <row r="17">
      <c r="A17" s="29" t="s">
        <v>76</v>
      </c>
      <c r="B17" s="31">
        <v>3.0</v>
      </c>
      <c r="C17" s="31">
        <v>2.0</v>
      </c>
      <c r="D17" s="31">
        <v>3.0</v>
      </c>
      <c r="E17" s="31">
        <v>3.0</v>
      </c>
      <c r="F17" s="31">
        <v>3.0</v>
      </c>
      <c r="G17" s="31">
        <v>3.0</v>
      </c>
      <c r="H17" s="31">
        <v>2.0</v>
      </c>
      <c r="I17" s="31">
        <v>2.0</v>
      </c>
      <c r="J17" s="31">
        <v>3.0</v>
      </c>
      <c r="K17" s="31">
        <v>2.0</v>
      </c>
      <c r="L17" s="31">
        <v>3.0</v>
      </c>
      <c r="M17" s="31">
        <v>4.0</v>
      </c>
      <c r="N17" s="31">
        <v>3.0</v>
      </c>
      <c r="O17" s="31">
        <v>3.0</v>
      </c>
      <c r="P17" s="31">
        <v>2.0</v>
      </c>
      <c r="Q17" s="31">
        <v>4.0</v>
      </c>
      <c r="R17" s="30">
        <v>1.0</v>
      </c>
      <c r="S17" s="31">
        <v>5.0</v>
      </c>
      <c r="T17" s="31">
        <v>3.0</v>
      </c>
      <c r="U17" s="31">
        <v>3.0</v>
      </c>
      <c r="V17" s="31">
        <v>5.0</v>
      </c>
      <c r="W17" s="31">
        <v>3.0</v>
      </c>
      <c r="X17" s="31">
        <v>3.0</v>
      </c>
      <c r="Y17" s="31">
        <v>4.0</v>
      </c>
      <c r="Z17" s="31">
        <v>3.0</v>
      </c>
      <c r="AA17" s="31">
        <v>3.0</v>
      </c>
      <c r="AB17" s="31">
        <v>3.0</v>
      </c>
      <c r="AC17" s="31">
        <v>5.0</v>
      </c>
      <c r="AD17" s="31">
        <v>5.0</v>
      </c>
      <c r="AE17" s="31">
        <v>3.0</v>
      </c>
      <c r="AF17" s="31">
        <v>4.0</v>
      </c>
      <c r="AG17" s="31">
        <v>2.0</v>
      </c>
      <c r="AH17" s="31">
        <v>1.0</v>
      </c>
      <c r="AI17" s="31">
        <v>4.0</v>
      </c>
      <c r="AJ17" s="31">
        <v>4.0</v>
      </c>
      <c r="AK17" s="31">
        <v>3.0</v>
      </c>
      <c r="AL17" s="31">
        <v>5.0</v>
      </c>
      <c r="AM17" s="31">
        <v>2.0</v>
      </c>
      <c r="AN17" s="31">
        <v>3.0</v>
      </c>
      <c r="AO17" s="31">
        <v>3.0</v>
      </c>
      <c r="AP17" s="31">
        <v>4.0</v>
      </c>
      <c r="AQ17" s="31">
        <v>5.0</v>
      </c>
      <c r="AR17" s="31">
        <v>5.0</v>
      </c>
      <c r="AS17" s="31">
        <v>3.0</v>
      </c>
      <c r="AT17" s="31">
        <v>4.0</v>
      </c>
      <c r="AU17" s="31">
        <v>2.0</v>
      </c>
      <c r="AV17" s="31">
        <v>4.0</v>
      </c>
      <c r="AW17" s="32">
        <f t="shared" si="2"/>
        <v>111</v>
      </c>
      <c r="AX17" s="33">
        <f t="shared" si="1"/>
        <v>0.01249256395</v>
      </c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</row>
    <row r="18">
      <c r="A18" s="29" t="s">
        <v>77</v>
      </c>
      <c r="B18" s="31">
        <v>3.0</v>
      </c>
      <c r="C18" s="31">
        <v>3.0</v>
      </c>
      <c r="D18" s="31">
        <v>5.0</v>
      </c>
      <c r="E18" s="31">
        <v>3.0</v>
      </c>
      <c r="F18" s="31">
        <v>4.0</v>
      </c>
      <c r="G18" s="31">
        <v>3.0</v>
      </c>
      <c r="H18" s="31">
        <v>2.0</v>
      </c>
      <c r="I18" s="31">
        <v>3.0</v>
      </c>
      <c r="J18" s="31">
        <v>5.0</v>
      </c>
      <c r="K18" s="31">
        <v>4.0</v>
      </c>
      <c r="L18" s="31">
        <v>4.0</v>
      </c>
      <c r="M18" s="31">
        <v>4.0</v>
      </c>
      <c r="N18" s="31">
        <v>3.0</v>
      </c>
      <c r="O18" s="31">
        <v>5.0</v>
      </c>
      <c r="P18" s="31">
        <v>3.0</v>
      </c>
      <c r="Q18" s="31">
        <v>4.0</v>
      </c>
      <c r="R18" s="31">
        <v>3.0</v>
      </c>
      <c r="S18" s="30">
        <v>1.0</v>
      </c>
      <c r="T18" s="31">
        <v>3.0</v>
      </c>
      <c r="U18" s="31">
        <v>3.0</v>
      </c>
      <c r="V18" s="31">
        <v>4.0</v>
      </c>
      <c r="W18" s="31">
        <v>3.0</v>
      </c>
      <c r="X18" s="31">
        <v>4.0</v>
      </c>
      <c r="Y18" s="31">
        <v>3.0</v>
      </c>
      <c r="Z18" s="31">
        <v>5.0</v>
      </c>
      <c r="AA18" s="31">
        <v>4.0</v>
      </c>
      <c r="AB18" s="31">
        <v>4.0</v>
      </c>
      <c r="AC18" s="31">
        <v>5.0</v>
      </c>
      <c r="AD18" s="31">
        <v>3.0</v>
      </c>
      <c r="AE18" s="31">
        <v>4.0</v>
      </c>
      <c r="AF18" s="31">
        <v>4.0</v>
      </c>
      <c r="AG18" s="31">
        <v>4.0</v>
      </c>
      <c r="AH18" s="31">
        <v>4.0</v>
      </c>
      <c r="AI18" s="31">
        <v>5.0</v>
      </c>
      <c r="AJ18" s="31">
        <v>3.0</v>
      </c>
      <c r="AK18" s="31">
        <v>4.0</v>
      </c>
      <c r="AL18" s="31">
        <v>4.0</v>
      </c>
      <c r="AM18" s="31">
        <v>3.0</v>
      </c>
      <c r="AN18" s="31">
        <v>4.0</v>
      </c>
      <c r="AO18" s="31">
        <v>5.0</v>
      </c>
      <c r="AP18" s="31">
        <v>3.0</v>
      </c>
      <c r="AQ18" s="31">
        <v>5.0</v>
      </c>
      <c r="AR18" s="31">
        <v>5.0</v>
      </c>
      <c r="AS18" s="31">
        <v>5.0</v>
      </c>
      <c r="AT18" s="31">
        <v>5.0</v>
      </c>
      <c r="AU18" s="31">
        <v>3.0</v>
      </c>
      <c r="AV18" s="31">
        <v>5.0</v>
      </c>
      <c r="AW18" s="32">
        <f t="shared" si="2"/>
        <v>124</v>
      </c>
      <c r="AX18" s="33">
        <f t="shared" si="1"/>
        <v>0.1310727741</v>
      </c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</row>
    <row r="19">
      <c r="A19" s="29" t="s">
        <v>78</v>
      </c>
      <c r="B19" s="31">
        <v>3.0</v>
      </c>
      <c r="C19" s="31">
        <v>3.0</v>
      </c>
      <c r="D19" s="31">
        <v>4.0</v>
      </c>
      <c r="E19" s="31">
        <v>4.0</v>
      </c>
      <c r="F19" s="31">
        <v>4.0</v>
      </c>
      <c r="G19" s="31">
        <v>4.0</v>
      </c>
      <c r="H19" s="31">
        <v>4.0</v>
      </c>
      <c r="I19" s="31">
        <v>3.0</v>
      </c>
      <c r="J19" s="31">
        <v>4.0</v>
      </c>
      <c r="K19" s="31">
        <v>3.0</v>
      </c>
      <c r="L19" s="31">
        <v>3.0</v>
      </c>
      <c r="M19" s="31">
        <v>3.0</v>
      </c>
      <c r="N19" s="31">
        <v>3.0</v>
      </c>
      <c r="O19" s="31">
        <v>5.0</v>
      </c>
      <c r="P19" s="31">
        <v>3.0</v>
      </c>
      <c r="Q19" s="31">
        <v>4.0</v>
      </c>
      <c r="R19" s="31">
        <v>3.0</v>
      </c>
      <c r="S19" s="31">
        <v>3.0</v>
      </c>
      <c r="T19" s="30">
        <v>1.0</v>
      </c>
      <c r="U19" s="31">
        <v>3.0</v>
      </c>
      <c r="V19" s="31">
        <v>3.0</v>
      </c>
      <c r="W19" s="31">
        <v>4.0</v>
      </c>
      <c r="X19" s="31">
        <v>5.0</v>
      </c>
      <c r="Y19" s="31">
        <v>3.0</v>
      </c>
      <c r="Z19" s="31">
        <v>3.0</v>
      </c>
      <c r="AA19" s="31">
        <v>3.0</v>
      </c>
      <c r="AB19" s="31">
        <v>4.0</v>
      </c>
      <c r="AC19" s="31">
        <v>5.0</v>
      </c>
      <c r="AD19" s="31">
        <v>4.0</v>
      </c>
      <c r="AE19" s="31">
        <v>3.0</v>
      </c>
      <c r="AF19" s="31">
        <v>3.0</v>
      </c>
      <c r="AG19" s="31">
        <v>4.0</v>
      </c>
      <c r="AH19" s="31">
        <v>4.0</v>
      </c>
      <c r="AI19" s="31">
        <v>5.0</v>
      </c>
      <c r="AJ19" s="31">
        <v>5.0</v>
      </c>
      <c r="AK19" s="31">
        <v>4.0</v>
      </c>
      <c r="AL19" s="31">
        <v>3.0</v>
      </c>
      <c r="AM19" s="31">
        <v>3.0</v>
      </c>
      <c r="AN19" s="31">
        <v>3.0</v>
      </c>
      <c r="AO19" s="31">
        <v>5.0</v>
      </c>
      <c r="AP19" s="31">
        <v>3.0</v>
      </c>
      <c r="AQ19" s="31">
        <v>3.0</v>
      </c>
      <c r="AR19" s="31">
        <v>4.0</v>
      </c>
      <c r="AS19" s="31">
        <v>4.0</v>
      </c>
      <c r="AT19" s="31">
        <v>3.0</v>
      </c>
      <c r="AU19" s="31">
        <v>3.0</v>
      </c>
      <c r="AV19" s="31">
        <v>3.0</v>
      </c>
      <c r="AW19" s="32">
        <f t="shared" si="2"/>
        <v>113</v>
      </c>
      <c r="AX19" s="33">
        <f t="shared" si="1"/>
        <v>0.03073567321</v>
      </c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</row>
    <row r="20">
      <c r="A20" s="29" t="s">
        <v>79</v>
      </c>
      <c r="B20" s="31">
        <v>3.0</v>
      </c>
      <c r="C20" s="31">
        <v>2.0</v>
      </c>
      <c r="D20" s="31">
        <v>3.0</v>
      </c>
      <c r="E20" s="31">
        <v>5.0</v>
      </c>
      <c r="F20" s="31">
        <v>5.0</v>
      </c>
      <c r="G20" s="31">
        <v>2.0</v>
      </c>
      <c r="H20" s="31">
        <v>1.0</v>
      </c>
      <c r="I20" s="31">
        <v>2.0</v>
      </c>
      <c r="J20" s="31">
        <v>2.0</v>
      </c>
      <c r="K20" s="31">
        <v>5.0</v>
      </c>
      <c r="L20" s="31">
        <v>4.0</v>
      </c>
      <c r="M20" s="31">
        <v>4.0</v>
      </c>
      <c r="N20" s="31">
        <v>3.0</v>
      </c>
      <c r="O20" s="31">
        <v>3.0</v>
      </c>
      <c r="P20" s="31">
        <v>2.0</v>
      </c>
      <c r="Q20" s="31">
        <v>5.0</v>
      </c>
      <c r="R20" s="31">
        <v>4.0</v>
      </c>
      <c r="S20" s="31">
        <v>4.0</v>
      </c>
      <c r="T20" s="31">
        <v>3.0</v>
      </c>
      <c r="U20" s="30">
        <v>1.0</v>
      </c>
      <c r="V20" s="31">
        <v>4.0</v>
      </c>
      <c r="W20" s="31">
        <v>4.0</v>
      </c>
      <c r="X20" s="31">
        <v>5.0</v>
      </c>
      <c r="Y20" s="31">
        <v>3.0</v>
      </c>
      <c r="Z20" s="31">
        <v>4.0</v>
      </c>
      <c r="AA20" s="31">
        <v>3.0</v>
      </c>
      <c r="AB20" s="31">
        <v>5.0</v>
      </c>
      <c r="AC20" s="31">
        <v>4.0</v>
      </c>
      <c r="AD20" s="31">
        <v>4.0</v>
      </c>
      <c r="AE20" s="31">
        <v>3.0</v>
      </c>
      <c r="AF20" s="31">
        <v>5.0</v>
      </c>
      <c r="AG20" s="31">
        <v>3.0</v>
      </c>
      <c r="AH20" s="31">
        <v>1.0</v>
      </c>
      <c r="AI20" s="31">
        <v>5.0</v>
      </c>
      <c r="AJ20" s="31">
        <v>4.0</v>
      </c>
      <c r="AK20" s="31">
        <v>4.0</v>
      </c>
      <c r="AL20" s="31">
        <v>5.0</v>
      </c>
      <c r="AM20" s="31">
        <v>3.0</v>
      </c>
      <c r="AN20" s="31">
        <v>3.0</v>
      </c>
      <c r="AO20" s="31">
        <v>3.0</v>
      </c>
      <c r="AP20" s="31">
        <v>3.0</v>
      </c>
      <c r="AQ20" s="31">
        <v>4.0</v>
      </c>
      <c r="AR20" s="31">
        <v>4.0</v>
      </c>
      <c r="AS20" s="31">
        <v>3.0</v>
      </c>
      <c r="AT20" s="31">
        <v>2.0</v>
      </c>
      <c r="AU20" s="31">
        <v>2.0</v>
      </c>
      <c r="AV20" s="31">
        <v>5.0</v>
      </c>
      <c r="AW20" s="32">
        <f t="shared" si="2"/>
        <v>115</v>
      </c>
      <c r="AX20" s="33">
        <f t="shared" si="1"/>
        <v>0.04897878247</v>
      </c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</row>
    <row r="21">
      <c r="A21" s="29" t="s">
        <v>80</v>
      </c>
      <c r="B21" s="31">
        <v>3.0</v>
      </c>
      <c r="C21" s="31">
        <v>3.0</v>
      </c>
      <c r="D21" s="31">
        <v>4.0</v>
      </c>
      <c r="E21" s="31">
        <v>5.0</v>
      </c>
      <c r="F21" s="31">
        <v>3.0</v>
      </c>
      <c r="G21" s="31">
        <v>3.0</v>
      </c>
      <c r="H21" s="31">
        <v>3.0</v>
      </c>
      <c r="I21" s="31">
        <v>3.0</v>
      </c>
      <c r="J21" s="31">
        <v>5.0</v>
      </c>
      <c r="K21" s="31">
        <v>4.0</v>
      </c>
      <c r="L21" s="31">
        <v>5.0</v>
      </c>
      <c r="M21" s="31">
        <v>4.0</v>
      </c>
      <c r="N21" s="31">
        <v>3.0</v>
      </c>
      <c r="O21" s="31">
        <v>4.0</v>
      </c>
      <c r="P21" s="31">
        <v>3.0</v>
      </c>
      <c r="Q21" s="31">
        <v>3.0</v>
      </c>
      <c r="R21" s="31">
        <v>5.0</v>
      </c>
      <c r="S21" s="31">
        <v>4.0</v>
      </c>
      <c r="T21" s="31">
        <v>3.0</v>
      </c>
      <c r="U21" s="31">
        <v>3.0</v>
      </c>
      <c r="V21" s="30">
        <v>1.0</v>
      </c>
      <c r="W21" s="31">
        <v>3.0</v>
      </c>
      <c r="X21" s="31">
        <v>4.0</v>
      </c>
      <c r="Y21" s="31">
        <v>4.0</v>
      </c>
      <c r="Z21" s="31">
        <v>4.0</v>
      </c>
      <c r="AA21" s="31">
        <v>3.0</v>
      </c>
      <c r="AB21" s="31">
        <v>4.0</v>
      </c>
      <c r="AC21" s="31">
        <v>4.0</v>
      </c>
      <c r="AD21" s="31">
        <v>4.0</v>
      </c>
      <c r="AE21" s="31">
        <v>4.0</v>
      </c>
      <c r="AF21" s="31">
        <v>3.0</v>
      </c>
      <c r="AG21" s="31">
        <v>3.0</v>
      </c>
      <c r="AH21" s="31">
        <v>3.0</v>
      </c>
      <c r="AI21" s="31">
        <v>5.0</v>
      </c>
      <c r="AJ21" s="31">
        <v>4.0</v>
      </c>
      <c r="AK21" s="31">
        <v>5.0</v>
      </c>
      <c r="AL21" s="31">
        <v>4.0</v>
      </c>
      <c r="AM21" s="31">
        <v>3.0</v>
      </c>
      <c r="AN21" s="31">
        <v>3.0</v>
      </c>
      <c r="AO21" s="31">
        <v>4.0</v>
      </c>
      <c r="AP21" s="31">
        <v>3.0</v>
      </c>
      <c r="AQ21" s="31">
        <v>5.0</v>
      </c>
      <c r="AR21" s="31">
        <v>5.0</v>
      </c>
      <c r="AS21" s="31">
        <v>3.0</v>
      </c>
      <c r="AT21" s="31">
        <v>3.0</v>
      </c>
      <c r="AU21" s="31">
        <v>3.0</v>
      </c>
      <c r="AV21" s="31">
        <v>4.0</v>
      </c>
      <c r="AW21" s="32">
        <f t="shared" si="2"/>
        <v>116</v>
      </c>
      <c r="AX21" s="33">
        <f t="shared" si="1"/>
        <v>0.0581003371</v>
      </c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</row>
    <row r="22">
      <c r="A22" s="29" t="s">
        <v>81</v>
      </c>
      <c r="B22" s="31">
        <v>3.0</v>
      </c>
      <c r="C22" s="31">
        <v>4.0</v>
      </c>
      <c r="D22" s="31">
        <v>4.0</v>
      </c>
      <c r="E22" s="31">
        <v>3.0</v>
      </c>
      <c r="F22" s="31">
        <v>4.0</v>
      </c>
      <c r="G22" s="31">
        <v>3.0</v>
      </c>
      <c r="H22" s="31">
        <v>3.0</v>
      </c>
      <c r="I22" s="31">
        <v>3.0</v>
      </c>
      <c r="J22" s="31">
        <v>5.0</v>
      </c>
      <c r="K22" s="31">
        <v>4.0</v>
      </c>
      <c r="L22" s="31">
        <v>5.0</v>
      </c>
      <c r="M22" s="31">
        <v>3.0</v>
      </c>
      <c r="N22" s="31">
        <v>4.0</v>
      </c>
      <c r="O22" s="31">
        <v>3.0</v>
      </c>
      <c r="P22" s="31">
        <v>3.0</v>
      </c>
      <c r="Q22" s="31">
        <v>4.0</v>
      </c>
      <c r="R22" s="31">
        <v>3.0</v>
      </c>
      <c r="S22" s="31">
        <v>3.0</v>
      </c>
      <c r="T22" s="31">
        <v>3.0</v>
      </c>
      <c r="U22" s="31">
        <v>4.0</v>
      </c>
      <c r="V22" s="31">
        <v>3.0</v>
      </c>
      <c r="W22" s="30">
        <v>1.0</v>
      </c>
      <c r="X22" s="31">
        <v>3.0</v>
      </c>
      <c r="Y22" s="31">
        <v>3.0</v>
      </c>
      <c r="Z22" s="31">
        <v>3.0</v>
      </c>
      <c r="AA22" s="31">
        <v>4.0</v>
      </c>
      <c r="AB22" s="31">
        <v>3.0</v>
      </c>
      <c r="AC22" s="31">
        <v>3.0</v>
      </c>
      <c r="AD22" s="31">
        <v>4.0</v>
      </c>
      <c r="AE22" s="31">
        <v>4.0</v>
      </c>
      <c r="AF22" s="31">
        <v>3.0</v>
      </c>
      <c r="AG22" s="31">
        <v>3.0</v>
      </c>
      <c r="AH22" s="31">
        <v>3.0</v>
      </c>
      <c r="AI22" s="31">
        <v>3.0</v>
      </c>
      <c r="AJ22" s="31">
        <v>3.0</v>
      </c>
      <c r="AK22" s="31">
        <v>5.0</v>
      </c>
      <c r="AL22" s="31">
        <v>3.0</v>
      </c>
      <c r="AM22" s="31">
        <v>3.0</v>
      </c>
      <c r="AN22" s="31">
        <v>3.0</v>
      </c>
      <c r="AO22" s="31">
        <v>5.0</v>
      </c>
      <c r="AP22" s="31">
        <v>3.0</v>
      </c>
      <c r="AQ22" s="31">
        <v>5.0</v>
      </c>
      <c r="AR22" s="31">
        <v>4.0</v>
      </c>
      <c r="AS22" s="31">
        <v>3.0</v>
      </c>
      <c r="AT22" s="31">
        <v>3.0</v>
      </c>
      <c r="AU22" s="31">
        <v>3.0</v>
      </c>
      <c r="AV22" s="31">
        <v>3.0</v>
      </c>
      <c r="AW22" s="32">
        <f t="shared" si="2"/>
        <v>106</v>
      </c>
      <c r="AX22" s="33">
        <f t="shared" si="1"/>
        <v>-0.0331152092</v>
      </c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</row>
    <row r="23">
      <c r="A23" s="29" t="s">
        <v>82</v>
      </c>
      <c r="B23" s="31">
        <v>4.0</v>
      </c>
      <c r="C23" s="31">
        <v>2.0</v>
      </c>
      <c r="D23" s="31">
        <v>3.0</v>
      </c>
      <c r="E23" s="31">
        <v>5.0</v>
      </c>
      <c r="F23" s="31">
        <v>4.0</v>
      </c>
      <c r="G23" s="31">
        <v>3.0</v>
      </c>
      <c r="H23" s="31">
        <v>2.0</v>
      </c>
      <c r="I23" s="31">
        <v>2.0</v>
      </c>
      <c r="J23" s="31">
        <v>4.0</v>
      </c>
      <c r="K23" s="31">
        <v>4.0</v>
      </c>
      <c r="L23" s="31">
        <v>5.0</v>
      </c>
      <c r="M23" s="31">
        <v>3.0</v>
      </c>
      <c r="N23" s="31">
        <v>3.0</v>
      </c>
      <c r="O23" s="31">
        <v>5.0</v>
      </c>
      <c r="P23" s="31">
        <v>3.0</v>
      </c>
      <c r="Q23" s="31">
        <v>4.0</v>
      </c>
      <c r="R23" s="31">
        <v>4.0</v>
      </c>
      <c r="S23" s="31">
        <v>5.0</v>
      </c>
      <c r="T23" s="31">
        <v>2.0</v>
      </c>
      <c r="U23" s="31">
        <v>3.0</v>
      </c>
      <c r="V23" s="31">
        <v>5.0</v>
      </c>
      <c r="W23" s="31">
        <v>3.0</v>
      </c>
      <c r="X23" s="30">
        <v>1.0</v>
      </c>
      <c r="Y23" s="31">
        <v>3.0</v>
      </c>
      <c r="Z23" s="31">
        <v>3.0</v>
      </c>
      <c r="AA23" s="31">
        <v>3.0</v>
      </c>
      <c r="AB23" s="31">
        <v>5.0</v>
      </c>
      <c r="AC23" s="31">
        <v>5.0</v>
      </c>
      <c r="AD23" s="31">
        <v>4.0</v>
      </c>
      <c r="AE23" s="31">
        <v>4.0</v>
      </c>
      <c r="AF23" s="31">
        <v>3.0</v>
      </c>
      <c r="AG23" s="31">
        <v>4.0</v>
      </c>
      <c r="AH23" s="31">
        <v>4.0</v>
      </c>
      <c r="AI23" s="31">
        <v>5.0</v>
      </c>
      <c r="AJ23" s="31">
        <v>3.0</v>
      </c>
      <c r="AK23" s="31">
        <v>5.0</v>
      </c>
      <c r="AL23" s="31">
        <v>5.0</v>
      </c>
      <c r="AM23" s="31">
        <v>3.0</v>
      </c>
      <c r="AN23" s="31">
        <v>3.0</v>
      </c>
      <c r="AO23" s="31">
        <v>5.0</v>
      </c>
      <c r="AP23" s="31">
        <v>3.0</v>
      </c>
      <c r="AQ23" s="31">
        <v>4.0</v>
      </c>
      <c r="AR23" s="31">
        <v>5.0</v>
      </c>
      <c r="AS23" s="31">
        <v>3.0</v>
      </c>
      <c r="AT23" s="31">
        <v>4.0</v>
      </c>
      <c r="AU23" s="31">
        <v>3.0</v>
      </c>
      <c r="AV23" s="31">
        <v>5.0</v>
      </c>
      <c r="AW23" s="32">
        <f t="shared" si="2"/>
        <v>121</v>
      </c>
      <c r="AX23" s="33">
        <f t="shared" si="1"/>
        <v>0.1037081103</v>
      </c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</row>
    <row r="24">
      <c r="A24" s="29" t="s">
        <v>83</v>
      </c>
      <c r="B24" s="31">
        <v>3.0</v>
      </c>
      <c r="C24" s="31">
        <v>2.0</v>
      </c>
      <c r="D24" s="31">
        <v>3.0</v>
      </c>
      <c r="E24" s="31">
        <v>2.0</v>
      </c>
      <c r="F24" s="31">
        <v>3.0</v>
      </c>
      <c r="G24" s="31">
        <v>3.0</v>
      </c>
      <c r="H24" s="31">
        <v>2.0</v>
      </c>
      <c r="I24" s="31">
        <v>2.0</v>
      </c>
      <c r="J24" s="31">
        <v>3.0</v>
      </c>
      <c r="K24" s="31">
        <v>3.0</v>
      </c>
      <c r="L24" s="31">
        <v>3.0</v>
      </c>
      <c r="M24" s="31">
        <v>3.0</v>
      </c>
      <c r="N24" s="31">
        <v>3.0</v>
      </c>
      <c r="O24" s="31">
        <v>4.0</v>
      </c>
      <c r="P24" s="31">
        <v>3.0</v>
      </c>
      <c r="Q24" s="31">
        <v>5.0</v>
      </c>
      <c r="R24" s="31">
        <v>2.0</v>
      </c>
      <c r="S24" s="31">
        <v>4.0</v>
      </c>
      <c r="T24" s="31">
        <v>2.0</v>
      </c>
      <c r="U24" s="31">
        <v>3.0</v>
      </c>
      <c r="V24" s="31">
        <v>3.0</v>
      </c>
      <c r="W24" s="31">
        <v>3.0</v>
      </c>
      <c r="X24" s="31">
        <v>3.0</v>
      </c>
      <c r="Y24" s="30">
        <v>1.0</v>
      </c>
      <c r="Z24" s="31">
        <v>3.0</v>
      </c>
      <c r="AA24" s="31">
        <v>2.0</v>
      </c>
      <c r="AB24" s="31">
        <v>4.0</v>
      </c>
      <c r="AC24" s="31">
        <v>5.0</v>
      </c>
      <c r="AD24" s="31">
        <v>4.0</v>
      </c>
      <c r="AE24" s="31">
        <v>3.0</v>
      </c>
      <c r="AF24" s="31">
        <v>5.0</v>
      </c>
      <c r="AG24" s="31">
        <v>4.0</v>
      </c>
      <c r="AH24" s="31">
        <v>3.0</v>
      </c>
      <c r="AI24" s="31">
        <v>3.0</v>
      </c>
      <c r="AJ24" s="31">
        <v>4.0</v>
      </c>
      <c r="AK24" s="31">
        <v>4.0</v>
      </c>
      <c r="AL24" s="31">
        <v>4.0</v>
      </c>
      <c r="AM24" s="31">
        <v>3.0</v>
      </c>
      <c r="AN24" s="31">
        <v>4.0</v>
      </c>
      <c r="AO24" s="31">
        <v>5.0</v>
      </c>
      <c r="AP24" s="31">
        <v>4.0</v>
      </c>
      <c r="AQ24" s="31">
        <v>3.0</v>
      </c>
      <c r="AR24" s="31">
        <v>3.0</v>
      </c>
      <c r="AS24" s="31">
        <v>4.0</v>
      </c>
      <c r="AT24" s="31">
        <v>3.0</v>
      </c>
      <c r="AU24" s="31">
        <v>2.0</v>
      </c>
      <c r="AV24" s="31">
        <v>4.0</v>
      </c>
      <c r="AW24" s="32">
        <f t="shared" si="2"/>
        <v>109</v>
      </c>
      <c r="AX24" s="33">
        <f t="shared" si="1"/>
        <v>-0.00575054531</v>
      </c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</row>
    <row r="25">
      <c r="A25" s="29" t="s">
        <v>84</v>
      </c>
      <c r="B25" s="31">
        <v>3.0</v>
      </c>
      <c r="C25" s="31">
        <v>3.0</v>
      </c>
      <c r="D25" s="31">
        <v>4.0</v>
      </c>
      <c r="E25" s="31">
        <v>4.0</v>
      </c>
      <c r="F25" s="31">
        <v>3.0</v>
      </c>
      <c r="G25" s="31">
        <v>3.0</v>
      </c>
      <c r="H25" s="31">
        <v>3.0</v>
      </c>
      <c r="I25" s="31">
        <v>3.0</v>
      </c>
      <c r="J25" s="31">
        <v>4.0</v>
      </c>
      <c r="K25" s="31">
        <v>4.0</v>
      </c>
      <c r="L25" s="31">
        <v>4.0</v>
      </c>
      <c r="M25" s="31">
        <v>4.0</v>
      </c>
      <c r="N25" s="31">
        <v>4.0</v>
      </c>
      <c r="O25" s="31">
        <v>5.0</v>
      </c>
      <c r="P25" s="31">
        <v>4.0</v>
      </c>
      <c r="Q25" s="31">
        <v>4.0</v>
      </c>
      <c r="R25" s="31">
        <v>5.0</v>
      </c>
      <c r="S25" s="31">
        <v>5.0</v>
      </c>
      <c r="T25" s="31">
        <v>3.0</v>
      </c>
      <c r="U25" s="31">
        <v>3.0</v>
      </c>
      <c r="V25" s="31">
        <v>5.0</v>
      </c>
      <c r="W25" s="31">
        <v>4.0</v>
      </c>
      <c r="X25" s="31">
        <v>4.0</v>
      </c>
      <c r="Y25" s="31">
        <v>4.0</v>
      </c>
      <c r="Z25" s="30">
        <v>1.0</v>
      </c>
      <c r="AA25" s="31">
        <v>5.0</v>
      </c>
      <c r="AB25" s="31">
        <v>5.0</v>
      </c>
      <c r="AC25" s="31">
        <v>4.0</v>
      </c>
      <c r="AD25" s="31">
        <v>4.0</v>
      </c>
      <c r="AE25" s="31">
        <v>5.0</v>
      </c>
      <c r="AF25" s="31">
        <v>4.0</v>
      </c>
      <c r="AG25" s="31">
        <v>4.0</v>
      </c>
      <c r="AH25" s="31">
        <v>5.0</v>
      </c>
      <c r="AI25" s="31">
        <v>4.0</v>
      </c>
      <c r="AJ25" s="31">
        <v>4.0</v>
      </c>
      <c r="AK25" s="31">
        <v>5.0</v>
      </c>
      <c r="AL25" s="31">
        <v>5.0</v>
      </c>
      <c r="AM25" s="31">
        <v>3.0</v>
      </c>
      <c r="AN25" s="31">
        <v>3.0</v>
      </c>
      <c r="AO25" s="31">
        <v>4.0</v>
      </c>
      <c r="AP25" s="31">
        <v>3.0</v>
      </c>
      <c r="AQ25" s="31">
        <v>4.0</v>
      </c>
      <c r="AR25" s="31">
        <v>4.0</v>
      </c>
      <c r="AS25" s="31">
        <v>4.0</v>
      </c>
      <c r="AT25" s="31">
        <v>4.0</v>
      </c>
      <c r="AU25" s="31">
        <v>3.0</v>
      </c>
      <c r="AV25" s="31">
        <v>5.0</v>
      </c>
      <c r="AW25" s="32">
        <f t="shared" si="2"/>
        <v>129</v>
      </c>
      <c r="AX25" s="33">
        <f t="shared" si="1"/>
        <v>0.1766805473</v>
      </c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</row>
    <row r="26">
      <c r="A26" s="29" t="s">
        <v>85</v>
      </c>
      <c r="B26" s="31">
        <v>3.0</v>
      </c>
      <c r="C26" s="31">
        <v>2.0</v>
      </c>
      <c r="D26" s="31">
        <v>3.0</v>
      </c>
      <c r="E26" s="31">
        <v>3.0</v>
      </c>
      <c r="F26" s="31">
        <v>3.0</v>
      </c>
      <c r="G26" s="31">
        <v>3.0</v>
      </c>
      <c r="H26" s="31">
        <v>2.0</v>
      </c>
      <c r="I26" s="31">
        <v>2.0</v>
      </c>
      <c r="J26" s="31">
        <v>4.0</v>
      </c>
      <c r="K26" s="31">
        <v>3.0</v>
      </c>
      <c r="L26" s="31">
        <v>4.0</v>
      </c>
      <c r="M26" s="31">
        <v>4.0</v>
      </c>
      <c r="N26" s="31">
        <v>4.0</v>
      </c>
      <c r="O26" s="31">
        <v>4.0</v>
      </c>
      <c r="P26" s="31">
        <v>4.0</v>
      </c>
      <c r="Q26" s="31">
        <v>3.0</v>
      </c>
      <c r="R26" s="31">
        <v>3.0</v>
      </c>
      <c r="S26" s="31">
        <v>4.0</v>
      </c>
      <c r="T26" s="31">
        <v>3.0</v>
      </c>
      <c r="U26" s="31">
        <v>4.0</v>
      </c>
      <c r="V26" s="31">
        <v>4.0</v>
      </c>
      <c r="W26" s="31">
        <v>4.0</v>
      </c>
      <c r="X26" s="31">
        <v>4.0</v>
      </c>
      <c r="Y26" s="31">
        <v>4.0</v>
      </c>
      <c r="Z26" s="31">
        <v>3.0</v>
      </c>
      <c r="AA26" s="30">
        <v>1.0</v>
      </c>
      <c r="AB26" s="31">
        <v>4.0</v>
      </c>
      <c r="AC26" s="31">
        <v>3.0</v>
      </c>
      <c r="AD26" s="31">
        <v>4.0</v>
      </c>
      <c r="AE26" s="31">
        <v>3.0</v>
      </c>
      <c r="AF26" s="31">
        <v>3.0</v>
      </c>
      <c r="AG26" s="31">
        <v>3.0</v>
      </c>
      <c r="AH26" s="31">
        <v>4.0</v>
      </c>
      <c r="AI26" s="31">
        <v>4.0</v>
      </c>
      <c r="AJ26" s="31">
        <v>3.0</v>
      </c>
      <c r="AK26" s="31">
        <v>4.0</v>
      </c>
      <c r="AL26" s="31">
        <v>5.0</v>
      </c>
      <c r="AM26" s="31">
        <v>2.0</v>
      </c>
      <c r="AN26" s="31">
        <v>2.0</v>
      </c>
      <c r="AO26" s="31">
        <v>3.0</v>
      </c>
      <c r="AP26" s="31">
        <v>5.0</v>
      </c>
      <c r="AQ26" s="31">
        <v>3.0</v>
      </c>
      <c r="AR26" s="31">
        <v>4.0</v>
      </c>
      <c r="AS26" s="31">
        <v>3.0</v>
      </c>
      <c r="AT26" s="31">
        <v>3.0</v>
      </c>
      <c r="AU26" s="31">
        <v>3.0</v>
      </c>
      <c r="AV26" s="31">
        <v>5.0</v>
      </c>
      <c r="AW26" s="32">
        <f t="shared" si="2"/>
        <v>110</v>
      </c>
      <c r="AX26" s="33">
        <f t="shared" si="1"/>
        <v>0.00337100932</v>
      </c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</row>
    <row r="27">
      <c r="A27" s="29" t="s">
        <v>86</v>
      </c>
      <c r="B27" s="31">
        <v>2.0</v>
      </c>
      <c r="C27" s="31">
        <v>3.0</v>
      </c>
      <c r="D27" s="31">
        <v>4.0</v>
      </c>
      <c r="E27" s="31">
        <v>4.0</v>
      </c>
      <c r="F27" s="31">
        <v>3.0</v>
      </c>
      <c r="G27" s="31">
        <v>3.0</v>
      </c>
      <c r="H27" s="31">
        <v>1.0</v>
      </c>
      <c r="I27" s="31">
        <v>2.0</v>
      </c>
      <c r="J27" s="31">
        <v>5.0</v>
      </c>
      <c r="K27" s="31">
        <v>4.0</v>
      </c>
      <c r="L27" s="31">
        <v>4.0</v>
      </c>
      <c r="M27" s="31">
        <v>3.0</v>
      </c>
      <c r="N27" s="31">
        <v>3.0</v>
      </c>
      <c r="O27" s="31">
        <v>4.0</v>
      </c>
      <c r="P27" s="31">
        <v>3.0</v>
      </c>
      <c r="Q27" s="31">
        <v>3.0</v>
      </c>
      <c r="R27" s="31">
        <v>4.0</v>
      </c>
      <c r="S27" s="31">
        <v>4.0</v>
      </c>
      <c r="T27" s="31">
        <v>3.0</v>
      </c>
      <c r="U27" s="31">
        <v>4.0</v>
      </c>
      <c r="V27" s="31">
        <v>4.0</v>
      </c>
      <c r="W27" s="31">
        <v>3.0</v>
      </c>
      <c r="X27" s="31">
        <v>4.0</v>
      </c>
      <c r="Y27" s="31">
        <v>3.0</v>
      </c>
      <c r="Z27" s="31">
        <v>5.0</v>
      </c>
      <c r="AA27" s="31">
        <v>3.0</v>
      </c>
      <c r="AB27" s="30">
        <v>1.0</v>
      </c>
      <c r="AC27" s="31">
        <v>4.0</v>
      </c>
      <c r="AD27" s="31">
        <v>4.0</v>
      </c>
      <c r="AE27" s="31">
        <v>5.0</v>
      </c>
      <c r="AF27" s="31">
        <v>3.0</v>
      </c>
      <c r="AG27" s="31">
        <v>4.0</v>
      </c>
      <c r="AH27" s="31">
        <v>2.0</v>
      </c>
      <c r="AI27" s="31">
        <v>4.0</v>
      </c>
      <c r="AJ27" s="31">
        <v>4.0</v>
      </c>
      <c r="AK27" s="31">
        <v>4.0</v>
      </c>
      <c r="AL27" s="31">
        <v>5.0</v>
      </c>
      <c r="AM27" s="31">
        <v>3.0</v>
      </c>
      <c r="AN27" s="31">
        <v>3.0</v>
      </c>
      <c r="AO27" s="31">
        <v>4.0</v>
      </c>
      <c r="AP27" s="31">
        <v>2.0</v>
      </c>
      <c r="AQ27" s="31">
        <v>4.0</v>
      </c>
      <c r="AR27" s="31">
        <v>4.0</v>
      </c>
      <c r="AS27" s="31">
        <v>3.0</v>
      </c>
      <c r="AT27" s="31">
        <v>3.0</v>
      </c>
      <c r="AU27" s="31">
        <v>2.0</v>
      </c>
      <c r="AV27" s="31">
        <v>5.0</v>
      </c>
      <c r="AW27" s="32">
        <f t="shared" si="2"/>
        <v>113</v>
      </c>
      <c r="AX27" s="33">
        <f t="shared" si="1"/>
        <v>0.03073567321</v>
      </c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</row>
    <row r="28">
      <c r="A28" s="29" t="s">
        <v>87</v>
      </c>
      <c r="B28" s="31">
        <v>3.0</v>
      </c>
      <c r="C28" s="31">
        <v>2.0</v>
      </c>
      <c r="D28" s="31">
        <v>4.0</v>
      </c>
      <c r="E28" s="31">
        <v>3.0</v>
      </c>
      <c r="F28" s="31">
        <v>3.0</v>
      </c>
      <c r="G28" s="31">
        <v>3.0</v>
      </c>
      <c r="H28" s="31">
        <v>2.0</v>
      </c>
      <c r="I28" s="31">
        <v>2.0</v>
      </c>
      <c r="J28" s="31">
        <v>5.0</v>
      </c>
      <c r="K28" s="31">
        <v>4.0</v>
      </c>
      <c r="L28" s="31">
        <v>5.0</v>
      </c>
      <c r="M28" s="31">
        <v>2.0</v>
      </c>
      <c r="N28" s="31">
        <v>3.0</v>
      </c>
      <c r="O28" s="31">
        <v>5.0</v>
      </c>
      <c r="P28" s="31">
        <v>2.0</v>
      </c>
      <c r="Q28" s="31">
        <v>3.0</v>
      </c>
      <c r="R28" s="31">
        <v>4.0</v>
      </c>
      <c r="S28" s="31">
        <v>4.0</v>
      </c>
      <c r="T28" s="31">
        <v>3.0</v>
      </c>
      <c r="U28" s="31">
        <v>3.0</v>
      </c>
      <c r="V28" s="31">
        <v>4.0</v>
      </c>
      <c r="W28" s="31">
        <v>4.0</v>
      </c>
      <c r="X28" s="31">
        <v>4.0</v>
      </c>
      <c r="Y28" s="31">
        <v>3.0</v>
      </c>
      <c r="Z28" s="31">
        <v>4.0</v>
      </c>
      <c r="AA28" s="31">
        <v>3.0</v>
      </c>
      <c r="AB28" s="31">
        <v>5.0</v>
      </c>
      <c r="AC28" s="30">
        <v>1.0</v>
      </c>
      <c r="AD28" s="31">
        <v>3.0</v>
      </c>
      <c r="AE28" s="31">
        <v>4.0</v>
      </c>
      <c r="AF28" s="31">
        <v>3.0</v>
      </c>
      <c r="AG28" s="31">
        <v>4.0</v>
      </c>
      <c r="AH28" s="31">
        <v>3.0</v>
      </c>
      <c r="AI28" s="31">
        <v>5.0</v>
      </c>
      <c r="AJ28" s="31">
        <v>3.0</v>
      </c>
      <c r="AK28" s="31">
        <v>5.0</v>
      </c>
      <c r="AL28" s="31">
        <v>5.0</v>
      </c>
      <c r="AM28" s="31">
        <v>4.0</v>
      </c>
      <c r="AN28" s="31">
        <v>3.0</v>
      </c>
      <c r="AO28" s="31">
        <v>4.0</v>
      </c>
      <c r="AP28" s="31">
        <v>3.0</v>
      </c>
      <c r="AQ28" s="31">
        <v>4.0</v>
      </c>
      <c r="AR28" s="31">
        <v>4.0</v>
      </c>
      <c r="AS28" s="31">
        <v>4.0</v>
      </c>
      <c r="AT28" s="31">
        <v>3.0</v>
      </c>
      <c r="AU28" s="31">
        <v>3.0</v>
      </c>
      <c r="AV28" s="31">
        <v>4.0</v>
      </c>
      <c r="AW28" s="32">
        <f t="shared" si="2"/>
        <v>116</v>
      </c>
      <c r="AX28" s="33">
        <f t="shared" si="1"/>
        <v>0.0581003371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</row>
    <row r="29">
      <c r="A29" s="29" t="s">
        <v>88</v>
      </c>
      <c r="B29" s="31">
        <v>3.0</v>
      </c>
      <c r="C29" s="31">
        <v>3.0</v>
      </c>
      <c r="D29" s="31">
        <v>4.0</v>
      </c>
      <c r="E29" s="31">
        <v>4.0</v>
      </c>
      <c r="F29" s="31">
        <v>1.0</v>
      </c>
      <c r="G29" s="31">
        <v>3.0</v>
      </c>
      <c r="H29" s="31">
        <v>1.0</v>
      </c>
      <c r="I29" s="31">
        <v>1.0</v>
      </c>
      <c r="J29" s="31">
        <v>5.0</v>
      </c>
      <c r="K29" s="31">
        <v>2.0</v>
      </c>
      <c r="L29" s="31">
        <v>5.0</v>
      </c>
      <c r="M29" s="31">
        <v>1.0</v>
      </c>
      <c r="N29" s="31">
        <v>2.0</v>
      </c>
      <c r="O29" s="31">
        <v>3.0</v>
      </c>
      <c r="P29" s="31">
        <v>1.0</v>
      </c>
      <c r="Q29" s="31">
        <v>2.0</v>
      </c>
      <c r="R29" s="31">
        <v>4.0</v>
      </c>
      <c r="S29" s="31">
        <v>3.0</v>
      </c>
      <c r="T29" s="31">
        <v>2.0</v>
      </c>
      <c r="U29" s="31">
        <v>1.0</v>
      </c>
      <c r="V29" s="31">
        <v>2.0</v>
      </c>
      <c r="W29" s="31">
        <v>3.0</v>
      </c>
      <c r="X29" s="31">
        <v>3.0</v>
      </c>
      <c r="Y29" s="31">
        <v>3.0</v>
      </c>
      <c r="Z29" s="31">
        <v>2.0</v>
      </c>
      <c r="AA29" s="31">
        <v>3.0</v>
      </c>
      <c r="AB29" s="31">
        <v>2.0</v>
      </c>
      <c r="AC29" s="31">
        <v>4.0</v>
      </c>
      <c r="AD29" s="30">
        <v>1.0</v>
      </c>
      <c r="AE29" s="31">
        <v>4.0</v>
      </c>
      <c r="AF29" s="31">
        <v>2.0</v>
      </c>
      <c r="AG29" s="31">
        <v>1.0</v>
      </c>
      <c r="AH29" s="31">
        <v>2.0</v>
      </c>
      <c r="AI29" s="31">
        <v>3.0</v>
      </c>
      <c r="AJ29" s="31">
        <v>2.0</v>
      </c>
      <c r="AK29" s="31">
        <v>5.0</v>
      </c>
      <c r="AL29" s="31">
        <v>3.0</v>
      </c>
      <c r="AM29" s="31">
        <v>2.0</v>
      </c>
      <c r="AN29" s="31">
        <v>3.0</v>
      </c>
      <c r="AO29" s="31">
        <v>5.0</v>
      </c>
      <c r="AP29" s="31">
        <v>3.0</v>
      </c>
      <c r="AQ29" s="31">
        <v>4.0</v>
      </c>
      <c r="AR29" s="31">
        <v>4.0</v>
      </c>
      <c r="AS29" s="31">
        <v>4.0</v>
      </c>
      <c r="AT29" s="31">
        <v>1.0</v>
      </c>
      <c r="AU29" s="31">
        <v>3.0</v>
      </c>
      <c r="AV29" s="31">
        <v>3.0</v>
      </c>
      <c r="AW29" s="32">
        <f t="shared" si="2"/>
        <v>89</v>
      </c>
      <c r="AX29" s="33">
        <f t="shared" si="1"/>
        <v>-0.1881816379</v>
      </c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</row>
    <row r="30">
      <c r="A30" s="29" t="s">
        <v>89</v>
      </c>
      <c r="B30" s="31">
        <v>3.0</v>
      </c>
      <c r="C30" s="31">
        <v>2.0</v>
      </c>
      <c r="D30" s="31">
        <v>3.0</v>
      </c>
      <c r="E30" s="31">
        <v>3.0</v>
      </c>
      <c r="F30" s="31">
        <v>3.0</v>
      </c>
      <c r="G30" s="31">
        <v>3.0</v>
      </c>
      <c r="H30" s="31">
        <v>2.0</v>
      </c>
      <c r="I30" s="31">
        <v>2.0</v>
      </c>
      <c r="J30" s="31">
        <v>5.0</v>
      </c>
      <c r="K30" s="31">
        <v>3.0</v>
      </c>
      <c r="L30" s="31">
        <v>5.0</v>
      </c>
      <c r="M30" s="31">
        <v>4.0</v>
      </c>
      <c r="N30" s="31">
        <v>3.0</v>
      </c>
      <c r="O30" s="31">
        <v>4.0</v>
      </c>
      <c r="P30" s="31">
        <v>3.0</v>
      </c>
      <c r="Q30" s="31">
        <v>5.0</v>
      </c>
      <c r="R30" s="31">
        <v>4.0</v>
      </c>
      <c r="S30" s="31">
        <v>3.0</v>
      </c>
      <c r="T30" s="31">
        <v>3.0</v>
      </c>
      <c r="U30" s="31">
        <v>3.0</v>
      </c>
      <c r="V30" s="31">
        <v>4.0</v>
      </c>
      <c r="W30" s="31">
        <v>4.0</v>
      </c>
      <c r="X30" s="31">
        <v>4.0</v>
      </c>
      <c r="Y30" s="31">
        <v>3.0</v>
      </c>
      <c r="Z30" s="31">
        <v>5.0</v>
      </c>
      <c r="AA30" s="31">
        <v>4.0</v>
      </c>
      <c r="AB30" s="31">
        <v>5.0</v>
      </c>
      <c r="AC30" s="31">
        <v>4.0</v>
      </c>
      <c r="AD30" s="31">
        <v>4.0</v>
      </c>
      <c r="AE30" s="30">
        <v>1.0</v>
      </c>
      <c r="AF30" s="31">
        <v>5.0</v>
      </c>
      <c r="AG30" s="31">
        <v>5.0</v>
      </c>
      <c r="AH30" s="31">
        <v>3.0</v>
      </c>
      <c r="AI30" s="31">
        <v>5.0</v>
      </c>
      <c r="AJ30" s="31">
        <v>3.0</v>
      </c>
      <c r="AK30" s="31">
        <v>5.0</v>
      </c>
      <c r="AL30" s="31">
        <v>3.0</v>
      </c>
      <c r="AM30" s="31">
        <v>3.0</v>
      </c>
      <c r="AN30" s="31">
        <v>3.0</v>
      </c>
      <c r="AO30" s="31">
        <v>4.0</v>
      </c>
      <c r="AP30" s="31">
        <v>3.0</v>
      </c>
      <c r="AQ30" s="31">
        <v>5.0</v>
      </c>
      <c r="AR30" s="31">
        <v>4.0</v>
      </c>
      <c r="AS30" s="31">
        <v>4.0</v>
      </c>
      <c r="AT30" s="31">
        <v>4.0</v>
      </c>
      <c r="AU30" s="31">
        <v>3.0</v>
      </c>
      <c r="AV30" s="31">
        <v>4.0</v>
      </c>
      <c r="AW30" s="32">
        <f t="shared" si="2"/>
        <v>122</v>
      </c>
      <c r="AX30" s="33">
        <f t="shared" si="1"/>
        <v>0.1128296649</v>
      </c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</row>
    <row r="31">
      <c r="A31" s="29" t="s">
        <v>90</v>
      </c>
      <c r="B31" s="31">
        <v>3.0</v>
      </c>
      <c r="C31" s="31">
        <v>3.0</v>
      </c>
      <c r="D31" s="31">
        <v>3.0</v>
      </c>
      <c r="E31" s="31">
        <v>3.0</v>
      </c>
      <c r="F31" s="31">
        <v>4.0</v>
      </c>
      <c r="G31" s="31">
        <v>3.0</v>
      </c>
      <c r="H31" s="31">
        <v>2.0</v>
      </c>
      <c r="I31" s="31">
        <v>2.0</v>
      </c>
      <c r="J31" s="31">
        <v>4.0</v>
      </c>
      <c r="K31" s="31">
        <v>4.0</v>
      </c>
      <c r="L31" s="31">
        <v>4.0</v>
      </c>
      <c r="M31" s="31">
        <v>4.0</v>
      </c>
      <c r="N31" s="31">
        <v>5.0</v>
      </c>
      <c r="O31" s="31">
        <v>3.0</v>
      </c>
      <c r="P31" s="31">
        <v>5.0</v>
      </c>
      <c r="Q31" s="31">
        <v>3.0</v>
      </c>
      <c r="R31" s="31">
        <v>4.0</v>
      </c>
      <c r="S31" s="31">
        <v>3.0</v>
      </c>
      <c r="T31" s="31">
        <v>2.0</v>
      </c>
      <c r="U31" s="31">
        <v>4.0</v>
      </c>
      <c r="V31" s="31">
        <v>3.0</v>
      </c>
      <c r="W31" s="31">
        <v>3.0</v>
      </c>
      <c r="X31" s="31">
        <v>3.0</v>
      </c>
      <c r="Y31" s="31">
        <v>3.0</v>
      </c>
      <c r="Z31" s="31">
        <v>5.0</v>
      </c>
      <c r="AA31" s="31">
        <v>4.0</v>
      </c>
      <c r="AB31" s="31">
        <v>4.0</v>
      </c>
      <c r="AC31" s="31">
        <v>3.0</v>
      </c>
      <c r="AD31" s="31">
        <v>3.0</v>
      </c>
      <c r="AE31" s="31">
        <v>5.0</v>
      </c>
      <c r="AF31" s="30">
        <v>1.0</v>
      </c>
      <c r="AG31" s="31">
        <v>3.0</v>
      </c>
      <c r="AH31" s="31">
        <v>3.0</v>
      </c>
      <c r="AI31" s="31">
        <v>3.0</v>
      </c>
      <c r="AJ31" s="31">
        <v>3.0</v>
      </c>
      <c r="AK31" s="31">
        <v>4.0</v>
      </c>
      <c r="AL31" s="31">
        <v>3.0</v>
      </c>
      <c r="AM31" s="31">
        <v>3.0</v>
      </c>
      <c r="AN31" s="31">
        <v>3.0</v>
      </c>
      <c r="AO31" s="31">
        <v>4.0</v>
      </c>
      <c r="AP31" s="31">
        <v>4.0</v>
      </c>
      <c r="AQ31" s="31">
        <v>3.0</v>
      </c>
      <c r="AR31" s="31">
        <v>4.0</v>
      </c>
      <c r="AS31" s="31">
        <v>3.0</v>
      </c>
      <c r="AT31" s="31">
        <v>3.0</v>
      </c>
      <c r="AU31" s="31">
        <v>3.0</v>
      </c>
      <c r="AV31" s="31">
        <v>5.0</v>
      </c>
      <c r="AW31" s="32">
        <f t="shared" si="2"/>
        <v>107</v>
      </c>
      <c r="AX31" s="33">
        <f t="shared" si="1"/>
        <v>-0.02399365457</v>
      </c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</row>
    <row r="32">
      <c r="A32" s="29" t="s">
        <v>91</v>
      </c>
      <c r="B32" s="31">
        <v>3.0</v>
      </c>
      <c r="C32" s="31">
        <v>3.0</v>
      </c>
      <c r="D32" s="31">
        <v>3.0</v>
      </c>
      <c r="E32" s="31">
        <v>5.0</v>
      </c>
      <c r="F32" s="31">
        <v>3.0</v>
      </c>
      <c r="G32" s="31">
        <v>3.0</v>
      </c>
      <c r="H32" s="31">
        <v>3.0</v>
      </c>
      <c r="I32" s="31">
        <v>2.0</v>
      </c>
      <c r="J32" s="31">
        <v>3.0</v>
      </c>
      <c r="K32" s="31">
        <v>3.0</v>
      </c>
      <c r="L32" s="31">
        <v>3.0</v>
      </c>
      <c r="M32" s="31">
        <v>2.0</v>
      </c>
      <c r="N32" s="31">
        <v>3.0</v>
      </c>
      <c r="O32" s="31">
        <v>5.0</v>
      </c>
      <c r="P32" s="31">
        <v>3.0</v>
      </c>
      <c r="Q32" s="31">
        <v>3.0</v>
      </c>
      <c r="R32" s="31">
        <v>3.0</v>
      </c>
      <c r="S32" s="31">
        <v>3.0</v>
      </c>
      <c r="T32" s="31">
        <v>2.0</v>
      </c>
      <c r="U32" s="31">
        <v>4.0</v>
      </c>
      <c r="V32" s="31">
        <v>4.0</v>
      </c>
      <c r="W32" s="31">
        <v>3.0</v>
      </c>
      <c r="X32" s="31">
        <v>5.0</v>
      </c>
      <c r="Y32" s="31">
        <v>3.0</v>
      </c>
      <c r="Z32" s="31">
        <v>4.0</v>
      </c>
      <c r="AA32" s="31">
        <v>2.0</v>
      </c>
      <c r="AB32" s="31">
        <v>5.0</v>
      </c>
      <c r="AC32" s="31">
        <v>5.0</v>
      </c>
      <c r="AD32" s="31">
        <v>3.0</v>
      </c>
      <c r="AE32" s="31">
        <v>3.0</v>
      </c>
      <c r="AF32" s="31">
        <v>3.0</v>
      </c>
      <c r="AG32" s="30">
        <v>1.0</v>
      </c>
      <c r="AH32" s="31">
        <v>5.0</v>
      </c>
      <c r="AI32" s="31">
        <v>3.0</v>
      </c>
      <c r="AJ32" s="31">
        <v>3.0</v>
      </c>
      <c r="AK32" s="31">
        <v>4.0</v>
      </c>
      <c r="AL32" s="31">
        <v>4.0</v>
      </c>
      <c r="AM32" s="31">
        <v>2.0</v>
      </c>
      <c r="AN32" s="31">
        <v>3.0</v>
      </c>
      <c r="AO32" s="31">
        <v>4.0</v>
      </c>
      <c r="AP32" s="31">
        <v>2.0</v>
      </c>
      <c r="AQ32" s="31">
        <v>3.0</v>
      </c>
      <c r="AR32" s="31">
        <v>4.0</v>
      </c>
      <c r="AS32" s="31">
        <v>3.0</v>
      </c>
      <c r="AT32" s="31">
        <v>4.0</v>
      </c>
      <c r="AU32" s="31">
        <v>2.0</v>
      </c>
      <c r="AV32" s="31">
        <v>3.0</v>
      </c>
      <c r="AW32" s="32">
        <f t="shared" si="2"/>
        <v>105</v>
      </c>
      <c r="AX32" s="33">
        <f t="shared" si="1"/>
        <v>-0.04223676383</v>
      </c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</row>
    <row r="33">
      <c r="A33" s="29" t="s">
        <v>92</v>
      </c>
      <c r="B33" s="31">
        <v>3.0</v>
      </c>
      <c r="C33" s="31">
        <v>3.0</v>
      </c>
      <c r="D33" s="31">
        <v>2.0</v>
      </c>
      <c r="E33" s="31">
        <v>5.0</v>
      </c>
      <c r="F33" s="31">
        <v>3.0</v>
      </c>
      <c r="G33" s="31">
        <v>3.0</v>
      </c>
      <c r="H33" s="31">
        <v>2.0</v>
      </c>
      <c r="I33" s="31">
        <v>3.0</v>
      </c>
      <c r="J33" s="31">
        <v>4.0</v>
      </c>
      <c r="K33" s="31">
        <v>3.0</v>
      </c>
      <c r="L33" s="31">
        <v>4.0</v>
      </c>
      <c r="M33" s="31">
        <v>2.0</v>
      </c>
      <c r="N33" s="31">
        <v>2.0</v>
      </c>
      <c r="O33" s="31">
        <v>5.0</v>
      </c>
      <c r="P33" s="31">
        <v>4.0</v>
      </c>
      <c r="Q33" s="31">
        <v>3.0</v>
      </c>
      <c r="R33" s="31">
        <v>2.0</v>
      </c>
      <c r="S33" s="31">
        <v>2.0</v>
      </c>
      <c r="T33" s="31">
        <v>2.0</v>
      </c>
      <c r="U33" s="31">
        <v>4.0</v>
      </c>
      <c r="V33" s="31">
        <v>3.0</v>
      </c>
      <c r="W33" s="31">
        <v>2.0</v>
      </c>
      <c r="X33" s="31">
        <v>5.0</v>
      </c>
      <c r="Y33" s="31">
        <v>3.0</v>
      </c>
      <c r="Z33" s="31">
        <v>2.0</v>
      </c>
      <c r="AA33" s="31">
        <v>2.0</v>
      </c>
      <c r="AB33" s="31">
        <v>3.0</v>
      </c>
      <c r="AC33" s="31">
        <v>4.0</v>
      </c>
      <c r="AD33" s="31">
        <v>4.0</v>
      </c>
      <c r="AE33" s="31">
        <v>4.0</v>
      </c>
      <c r="AF33" s="31">
        <v>2.0</v>
      </c>
      <c r="AG33" s="31">
        <v>2.0</v>
      </c>
      <c r="AH33" s="30">
        <v>1.0</v>
      </c>
      <c r="AI33" s="31">
        <v>5.0</v>
      </c>
      <c r="AJ33" s="31">
        <v>3.0</v>
      </c>
      <c r="AK33" s="31">
        <v>5.0</v>
      </c>
      <c r="AL33" s="31">
        <v>5.0</v>
      </c>
      <c r="AM33" s="31">
        <v>2.0</v>
      </c>
      <c r="AN33" s="31">
        <v>2.0</v>
      </c>
      <c r="AO33" s="31">
        <v>2.0</v>
      </c>
      <c r="AP33" s="31">
        <v>3.0</v>
      </c>
      <c r="AQ33" s="31">
        <v>3.0</v>
      </c>
      <c r="AR33" s="31">
        <v>5.0</v>
      </c>
      <c r="AS33" s="31">
        <v>2.0</v>
      </c>
      <c r="AT33" s="31">
        <v>2.0</v>
      </c>
      <c r="AU33" s="31">
        <v>2.0</v>
      </c>
      <c r="AV33" s="31">
        <v>4.0</v>
      </c>
      <c r="AW33" s="32">
        <f t="shared" si="2"/>
        <v>95</v>
      </c>
      <c r="AX33" s="33">
        <f t="shared" si="1"/>
        <v>-0.1334523101</v>
      </c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</row>
    <row r="34">
      <c r="A34" s="29" t="s">
        <v>93</v>
      </c>
      <c r="B34" s="31">
        <v>2.0</v>
      </c>
      <c r="C34" s="31">
        <v>3.0</v>
      </c>
      <c r="D34" s="31">
        <v>4.0</v>
      </c>
      <c r="E34" s="31">
        <v>3.0</v>
      </c>
      <c r="F34" s="31">
        <v>3.0</v>
      </c>
      <c r="G34" s="31">
        <v>3.0</v>
      </c>
      <c r="H34" s="31">
        <v>1.0</v>
      </c>
      <c r="I34" s="31">
        <v>2.0</v>
      </c>
      <c r="J34" s="31">
        <v>4.0</v>
      </c>
      <c r="K34" s="31">
        <v>3.0</v>
      </c>
      <c r="L34" s="31">
        <v>3.0</v>
      </c>
      <c r="M34" s="31">
        <v>2.0</v>
      </c>
      <c r="N34" s="31">
        <v>2.0</v>
      </c>
      <c r="O34" s="31">
        <v>3.0</v>
      </c>
      <c r="P34" s="31">
        <v>2.0</v>
      </c>
      <c r="Q34" s="31">
        <v>4.0</v>
      </c>
      <c r="R34" s="31">
        <v>3.0</v>
      </c>
      <c r="S34" s="31">
        <v>3.0</v>
      </c>
      <c r="T34" s="31">
        <v>2.0</v>
      </c>
      <c r="U34" s="31">
        <v>4.0</v>
      </c>
      <c r="V34" s="31">
        <v>3.0</v>
      </c>
      <c r="W34" s="31">
        <v>3.0</v>
      </c>
      <c r="X34" s="31">
        <v>4.0</v>
      </c>
      <c r="Y34" s="31">
        <v>2.0</v>
      </c>
      <c r="Z34" s="31">
        <v>3.0</v>
      </c>
      <c r="AA34" s="31">
        <v>3.0</v>
      </c>
      <c r="AB34" s="31">
        <v>5.0</v>
      </c>
      <c r="AC34" s="31">
        <v>4.0</v>
      </c>
      <c r="AD34" s="31">
        <v>4.0</v>
      </c>
      <c r="AE34" s="31">
        <v>3.0</v>
      </c>
      <c r="AF34" s="31">
        <v>3.0</v>
      </c>
      <c r="AG34" s="31">
        <v>4.0</v>
      </c>
      <c r="AH34" s="31">
        <v>1.0</v>
      </c>
      <c r="AI34" s="30">
        <v>1.0</v>
      </c>
      <c r="AJ34" s="31">
        <v>3.0</v>
      </c>
      <c r="AK34" s="31">
        <v>5.0</v>
      </c>
      <c r="AL34" s="31">
        <v>5.0</v>
      </c>
      <c r="AM34" s="31">
        <v>3.0</v>
      </c>
      <c r="AN34" s="31">
        <v>3.0</v>
      </c>
      <c r="AO34" s="31">
        <v>4.0</v>
      </c>
      <c r="AP34" s="31">
        <v>3.0</v>
      </c>
      <c r="AQ34" s="31">
        <v>3.0</v>
      </c>
      <c r="AR34" s="31">
        <v>4.0</v>
      </c>
      <c r="AS34" s="31">
        <v>4.0</v>
      </c>
      <c r="AT34" s="31">
        <v>3.0</v>
      </c>
      <c r="AU34" s="31">
        <v>2.0</v>
      </c>
      <c r="AV34" s="31">
        <v>4.0</v>
      </c>
      <c r="AW34" s="32">
        <f t="shared" si="2"/>
        <v>105</v>
      </c>
      <c r="AX34" s="33">
        <f t="shared" si="1"/>
        <v>-0.04223676383</v>
      </c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</row>
    <row r="35">
      <c r="A35" s="29" t="s">
        <v>94</v>
      </c>
      <c r="B35" s="31">
        <v>2.0</v>
      </c>
      <c r="C35" s="31">
        <v>4.0</v>
      </c>
      <c r="D35" s="31">
        <v>3.0</v>
      </c>
      <c r="E35" s="31">
        <v>3.0</v>
      </c>
      <c r="F35" s="31">
        <v>2.0</v>
      </c>
      <c r="G35" s="31">
        <v>4.0</v>
      </c>
      <c r="H35" s="31">
        <v>2.0</v>
      </c>
      <c r="I35" s="31">
        <v>2.0</v>
      </c>
      <c r="J35" s="31">
        <v>4.0</v>
      </c>
      <c r="K35" s="31">
        <v>4.0</v>
      </c>
      <c r="L35" s="31">
        <v>3.0</v>
      </c>
      <c r="M35" s="31">
        <v>3.0</v>
      </c>
      <c r="N35" s="31">
        <v>3.0</v>
      </c>
      <c r="O35" s="31">
        <v>5.0</v>
      </c>
      <c r="P35" s="31">
        <v>2.0</v>
      </c>
      <c r="Q35" s="31">
        <v>3.0</v>
      </c>
      <c r="R35" s="31">
        <v>4.0</v>
      </c>
      <c r="S35" s="31">
        <v>3.0</v>
      </c>
      <c r="T35" s="31">
        <v>2.0</v>
      </c>
      <c r="U35" s="31">
        <v>3.0</v>
      </c>
      <c r="V35" s="31">
        <v>3.0</v>
      </c>
      <c r="W35" s="31">
        <v>3.0</v>
      </c>
      <c r="X35" s="31">
        <v>5.0</v>
      </c>
      <c r="Y35" s="31">
        <v>3.0</v>
      </c>
      <c r="Z35" s="31">
        <v>3.0</v>
      </c>
      <c r="AA35" s="31">
        <v>3.0</v>
      </c>
      <c r="AB35" s="31">
        <v>4.0</v>
      </c>
      <c r="AC35" s="31">
        <v>4.0</v>
      </c>
      <c r="AD35" s="31">
        <v>3.0</v>
      </c>
      <c r="AE35" s="31">
        <v>3.0</v>
      </c>
      <c r="AF35" s="31">
        <v>3.0</v>
      </c>
      <c r="AG35" s="31">
        <v>4.0</v>
      </c>
      <c r="AH35" s="31">
        <v>4.0</v>
      </c>
      <c r="AI35" s="31">
        <v>4.0</v>
      </c>
      <c r="AJ35" s="30">
        <v>1.0</v>
      </c>
      <c r="AK35" s="31">
        <v>4.0</v>
      </c>
      <c r="AL35" s="31">
        <v>5.0</v>
      </c>
      <c r="AM35" s="31">
        <v>3.0</v>
      </c>
      <c r="AN35" s="31">
        <v>3.0</v>
      </c>
      <c r="AO35" s="31">
        <v>4.0</v>
      </c>
      <c r="AP35" s="31">
        <v>3.0</v>
      </c>
      <c r="AQ35" s="31">
        <v>2.0</v>
      </c>
      <c r="AR35" s="31">
        <v>5.0</v>
      </c>
      <c r="AS35" s="31">
        <v>3.0</v>
      </c>
      <c r="AT35" s="31">
        <v>3.0</v>
      </c>
      <c r="AU35" s="31">
        <v>3.0</v>
      </c>
      <c r="AV35" s="31">
        <v>4.0</v>
      </c>
      <c r="AW35" s="32">
        <f t="shared" si="2"/>
        <v>107</v>
      </c>
      <c r="AX35" s="33">
        <f t="shared" si="1"/>
        <v>-0.02399365457</v>
      </c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</row>
    <row r="36">
      <c r="A36" s="29" t="s">
        <v>95</v>
      </c>
      <c r="B36" s="31">
        <v>3.0</v>
      </c>
      <c r="C36" s="31">
        <v>3.0</v>
      </c>
      <c r="D36" s="31">
        <v>4.0</v>
      </c>
      <c r="E36" s="31">
        <v>3.0</v>
      </c>
      <c r="F36" s="31">
        <v>5.0</v>
      </c>
      <c r="G36" s="31">
        <v>2.0</v>
      </c>
      <c r="H36" s="31">
        <v>3.0</v>
      </c>
      <c r="I36" s="31">
        <v>2.0</v>
      </c>
      <c r="J36" s="31">
        <v>3.0</v>
      </c>
      <c r="K36" s="31">
        <v>3.0</v>
      </c>
      <c r="L36" s="31">
        <v>3.0</v>
      </c>
      <c r="M36" s="31">
        <v>5.0</v>
      </c>
      <c r="N36" s="31">
        <v>2.0</v>
      </c>
      <c r="O36" s="31">
        <v>4.0</v>
      </c>
      <c r="P36" s="31">
        <v>4.0</v>
      </c>
      <c r="Q36" s="31">
        <v>4.0</v>
      </c>
      <c r="R36" s="31">
        <v>3.0</v>
      </c>
      <c r="S36" s="31">
        <v>4.0</v>
      </c>
      <c r="T36" s="31">
        <v>3.0</v>
      </c>
      <c r="U36" s="31">
        <v>3.0</v>
      </c>
      <c r="V36" s="31">
        <v>4.0</v>
      </c>
      <c r="W36" s="31">
        <v>3.0</v>
      </c>
      <c r="X36" s="31">
        <v>5.0</v>
      </c>
      <c r="Y36" s="31">
        <v>5.0</v>
      </c>
      <c r="Z36" s="31">
        <v>4.0</v>
      </c>
      <c r="AA36" s="31">
        <v>3.0</v>
      </c>
      <c r="AB36" s="31">
        <v>4.0</v>
      </c>
      <c r="AC36" s="31">
        <v>5.0</v>
      </c>
      <c r="AD36" s="31">
        <v>4.0</v>
      </c>
      <c r="AE36" s="31">
        <v>3.0</v>
      </c>
      <c r="AF36" s="31">
        <v>3.0</v>
      </c>
      <c r="AG36" s="31">
        <v>4.0</v>
      </c>
      <c r="AH36" s="31">
        <v>3.0</v>
      </c>
      <c r="AI36" s="31">
        <v>5.0</v>
      </c>
      <c r="AJ36" s="31">
        <v>3.0</v>
      </c>
      <c r="AK36" s="30">
        <v>1.0</v>
      </c>
      <c r="AL36" s="31">
        <v>4.0</v>
      </c>
      <c r="AM36" s="31">
        <v>3.0</v>
      </c>
      <c r="AN36" s="31">
        <v>3.0</v>
      </c>
      <c r="AO36" s="31">
        <v>4.0</v>
      </c>
      <c r="AP36" s="31">
        <v>3.0</v>
      </c>
      <c r="AQ36" s="31">
        <v>4.0</v>
      </c>
      <c r="AR36" s="31">
        <v>4.0</v>
      </c>
      <c r="AS36" s="31">
        <v>3.0</v>
      </c>
      <c r="AT36" s="31">
        <v>3.0</v>
      </c>
      <c r="AU36" s="31">
        <v>2.0</v>
      </c>
      <c r="AV36" s="31">
        <v>3.0</v>
      </c>
      <c r="AW36" s="32">
        <f t="shared" si="2"/>
        <v>112</v>
      </c>
      <c r="AX36" s="33">
        <f t="shared" si="1"/>
        <v>0.02161411858</v>
      </c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</row>
    <row r="37">
      <c r="A37" s="29" t="s">
        <v>96</v>
      </c>
      <c r="B37" s="31">
        <v>3.0</v>
      </c>
      <c r="C37" s="31">
        <v>3.0</v>
      </c>
      <c r="D37" s="31">
        <v>3.0</v>
      </c>
      <c r="E37" s="31">
        <v>4.0</v>
      </c>
      <c r="F37" s="31">
        <v>3.0</v>
      </c>
      <c r="G37" s="31">
        <v>3.0</v>
      </c>
      <c r="H37" s="31">
        <v>3.0</v>
      </c>
      <c r="I37" s="31">
        <v>2.0</v>
      </c>
      <c r="J37" s="31">
        <v>4.0</v>
      </c>
      <c r="K37" s="31">
        <v>3.0</v>
      </c>
      <c r="L37" s="31">
        <v>3.0</v>
      </c>
      <c r="M37" s="31">
        <v>2.0</v>
      </c>
      <c r="N37" s="31">
        <v>3.0</v>
      </c>
      <c r="O37" s="31">
        <v>4.0</v>
      </c>
      <c r="P37" s="31">
        <v>3.0</v>
      </c>
      <c r="Q37" s="31">
        <v>3.0</v>
      </c>
      <c r="R37" s="31">
        <v>3.0</v>
      </c>
      <c r="S37" s="31">
        <v>4.0</v>
      </c>
      <c r="T37" s="31">
        <v>3.0</v>
      </c>
      <c r="U37" s="31">
        <v>3.0</v>
      </c>
      <c r="V37" s="31">
        <v>4.0</v>
      </c>
      <c r="W37" s="31">
        <v>4.0</v>
      </c>
      <c r="X37" s="31">
        <v>4.0</v>
      </c>
      <c r="Y37" s="31">
        <v>3.0</v>
      </c>
      <c r="Z37" s="31">
        <v>4.0</v>
      </c>
      <c r="AA37" s="31">
        <v>3.0</v>
      </c>
      <c r="AB37" s="31">
        <v>4.0</v>
      </c>
      <c r="AC37" s="31">
        <v>4.0</v>
      </c>
      <c r="AD37" s="31">
        <v>3.0</v>
      </c>
      <c r="AE37" s="31">
        <v>4.0</v>
      </c>
      <c r="AF37" s="31">
        <v>2.0</v>
      </c>
      <c r="AG37" s="31">
        <v>4.0</v>
      </c>
      <c r="AH37" s="31">
        <v>3.0</v>
      </c>
      <c r="AI37" s="31">
        <v>5.0</v>
      </c>
      <c r="AJ37" s="31">
        <v>4.0</v>
      </c>
      <c r="AK37" s="31">
        <v>5.0</v>
      </c>
      <c r="AL37" s="30">
        <v>1.0</v>
      </c>
      <c r="AM37" s="31">
        <v>3.0</v>
      </c>
      <c r="AN37" s="31">
        <v>3.0</v>
      </c>
      <c r="AO37" s="31">
        <v>4.0</v>
      </c>
      <c r="AP37" s="31">
        <v>2.0</v>
      </c>
      <c r="AQ37" s="31">
        <v>4.0</v>
      </c>
      <c r="AR37" s="31">
        <v>5.0</v>
      </c>
      <c r="AS37" s="31">
        <v>3.0</v>
      </c>
      <c r="AT37" s="31">
        <v>3.0</v>
      </c>
      <c r="AU37" s="31">
        <v>3.0</v>
      </c>
      <c r="AV37" s="31">
        <v>4.0</v>
      </c>
      <c r="AW37" s="32">
        <f t="shared" si="2"/>
        <v>111</v>
      </c>
      <c r="AX37" s="33">
        <f t="shared" si="1"/>
        <v>0.01249256395</v>
      </c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</row>
    <row r="38">
      <c r="A38" s="29" t="s">
        <v>97</v>
      </c>
      <c r="B38" s="31">
        <v>3.0</v>
      </c>
      <c r="C38" s="31">
        <v>2.0</v>
      </c>
      <c r="D38" s="31">
        <v>3.0</v>
      </c>
      <c r="E38" s="31">
        <v>5.0</v>
      </c>
      <c r="F38" s="31">
        <v>5.0</v>
      </c>
      <c r="G38" s="31">
        <v>5.0</v>
      </c>
      <c r="H38" s="31">
        <v>2.0</v>
      </c>
      <c r="I38" s="31">
        <v>3.0</v>
      </c>
      <c r="J38" s="31">
        <v>3.0</v>
      </c>
      <c r="K38" s="31">
        <v>5.0</v>
      </c>
      <c r="L38" s="31">
        <v>5.0</v>
      </c>
      <c r="M38" s="31">
        <v>5.0</v>
      </c>
      <c r="N38" s="31">
        <v>5.0</v>
      </c>
      <c r="O38" s="31">
        <v>4.0</v>
      </c>
      <c r="P38" s="31">
        <v>4.0</v>
      </c>
      <c r="Q38" s="31">
        <v>4.0</v>
      </c>
      <c r="R38" s="31">
        <v>5.0</v>
      </c>
      <c r="S38" s="31">
        <v>4.0</v>
      </c>
      <c r="T38" s="31">
        <v>5.0</v>
      </c>
      <c r="U38" s="31">
        <v>4.0</v>
      </c>
      <c r="V38" s="31">
        <v>4.0</v>
      </c>
      <c r="W38" s="31">
        <v>3.0</v>
      </c>
      <c r="X38" s="31">
        <v>3.0</v>
      </c>
      <c r="Y38" s="31">
        <v>4.0</v>
      </c>
      <c r="Z38" s="31">
        <v>4.0</v>
      </c>
      <c r="AA38" s="31">
        <v>4.0</v>
      </c>
      <c r="AB38" s="31">
        <v>4.0</v>
      </c>
      <c r="AC38" s="31">
        <v>4.0</v>
      </c>
      <c r="AD38" s="31">
        <v>5.0</v>
      </c>
      <c r="AE38" s="31">
        <v>5.0</v>
      </c>
      <c r="AF38" s="31">
        <v>4.0</v>
      </c>
      <c r="AG38" s="31">
        <v>3.0</v>
      </c>
      <c r="AH38" s="31">
        <v>3.0</v>
      </c>
      <c r="AI38" s="31">
        <v>4.0</v>
      </c>
      <c r="AJ38" s="31">
        <v>3.0</v>
      </c>
      <c r="AK38" s="31">
        <v>4.0</v>
      </c>
      <c r="AL38" s="31">
        <v>3.0</v>
      </c>
      <c r="AM38" s="30">
        <v>1.0</v>
      </c>
      <c r="AN38" s="31">
        <v>4.0</v>
      </c>
      <c r="AO38" s="31">
        <v>5.0</v>
      </c>
      <c r="AP38" s="31">
        <v>4.0</v>
      </c>
      <c r="AQ38" s="31">
        <v>4.0</v>
      </c>
      <c r="AR38" s="31">
        <v>3.0</v>
      </c>
      <c r="AS38" s="31">
        <v>3.0</v>
      </c>
      <c r="AT38" s="31">
        <v>3.0</v>
      </c>
      <c r="AU38" s="31">
        <v>3.0</v>
      </c>
      <c r="AV38" s="31">
        <v>5.0</v>
      </c>
      <c r="AW38" s="32">
        <f t="shared" si="2"/>
        <v>121</v>
      </c>
      <c r="AX38" s="33">
        <f t="shared" si="1"/>
        <v>0.1037081103</v>
      </c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</row>
    <row r="39">
      <c r="A39" s="29" t="s">
        <v>98</v>
      </c>
      <c r="B39" s="31">
        <v>3.0</v>
      </c>
      <c r="C39" s="31">
        <v>3.0</v>
      </c>
      <c r="D39" s="31">
        <v>3.0</v>
      </c>
      <c r="E39" s="31">
        <v>3.0</v>
      </c>
      <c r="F39" s="31">
        <v>3.0</v>
      </c>
      <c r="G39" s="31">
        <v>3.0</v>
      </c>
      <c r="H39" s="31">
        <v>2.0</v>
      </c>
      <c r="I39" s="31">
        <v>3.0</v>
      </c>
      <c r="J39" s="31">
        <v>5.0</v>
      </c>
      <c r="K39" s="31">
        <v>2.0</v>
      </c>
      <c r="L39" s="31">
        <v>4.0</v>
      </c>
      <c r="M39" s="31">
        <v>3.0</v>
      </c>
      <c r="N39" s="31">
        <v>2.0</v>
      </c>
      <c r="O39" s="31">
        <v>3.0</v>
      </c>
      <c r="P39" s="31">
        <v>4.0</v>
      </c>
      <c r="Q39" s="31">
        <v>4.0</v>
      </c>
      <c r="R39" s="31">
        <v>3.0</v>
      </c>
      <c r="S39" s="31">
        <v>3.0</v>
      </c>
      <c r="T39" s="31">
        <v>2.0</v>
      </c>
      <c r="U39" s="31">
        <v>3.0</v>
      </c>
      <c r="V39" s="31">
        <v>4.0</v>
      </c>
      <c r="W39" s="31">
        <v>4.0</v>
      </c>
      <c r="X39" s="31">
        <v>3.0</v>
      </c>
      <c r="Y39" s="31">
        <v>4.0</v>
      </c>
      <c r="Z39" s="31">
        <v>3.0</v>
      </c>
      <c r="AA39" s="31">
        <v>2.0</v>
      </c>
      <c r="AB39" s="31">
        <v>3.0</v>
      </c>
      <c r="AC39" s="31">
        <v>2.0</v>
      </c>
      <c r="AD39" s="31">
        <v>4.0</v>
      </c>
      <c r="AE39" s="31">
        <v>4.0</v>
      </c>
      <c r="AF39" s="31">
        <v>3.0</v>
      </c>
      <c r="AG39" s="31">
        <v>3.0</v>
      </c>
      <c r="AH39" s="31">
        <v>2.0</v>
      </c>
      <c r="AI39" s="31">
        <v>3.0</v>
      </c>
      <c r="AJ39" s="31">
        <v>4.0</v>
      </c>
      <c r="AK39" s="31">
        <v>3.0</v>
      </c>
      <c r="AL39" s="31">
        <v>5.0</v>
      </c>
      <c r="AM39" s="31">
        <v>3.0</v>
      </c>
      <c r="AN39" s="30">
        <v>1.0</v>
      </c>
      <c r="AO39" s="31">
        <v>5.0</v>
      </c>
      <c r="AP39" s="31">
        <v>3.0</v>
      </c>
      <c r="AQ39" s="31">
        <v>4.0</v>
      </c>
      <c r="AR39" s="31">
        <v>3.0</v>
      </c>
      <c r="AS39" s="31">
        <v>5.0</v>
      </c>
      <c r="AT39" s="31">
        <v>3.0</v>
      </c>
      <c r="AU39" s="31">
        <v>2.0</v>
      </c>
      <c r="AV39" s="31">
        <v>2.0</v>
      </c>
      <c r="AW39" s="32">
        <f t="shared" si="2"/>
        <v>102</v>
      </c>
      <c r="AX39" s="33">
        <f t="shared" si="1"/>
        <v>-0.06960142772</v>
      </c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</row>
    <row r="40">
      <c r="A40" s="29" t="s">
        <v>99</v>
      </c>
      <c r="B40" s="31">
        <v>4.0</v>
      </c>
      <c r="C40" s="31">
        <v>3.0</v>
      </c>
      <c r="D40" s="31">
        <v>4.0</v>
      </c>
      <c r="E40" s="31">
        <v>5.0</v>
      </c>
      <c r="F40" s="31">
        <v>4.0</v>
      </c>
      <c r="G40" s="31">
        <v>3.0</v>
      </c>
      <c r="H40" s="31">
        <v>3.0</v>
      </c>
      <c r="I40" s="31">
        <v>3.0</v>
      </c>
      <c r="J40" s="31">
        <v>3.0</v>
      </c>
      <c r="K40" s="31">
        <v>3.0</v>
      </c>
      <c r="L40" s="31">
        <v>3.0</v>
      </c>
      <c r="M40" s="31">
        <v>3.0</v>
      </c>
      <c r="N40" s="31">
        <v>3.0</v>
      </c>
      <c r="O40" s="31">
        <v>4.0</v>
      </c>
      <c r="P40" s="31">
        <v>3.0</v>
      </c>
      <c r="Q40" s="31">
        <v>3.0</v>
      </c>
      <c r="R40" s="31">
        <v>3.0</v>
      </c>
      <c r="S40" s="31">
        <v>3.0</v>
      </c>
      <c r="T40" s="31">
        <v>3.0</v>
      </c>
      <c r="U40" s="31">
        <v>3.0</v>
      </c>
      <c r="V40" s="31">
        <v>4.0</v>
      </c>
      <c r="W40" s="31">
        <v>3.0</v>
      </c>
      <c r="X40" s="31">
        <v>3.0</v>
      </c>
      <c r="Y40" s="31">
        <v>3.0</v>
      </c>
      <c r="Z40" s="31">
        <v>4.0</v>
      </c>
      <c r="AA40" s="31">
        <v>3.0</v>
      </c>
      <c r="AB40" s="31">
        <v>4.0</v>
      </c>
      <c r="AC40" s="31">
        <v>3.0</v>
      </c>
      <c r="AD40" s="31">
        <v>3.0</v>
      </c>
      <c r="AE40" s="31">
        <v>3.0</v>
      </c>
      <c r="AF40" s="31">
        <v>3.0</v>
      </c>
      <c r="AG40" s="31">
        <v>3.0</v>
      </c>
      <c r="AH40" s="31">
        <v>4.0</v>
      </c>
      <c r="AI40" s="31">
        <v>5.0</v>
      </c>
      <c r="AJ40" s="31">
        <v>4.0</v>
      </c>
      <c r="AK40" s="31">
        <v>5.0</v>
      </c>
      <c r="AL40" s="31">
        <v>3.0</v>
      </c>
      <c r="AM40" s="31">
        <v>3.0</v>
      </c>
      <c r="AN40" s="31">
        <v>3.0</v>
      </c>
      <c r="AO40" s="30">
        <v>1.0</v>
      </c>
      <c r="AP40" s="31">
        <v>3.0</v>
      </c>
      <c r="AQ40" s="31">
        <v>3.0</v>
      </c>
      <c r="AR40" s="31">
        <v>4.0</v>
      </c>
      <c r="AS40" s="31">
        <v>4.0</v>
      </c>
      <c r="AT40" s="31">
        <v>4.0</v>
      </c>
      <c r="AU40" s="31">
        <v>3.0</v>
      </c>
      <c r="AV40" s="31">
        <v>3.0</v>
      </c>
      <c r="AW40" s="32">
        <f t="shared" si="2"/>
        <v>106</v>
      </c>
      <c r="AX40" s="33">
        <f t="shared" si="1"/>
        <v>-0.0331152092</v>
      </c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</row>
    <row r="41">
      <c r="A41" s="29" t="s">
        <v>100</v>
      </c>
      <c r="B41" s="31">
        <v>3.0</v>
      </c>
      <c r="C41" s="31">
        <v>3.0</v>
      </c>
      <c r="D41" s="31">
        <v>3.0</v>
      </c>
      <c r="E41" s="31">
        <v>3.0</v>
      </c>
      <c r="F41" s="31">
        <v>4.0</v>
      </c>
      <c r="G41" s="31">
        <v>3.0</v>
      </c>
      <c r="H41" s="31">
        <v>1.0</v>
      </c>
      <c r="I41" s="31">
        <v>3.0</v>
      </c>
      <c r="J41" s="31">
        <v>4.0</v>
      </c>
      <c r="K41" s="31">
        <v>3.0</v>
      </c>
      <c r="L41" s="31">
        <v>1.0</v>
      </c>
      <c r="M41" s="31">
        <v>1.0</v>
      </c>
      <c r="N41" s="31">
        <v>3.0</v>
      </c>
      <c r="O41" s="31">
        <v>1.0</v>
      </c>
      <c r="P41" s="31">
        <v>4.0</v>
      </c>
      <c r="Q41" s="31">
        <v>3.0</v>
      </c>
      <c r="R41" s="31">
        <v>5.0</v>
      </c>
      <c r="S41" s="31">
        <v>4.0</v>
      </c>
      <c r="T41" s="31">
        <v>3.0</v>
      </c>
      <c r="U41" s="31">
        <v>4.0</v>
      </c>
      <c r="V41" s="31">
        <v>3.0</v>
      </c>
      <c r="W41" s="31">
        <v>3.0</v>
      </c>
      <c r="X41" s="31">
        <v>4.0</v>
      </c>
      <c r="Y41" s="31">
        <v>3.0</v>
      </c>
      <c r="Z41" s="31">
        <v>3.0</v>
      </c>
      <c r="AA41" s="31">
        <v>3.0</v>
      </c>
      <c r="AB41" s="31">
        <v>3.0</v>
      </c>
      <c r="AC41" s="31">
        <v>4.0</v>
      </c>
      <c r="AD41" s="31">
        <v>2.0</v>
      </c>
      <c r="AE41" s="31">
        <v>2.0</v>
      </c>
      <c r="AF41" s="31">
        <v>2.0</v>
      </c>
      <c r="AG41" s="31">
        <v>4.0</v>
      </c>
      <c r="AH41" s="31">
        <v>4.0</v>
      </c>
      <c r="AI41" s="31">
        <v>3.0</v>
      </c>
      <c r="AJ41" s="31">
        <v>3.0</v>
      </c>
      <c r="AK41" s="36">
        <v>3.0</v>
      </c>
      <c r="AL41" s="31">
        <v>5.0</v>
      </c>
      <c r="AM41" s="31">
        <v>3.0</v>
      </c>
      <c r="AN41" s="31">
        <v>2.0</v>
      </c>
      <c r="AO41" s="31">
        <v>3.0</v>
      </c>
      <c r="AP41" s="30">
        <v>1.0</v>
      </c>
      <c r="AQ41" s="31">
        <v>1.0</v>
      </c>
      <c r="AR41" s="31">
        <v>1.0</v>
      </c>
      <c r="AS41" s="31">
        <v>4.0</v>
      </c>
      <c r="AT41" s="31">
        <v>3.0</v>
      </c>
      <c r="AU41" s="31">
        <v>3.0</v>
      </c>
      <c r="AV41" s="31">
        <v>4.0</v>
      </c>
      <c r="AW41" s="32">
        <f t="shared" si="2"/>
        <v>98</v>
      </c>
      <c r="AX41" s="33">
        <f t="shared" si="1"/>
        <v>-0.1060876462</v>
      </c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</row>
    <row r="42">
      <c r="A42" s="29" t="s">
        <v>101</v>
      </c>
      <c r="B42" s="31">
        <v>3.0</v>
      </c>
      <c r="C42" s="31">
        <v>3.0</v>
      </c>
      <c r="D42" s="31">
        <v>4.0</v>
      </c>
      <c r="E42" s="31">
        <v>5.0</v>
      </c>
      <c r="F42" s="31">
        <v>4.0</v>
      </c>
      <c r="G42" s="31">
        <v>3.0</v>
      </c>
      <c r="H42" s="31">
        <v>3.0</v>
      </c>
      <c r="I42" s="31">
        <v>3.0</v>
      </c>
      <c r="J42" s="31">
        <v>5.0</v>
      </c>
      <c r="K42" s="31">
        <v>4.0</v>
      </c>
      <c r="L42" s="31">
        <v>4.0</v>
      </c>
      <c r="M42" s="31">
        <v>5.0</v>
      </c>
      <c r="N42" s="31">
        <v>4.0</v>
      </c>
      <c r="O42" s="31">
        <v>5.0</v>
      </c>
      <c r="P42" s="31">
        <v>3.0</v>
      </c>
      <c r="Q42" s="31">
        <v>3.0</v>
      </c>
      <c r="R42" s="31">
        <v>4.0</v>
      </c>
      <c r="S42" s="31">
        <v>5.0</v>
      </c>
      <c r="T42" s="31">
        <v>4.0</v>
      </c>
      <c r="U42" s="31">
        <v>3.0</v>
      </c>
      <c r="V42" s="31">
        <v>5.0</v>
      </c>
      <c r="W42" s="31">
        <v>4.0</v>
      </c>
      <c r="X42" s="31">
        <v>4.0</v>
      </c>
      <c r="Y42" s="31">
        <v>5.0</v>
      </c>
      <c r="Z42" s="31">
        <v>5.0</v>
      </c>
      <c r="AA42" s="31">
        <v>4.0</v>
      </c>
      <c r="AB42" s="31">
        <v>5.0</v>
      </c>
      <c r="AC42" s="31">
        <v>5.0</v>
      </c>
      <c r="AD42" s="31">
        <v>4.0</v>
      </c>
      <c r="AE42" s="31">
        <v>4.0</v>
      </c>
      <c r="AF42" s="31">
        <v>5.0</v>
      </c>
      <c r="AG42" s="31">
        <v>4.0</v>
      </c>
      <c r="AH42" s="31">
        <v>3.0</v>
      </c>
      <c r="AI42" s="31">
        <v>4.0</v>
      </c>
      <c r="AJ42" s="31">
        <v>4.0</v>
      </c>
      <c r="AK42" s="31">
        <v>5.0</v>
      </c>
      <c r="AL42" s="31">
        <v>4.0</v>
      </c>
      <c r="AM42" s="31">
        <v>3.0</v>
      </c>
      <c r="AN42" s="31">
        <v>3.0</v>
      </c>
      <c r="AO42" s="31">
        <v>5.0</v>
      </c>
      <c r="AP42" s="31">
        <v>3.0</v>
      </c>
      <c r="AQ42" s="30">
        <v>1.0</v>
      </c>
      <c r="AR42" s="31">
        <v>4.0</v>
      </c>
      <c r="AS42" s="31">
        <v>4.0</v>
      </c>
      <c r="AT42" s="31">
        <v>4.0</v>
      </c>
      <c r="AU42" s="31">
        <v>3.0</v>
      </c>
      <c r="AV42" s="31">
        <v>4.0</v>
      </c>
      <c r="AW42" s="32">
        <f t="shared" si="2"/>
        <v>127</v>
      </c>
      <c r="AX42" s="33">
        <f t="shared" si="1"/>
        <v>0.158437438</v>
      </c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</row>
    <row r="43">
      <c r="A43" s="29" t="s">
        <v>102</v>
      </c>
      <c r="B43" s="31">
        <v>3.0</v>
      </c>
      <c r="C43" s="31">
        <v>2.0</v>
      </c>
      <c r="D43" s="31">
        <v>4.0</v>
      </c>
      <c r="E43" s="31">
        <v>4.0</v>
      </c>
      <c r="F43" s="31">
        <v>3.0</v>
      </c>
      <c r="G43" s="31">
        <v>2.0</v>
      </c>
      <c r="H43" s="31">
        <v>2.0</v>
      </c>
      <c r="I43" s="31">
        <v>2.0</v>
      </c>
      <c r="J43" s="31">
        <v>3.0</v>
      </c>
      <c r="K43" s="31">
        <v>3.0</v>
      </c>
      <c r="L43" s="31">
        <v>3.0</v>
      </c>
      <c r="M43" s="31">
        <v>2.0</v>
      </c>
      <c r="N43" s="31">
        <v>2.0</v>
      </c>
      <c r="O43" s="31">
        <v>5.0</v>
      </c>
      <c r="P43" s="31">
        <v>2.0</v>
      </c>
      <c r="Q43" s="31">
        <v>3.0</v>
      </c>
      <c r="R43" s="31">
        <v>2.0</v>
      </c>
      <c r="S43" s="31">
        <v>2.0</v>
      </c>
      <c r="T43" s="31">
        <v>2.0</v>
      </c>
      <c r="U43" s="31">
        <v>2.0</v>
      </c>
      <c r="V43" s="31">
        <v>3.0</v>
      </c>
      <c r="W43" s="31">
        <v>3.0</v>
      </c>
      <c r="X43" s="31">
        <v>4.0</v>
      </c>
      <c r="Y43" s="31">
        <v>4.0</v>
      </c>
      <c r="Z43" s="31">
        <v>4.0</v>
      </c>
      <c r="AA43" s="31">
        <v>2.0</v>
      </c>
      <c r="AB43" s="31">
        <v>4.0</v>
      </c>
      <c r="AC43" s="31">
        <v>4.0</v>
      </c>
      <c r="AD43" s="31">
        <v>4.0</v>
      </c>
      <c r="AE43" s="31">
        <v>3.0</v>
      </c>
      <c r="AF43" s="31">
        <v>2.0</v>
      </c>
      <c r="AG43" s="31">
        <v>3.0</v>
      </c>
      <c r="AH43" s="31">
        <v>3.0</v>
      </c>
      <c r="AI43" s="31">
        <v>5.0</v>
      </c>
      <c r="AJ43" s="31">
        <v>3.0</v>
      </c>
      <c r="AK43" s="31">
        <v>4.0</v>
      </c>
      <c r="AL43" s="31">
        <v>5.0</v>
      </c>
      <c r="AM43" s="31">
        <v>2.0</v>
      </c>
      <c r="AN43" s="31">
        <v>3.0</v>
      </c>
      <c r="AO43" s="31">
        <v>4.0</v>
      </c>
      <c r="AP43" s="31">
        <v>2.0</v>
      </c>
      <c r="AQ43" s="31">
        <v>4.0</v>
      </c>
      <c r="AR43" s="30">
        <v>1.0</v>
      </c>
      <c r="AS43" s="31">
        <v>3.0</v>
      </c>
      <c r="AT43" s="31">
        <v>3.0</v>
      </c>
      <c r="AU43" s="31">
        <v>2.0</v>
      </c>
      <c r="AV43" s="31">
        <v>3.0</v>
      </c>
      <c r="AW43" s="32">
        <f t="shared" si="2"/>
        <v>98</v>
      </c>
      <c r="AX43" s="33">
        <f t="shared" si="1"/>
        <v>-0.1060876462</v>
      </c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</row>
    <row r="44">
      <c r="A44" s="29" t="s">
        <v>103</v>
      </c>
      <c r="B44" s="31">
        <v>3.0</v>
      </c>
      <c r="C44" s="31">
        <v>2.0</v>
      </c>
      <c r="D44" s="31">
        <v>3.0</v>
      </c>
      <c r="E44" s="31">
        <v>5.0</v>
      </c>
      <c r="F44" s="31">
        <v>4.0</v>
      </c>
      <c r="G44" s="31">
        <v>3.0</v>
      </c>
      <c r="H44" s="31">
        <v>2.0</v>
      </c>
      <c r="I44" s="31">
        <v>3.0</v>
      </c>
      <c r="J44" s="31">
        <v>5.0</v>
      </c>
      <c r="K44" s="31">
        <v>3.0</v>
      </c>
      <c r="L44" s="31">
        <v>4.0</v>
      </c>
      <c r="M44" s="31">
        <v>4.0</v>
      </c>
      <c r="N44" s="31">
        <v>4.0</v>
      </c>
      <c r="O44" s="31">
        <v>4.0</v>
      </c>
      <c r="P44" s="31">
        <v>4.0</v>
      </c>
      <c r="Q44" s="31">
        <v>3.0</v>
      </c>
      <c r="R44" s="31">
        <v>4.0</v>
      </c>
      <c r="S44" s="31">
        <v>4.0</v>
      </c>
      <c r="T44" s="31">
        <v>3.0</v>
      </c>
      <c r="U44" s="31">
        <v>3.0</v>
      </c>
      <c r="V44" s="31">
        <v>4.0</v>
      </c>
      <c r="W44" s="31">
        <v>5.0</v>
      </c>
      <c r="X44" s="31">
        <v>5.0</v>
      </c>
      <c r="Y44" s="31">
        <v>4.0</v>
      </c>
      <c r="Z44" s="31">
        <v>4.0</v>
      </c>
      <c r="AA44" s="31">
        <v>3.0</v>
      </c>
      <c r="AB44" s="31">
        <v>5.0</v>
      </c>
      <c r="AC44" s="31">
        <v>5.0</v>
      </c>
      <c r="AD44" s="31">
        <v>5.0</v>
      </c>
      <c r="AE44" s="31">
        <v>4.0</v>
      </c>
      <c r="AF44" s="31">
        <v>4.0</v>
      </c>
      <c r="AG44" s="31">
        <v>3.0</v>
      </c>
      <c r="AH44" s="31">
        <v>4.0</v>
      </c>
      <c r="AI44" s="31">
        <v>5.0</v>
      </c>
      <c r="AJ44" s="31">
        <v>3.0</v>
      </c>
      <c r="AK44" s="31">
        <v>5.0</v>
      </c>
      <c r="AL44" s="31">
        <v>3.0</v>
      </c>
      <c r="AM44" s="31">
        <v>2.0</v>
      </c>
      <c r="AN44" s="31">
        <v>3.0</v>
      </c>
      <c r="AO44" s="31">
        <v>5.0</v>
      </c>
      <c r="AP44" s="31">
        <v>4.0</v>
      </c>
      <c r="AQ44" s="31">
        <v>5.0</v>
      </c>
      <c r="AR44" s="31">
        <v>4.0</v>
      </c>
      <c r="AS44" s="30">
        <v>1.0</v>
      </c>
      <c r="AT44" s="31">
        <v>5.0</v>
      </c>
      <c r="AU44" s="31">
        <v>2.0</v>
      </c>
      <c r="AV44" s="31">
        <v>5.0</v>
      </c>
      <c r="AW44" s="32">
        <f t="shared" si="2"/>
        <v>124</v>
      </c>
      <c r="AX44" s="33">
        <f t="shared" si="1"/>
        <v>0.1310727741</v>
      </c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</row>
    <row r="45">
      <c r="A45" s="29" t="s">
        <v>104</v>
      </c>
      <c r="B45" s="31">
        <v>3.0</v>
      </c>
      <c r="C45" s="31">
        <v>3.0</v>
      </c>
      <c r="D45" s="31">
        <v>4.0</v>
      </c>
      <c r="E45" s="31">
        <v>4.0</v>
      </c>
      <c r="F45" s="31">
        <v>3.0</v>
      </c>
      <c r="G45" s="31">
        <v>3.0</v>
      </c>
      <c r="H45" s="31">
        <v>2.0</v>
      </c>
      <c r="I45" s="31">
        <v>3.0</v>
      </c>
      <c r="J45" s="31">
        <v>5.0</v>
      </c>
      <c r="K45" s="31">
        <v>3.0</v>
      </c>
      <c r="L45" s="31">
        <v>5.0</v>
      </c>
      <c r="M45" s="31">
        <v>3.0</v>
      </c>
      <c r="N45" s="31">
        <v>3.0</v>
      </c>
      <c r="O45" s="31">
        <v>4.0</v>
      </c>
      <c r="P45" s="31">
        <v>3.0</v>
      </c>
      <c r="Q45" s="31">
        <v>4.0</v>
      </c>
      <c r="R45" s="31">
        <v>4.0</v>
      </c>
      <c r="S45" s="31">
        <v>4.0</v>
      </c>
      <c r="T45" s="31">
        <v>3.0</v>
      </c>
      <c r="U45" s="31">
        <v>4.0</v>
      </c>
      <c r="V45" s="31">
        <v>4.0</v>
      </c>
      <c r="W45" s="31">
        <v>3.0</v>
      </c>
      <c r="X45" s="31">
        <v>5.0</v>
      </c>
      <c r="Y45" s="31">
        <v>4.0</v>
      </c>
      <c r="Z45" s="31">
        <v>4.0</v>
      </c>
      <c r="AA45" s="31">
        <v>3.0</v>
      </c>
      <c r="AB45" s="31">
        <v>4.0</v>
      </c>
      <c r="AC45" s="31">
        <v>5.0</v>
      </c>
      <c r="AD45" s="31">
        <v>4.0</v>
      </c>
      <c r="AE45" s="31">
        <v>4.0</v>
      </c>
      <c r="AF45" s="31">
        <v>3.0</v>
      </c>
      <c r="AG45" s="31">
        <v>4.0</v>
      </c>
      <c r="AH45" s="31">
        <v>3.0</v>
      </c>
      <c r="AI45" s="31">
        <v>5.0</v>
      </c>
      <c r="AJ45" s="31">
        <v>3.0</v>
      </c>
      <c r="AK45" s="31">
        <v>4.0</v>
      </c>
      <c r="AL45" s="31">
        <v>5.0</v>
      </c>
      <c r="AM45" s="31">
        <v>4.0</v>
      </c>
      <c r="AN45" s="31">
        <v>3.0</v>
      </c>
      <c r="AO45" s="31">
        <v>5.0</v>
      </c>
      <c r="AP45" s="31">
        <v>3.0</v>
      </c>
      <c r="AQ45" s="31">
        <v>4.0</v>
      </c>
      <c r="AR45" s="31">
        <v>5.0</v>
      </c>
      <c r="AS45" s="31">
        <v>4.0</v>
      </c>
      <c r="AT45" s="30">
        <v>1.0</v>
      </c>
      <c r="AU45" s="31">
        <v>3.0</v>
      </c>
      <c r="AV45" s="31">
        <v>4.0</v>
      </c>
      <c r="AW45" s="32">
        <f t="shared" si="2"/>
        <v>122</v>
      </c>
      <c r="AX45" s="33">
        <f t="shared" si="1"/>
        <v>0.1128296649</v>
      </c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</row>
    <row r="46">
      <c r="A46" s="29" t="s">
        <v>105</v>
      </c>
      <c r="B46" s="31">
        <v>4.0</v>
      </c>
      <c r="C46" s="31">
        <v>1.0</v>
      </c>
      <c r="D46" s="31">
        <v>3.0</v>
      </c>
      <c r="E46" s="31">
        <v>4.0</v>
      </c>
      <c r="F46" s="31">
        <v>5.0</v>
      </c>
      <c r="G46" s="31">
        <v>4.0</v>
      </c>
      <c r="H46" s="31">
        <v>1.0</v>
      </c>
      <c r="I46" s="31">
        <v>4.0</v>
      </c>
      <c r="J46" s="31">
        <v>3.0</v>
      </c>
      <c r="K46" s="31">
        <v>1.0</v>
      </c>
      <c r="L46" s="31">
        <v>1.0</v>
      </c>
      <c r="M46" s="31">
        <v>1.0</v>
      </c>
      <c r="N46" s="31">
        <v>2.0</v>
      </c>
      <c r="O46" s="31">
        <v>3.0</v>
      </c>
      <c r="P46" s="31">
        <v>2.0</v>
      </c>
      <c r="Q46" s="31">
        <v>2.0</v>
      </c>
      <c r="R46" s="31">
        <v>1.0</v>
      </c>
      <c r="S46" s="31">
        <v>4.0</v>
      </c>
      <c r="T46" s="31">
        <v>1.0</v>
      </c>
      <c r="U46" s="31">
        <v>2.0</v>
      </c>
      <c r="V46" s="31">
        <v>1.0</v>
      </c>
      <c r="W46" s="31">
        <v>2.0</v>
      </c>
      <c r="X46" s="31">
        <v>3.0</v>
      </c>
      <c r="Y46" s="31">
        <v>4.0</v>
      </c>
      <c r="Z46" s="31">
        <v>1.0</v>
      </c>
      <c r="AA46" s="31">
        <v>1.0</v>
      </c>
      <c r="AB46" s="31">
        <v>1.0</v>
      </c>
      <c r="AC46" s="31">
        <v>1.0</v>
      </c>
      <c r="AD46" s="31">
        <v>3.0</v>
      </c>
      <c r="AE46" s="31">
        <v>2.0</v>
      </c>
      <c r="AF46" s="31">
        <v>1.0</v>
      </c>
      <c r="AG46" s="31">
        <v>1.0</v>
      </c>
      <c r="AH46" s="31">
        <v>1.0</v>
      </c>
      <c r="AI46" s="31">
        <v>3.0</v>
      </c>
      <c r="AJ46" s="31">
        <v>3.0</v>
      </c>
      <c r="AK46" s="31">
        <v>3.0</v>
      </c>
      <c r="AL46" s="31">
        <v>3.0</v>
      </c>
      <c r="AM46" s="31">
        <v>1.0</v>
      </c>
      <c r="AN46" s="31">
        <v>3.0</v>
      </c>
      <c r="AO46" s="31">
        <v>3.0</v>
      </c>
      <c r="AP46" s="31">
        <v>2.0</v>
      </c>
      <c r="AQ46" s="31">
        <v>3.0</v>
      </c>
      <c r="AR46" s="31">
        <v>3.0</v>
      </c>
      <c r="AS46" s="31">
        <v>2.0</v>
      </c>
      <c r="AT46" s="31">
        <v>1.0</v>
      </c>
      <c r="AU46" s="30">
        <v>1.0</v>
      </c>
      <c r="AV46" s="31">
        <v>2.0</v>
      </c>
      <c r="AW46" s="32">
        <f t="shared" si="2"/>
        <v>65</v>
      </c>
      <c r="AX46" s="33">
        <f t="shared" si="1"/>
        <v>-0.407098949</v>
      </c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</row>
    <row r="47">
      <c r="A47" s="29" t="s">
        <v>106</v>
      </c>
      <c r="B47" s="31">
        <v>3.0</v>
      </c>
      <c r="C47" s="31">
        <v>2.0</v>
      </c>
      <c r="D47" s="31">
        <v>3.0</v>
      </c>
      <c r="E47" s="31">
        <v>5.0</v>
      </c>
      <c r="F47" s="31">
        <v>4.0</v>
      </c>
      <c r="G47" s="31">
        <v>3.0</v>
      </c>
      <c r="H47" s="31">
        <v>2.0</v>
      </c>
      <c r="I47" s="31">
        <v>2.0</v>
      </c>
      <c r="J47" s="31">
        <v>4.0</v>
      </c>
      <c r="K47" s="31">
        <v>4.0</v>
      </c>
      <c r="L47" s="31">
        <v>5.0</v>
      </c>
      <c r="M47" s="31">
        <v>4.0</v>
      </c>
      <c r="N47" s="31">
        <v>2.0</v>
      </c>
      <c r="O47" s="31">
        <v>5.0</v>
      </c>
      <c r="P47" s="31">
        <v>4.0</v>
      </c>
      <c r="Q47" s="31">
        <v>3.0</v>
      </c>
      <c r="R47" s="31">
        <v>5.0</v>
      </c>
      <c r="S47" s="31">
        <v>5.0</v>
      </c>
      <c r="T47" s="31">
        <v>2.0</v>
      </c>
      <c r="U47" s="31">
        <v>4.0</v>
      </c>
      <c r="V47" s="31">
        <v>4.0</v>
      </c>
      <c r="W47" s="31">
        <v>3.0</v>
      </c>
      <c r="X47" s="31">
        <v>5.0</v>
      </c>
      <c r="Y47" s="31">
        <v>4.0</v>
      </c>
      <c r="Z47" s="31">
        <v>5.0</v>
      </c>
      <c r="AA47" s="31">
        <v>4.0</v>
      </c>
      <c r="AB47" s="31">
        <v>4.0</v>
      </c>
      <c r="AC47" s="31">
        <v>4.0</v>
      </c>
      <c r="AD47" s="31">
        <v>4.0</v>
      </c>
      <c r="AE47" s="31">
        <v>4.0</v>
      </c>
      <c r="AF47" s="31">
        <v>4.0</v>
      </c>
      <c r="AG47" s="31">
        <v>4.0</v>
      </c>
      <c r="AH47" s="31">
        <v>2.0</v>
      </c>
      <c r="AI47" s="31">
        <v>5.0</v>
      </c>
      <c r="AJ47" s="31">
        <v>3.0</v>
      </c>
      <c r="AK47" s="31">
        <v>4.0</v>
      </c>
      <c r="AL47" s="31">
        <v>4.0</v>
      </c>
      <c r="AM47" s="31">
        <v>3.0</v>
      </c>
      <c r="AN47" s="31">
        <v>3.0</v>
      </c>
      <c r="AO47" s="31">
        <v>5.0</v>
      </c>
      <c r="AP47" s="31">
        <v>3.0</v>
      </c>
      <c r="AQ47" s="31">
        <v>4.0</v>
      </c>
      <c r="AR47" s="31">
        <v>4.0</v>
      </c>
      <c r="AS47" s="31">
        <v>3.0</v>
      </c>
      <c r="AT47" s="31">
        <v>3.0</v>
      </c>
      <c r="AU47" s="31">
        <v>3.0</v>
      </c>
      <c r="AV47" s="30">
        <v>1.0</v>
      </c>
      <c r="AW47" s="32">
        <f t="shared" si="2"/>
        <v>118</v>
      </c>
      <c r="AX47" s="33">
        <f t="shared" si="1"/>
        <v>0.07634344636</v>
      </c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</row>
    <row r="48">
      <c r="A48" s="37" t="s">
        <v>1</v>
      </c>
      <c r="B48" s="38">
        <f t="shared" ref="B48:AV48" si="3">SUM(B2:B47)</f>
        <v>132</v>
      </c>
      <c r="C48" s="38">
        <f t="shared" si="3"/>
        <v>113</v>
      </c>
      <c r="D48" s="38">
        <f t="shared" si="3"/>
        <v>154</v>
      </c>
      <c r="E48" s="38">
        <f t="shared" si="3"/>
        <v>169</v>
      </c>
      <c r="F48" s="38">
        <f t="shared" si="3"/>
        <v>147</v>
      </c>
      <c r="G48" s="38">
        <f t="shared" si="3"/>
        <v>134</v>
      </c>
      <c r="H48" s="38">
        <f t="shared" si="3"/>
        <v>94</v>
      </c>
      <c r="I48" s="38">
        <f t="shared" si="3"/>
        <v>112</v>
      </c>
      <c r="J48" s="38">
        <f t="shared" si="3"/>
        <v>177</v>
      </c>
      <c r="K48" s="38">
        <f t="shared" si="3"/>
        <v>146</v>
      </c>
      <c r="L48" s="38">
        <f t="shared" si="3"/>
        <v>165</v>
      </c>
      <c r="M48" s="38">
        <f t="shared" si="3"/>
        <v>140</v>
      </c>
      <c r="N48" s="38">
        <f t="shared" si="3"/>
        <v>133</v>
      </c>
      <c r="O48" s="38">
        <f t="shared" si="3"/>
        <v>180</v>
      </c>
      <c r="P48" s="38">
        <f t="shared" si="3"/>
        <v>138</v>
      </c>
      <c r="Q48" s="38">
        <f t="shared" si="3"/>
        <v>157</v>
      </c>
      <c r="R48" s="38">
        <f t="shared" si="3"/>
        <v>153</v>
      </c>
      <c r="S48" s="38">
        <f t="shared" si="3"/>
        <v>161</v>
      </c>
      <c r="T48" s="38">
        <f t="shared" si="3"/>
        <v>118</v>
      </c>
      <c r="U48" s="38">
        <f t="shared" si="3"/>
        <v>148</v>
      </c>
      <c r="V48" s="38">
        <f t="shared" si="3"/>
        <v>164</v>
      </c>
      <c r="W48" s="38">
        <f t="shared" si="3"/>
        <v>141</v>
      </c>
      <c r="X48" s="38">
        <f t="shared" si="3"/>
        <v>178</v>
      </c>
      <c r="Y48" s="38">
        <f t="shared" si="3"/>
        <v>150</v>
      </c>
      <c r="Z48" s="38">
        <f t="shared" si="3"/>
        <v>162</v>
      </c>
      <c r="AA48" s="38">
        <f t="shared" si="3"/>
        <v>139</v>
      </c>
      <c r="AB48" s="38">
        <f t="shared" si="3"/>
        <v>176</v>
      </c>
      <c r="AC48" s="38">
        <f t="shared" si="3"/>
        <v>185</v>
      </c>
      <c r="AD48" s="38">
        <f t="shared" si="3"/>
        <v>164</v>
      </c>
      <c r="AE48" s="38">
        <f t="shared" si="3"/>
        <v>162</v>
      </c>
      <c r="AF48" s="38">
        <f t="shared" si="3"/>
        <v>144</v>
      </c>
      <c r="AG48" s="38">
        <f t="shared" si="3"/>
        <v>149</v>
      </c>
      <c r="AH48" s="38">
        <f t="shared" si="3"/>
        <v>141</v>
      </c>
      <c r="AI48" s="38">
        <f t="shared" si="3"/>
        <v>182</v>
      </c>
      <c r="AJ48" s="38">
        <f t="shared" si="3"/>
        <v>148</v>
      </c>
      <c r="AK48" s="38">
        <f t="shared" si="3"/>
        <v>189</v>
      </c>
      <c r="AL48" s="38">
        <f t="shared" si="3"/>
        <v>182</v>
      </c>
      <c r="AM48" s="38">
        <f t="shared" si="3"/>
        <v>120</v>
      </c>
      <c r="AN48" s="38">
        <f t="shared" si="3"/>
        <v>141</v>
      </c>
      <c r="AO48" s="38">
        <f t="shared" si="3"/>
        <v>183</v>
      </c>
      <c r="AP48" s="38">
        <f t="shared" si="3"/>
        <v>138</v>
      </c>
      <c r="AQ48" s="38">
        <f t="shared" si="3"/>
        <v>160</v>
      </c>
      <c r="AR48" s="38">
        <f t="shared" si="3"/>
        <v>177</v>
      </c>
      <c r="AS48" s="38">
        <f t="shared" si="3"/>
        <v>156</v>
      </c>
      <c r="AT48" s="38">
        <f t="shared" si="3"/>
        <v>145</v>
      </c>
      <c r="AU48" s="38">
        <f t="shared" si="3"/>
        <v>114</v>
      </c>
      <c r="AV48" s="38">
        <f t="shared" si="3"/>
        <v>175</v>
      </c>
      <c r="AW48" s="39" t="s">
        <v>107</v>
      </c>
      <c r="AX48" s="2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</row>
    <row r="49">
      <c r="A49" s="40" t="s">
        <v>2</v>
      </c>
      <c r="B49" s="41">
        <f t="shared" ref="B49:AV49" si="4">COUNTIF(B2:B47,5)</f>
        <v>0</v>
      </c>
      <c r="C49" s="41">
        <f t="shared" si="4"/>
        <v>0</v>
      </c>
      <c r="D49" s="41">
        <f t="shared" si="4"/>
        <v>2</v>
      </c>
      <c r="E49" s="41">
        <f t="shared" si="4"/>
        <v>10</v>
      </c>
      <c r="F49" s="41">
        <f t="shared" si="4"/>
        <v>5</v>
      </c>
      <c r="G49" s="41">
        <f t="shared" si="4"/>
        <v>2</v>
      </c>
      <c r="H49" s="41">
        <f t="shared" si="4"/>
        <v>0</v>
      </c>
      <c r="I49" s="41">
        <f t="shared" si="4"/>
        <v>0</v>
      </c>
      <c r="J49" s="41">
        <f t="shared" si="4"/>
        <v>16</v>
      </c>
      <c r="K49" s="41">
        <f t="shared" si="4"/>
        <v>2</v>
      </c>
      <c r="L49" s="41">
        <f t="shared" si="4"/>
        <v>11</v>
      </c>
      <c r="M49" s="41">
        <f t="shared" si="4"/>
        <v>5</v>
      </c>
      <c r="N49" s="41">
        <f t="shared" si="4"/>
        <v>2</v>
      </c>
      <c r="O49" s="41">
        <f t="shared" si="4"/>
        <v>16</v>
      </c>
      <c r="P49" s="41">
        <f t="shared" si="4"/>
        <v>2</v>
      </c>
      <c r="Q49" s="41">
        <f t="shared" si="4"/>
        <v>4</v>
      </c>
      <c r="R49" s="41">
        <f t="shared" si="4"/>
        <v>6</v>
      </c>
      <c r="S49" s="41">
        <f t="shared" si="4"/>
        <v>5</v>
      </c>
      <c r="T49" s="41">
        <f t="shared" si="4"/>
        <v>1</v>
      </c>
      <c r="U49" s="41">
        <f t="shared" si="4"/>
        <v>2</v>
      </c>
      <c r="V49" s="41">
        <f t="shared" si="4"/>
        <v>5</v>
      </c>
      <c r="W49" s="41">
        <f t="shared" si="4"/>
        <v>1</v>
      </c>
      <c r="X49" s="41">
        <f t="shared" si="4"/>
        <v>13</v>
      </c>
      <c r="Y49" s="41">
        <f t="shared" si="4"/>
        <v>5</v>
      </c>
      <c r="Z49" s="41">
        <f t="shared" si="4"/>
        <v>8</v>
      </c>
      <c r="AA49" s="41">
        <f t="shared" si="4"/>
        <v>2</v>
      </c>
      <c r="AB49" s="41">
        <f t="shared" si="4"/>
        <v>12</v>
      </c>
      <c r="AC49" s="41">
        <f t="shared" si="4"/>
        <v>16</v>
      </c>
      <c r="AD49" s="41">
        <f t="shared" si="4"/>
        <v>5</v>
      </c>
      <c r="AE49" s="41">
        <f t="shared" si="4"/>
        <v>6</v>
      </c>
      <c r="AF49" s="41">
        <f t="shared" si="4"/>
        <v>5</v>
      </c>
      <c r="AG49" s="41">
        <f t="shared" si="4"/>
        <v>1</v>
      </c>
      <c r="AH49" s="41">
        <f t="shared" si="4"/>
        <v>4</v>
      </c>
      <c r="AI49" s="41">
        <f t="shared" si="4"/>
        <v>17</v>
      </c>
      <c r="AJ49" s="41">
        <f t="shared" si="4"/>
        <v>1</v>
      </c>
      <c r="AK49" s="41">
        <f t="shared" si="4"/>
        <v>17</v>
      </c>
      <c r="AL49" s="41">
        <f t="shared" si="4"/>
        <v>17</v>
      </c>
      <c r="AM49" s="41">
        <f t="shared" si="4"/>
        <v>0</v>
      </c>
      <c r="AN49" s="41">
        <f t="shared" si="4"/>
        <v>1</v>
      </c>
      <c r="AO49" s="41">
        <f t="shared" si="4"/>
        <v>15</v>
      </c>
      <c r="AP49" s="41">
        <f t="shared" si="4"/>
        <v>1</v>
      </c>
      <c r="AQ49" s="41">
        <f t="shared" si="4"/>
        <v>8</v>
      </c>
      <c r="AR49" s="41">
        <f t="shared" si="4"/>
        <v>11</v>
      </c>
      <c r="AS49" s="41">
        <f t="shared" si="4"/>
        <v>3</v>
      </c>
      <c r="AT49" s="41">
        <f t="shared" si="4"/>
        <v>3</v>
      </c>
      <c r="AU49" s="41">
        <f t="shared" si="4"/>
        <v>1</v>
      </c>
      <c r="AV49" s="41">
        <f t="shared" si="4"/>
        <v>14</v>
      </c>
      <c r="AW49" s="42">
        <f t="shared" ref="AW49:AW53" si="6">SUM(B49:AV49)</f>
        <v>283</v>
      </c>
      <c r="AX49" s="43">
        <f t="shared" ref="AX49:AX54" si="7">AW49/$AW$54</f>
        <v>0.1308973173</v>
      </c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</row>
    <row r="50">
      <c r="A50" s="40" t="s">
        <v>3</v>
      </c>
      <c r="B50" s="41">
        <f t="shared" ref="B50:AV50" si="5">COUNTIF(B2:B47,4)</f>
        <v>4</v>
      </c>
      <c r="C50" s="41">
        <f t="shared" si="5"/>
        <v>2</v>
      </c>
      <c r="D50" s="41">
        <f t="shared" si="5"/>
        <v>18</v>
      </c>
      <c r="E50" s="41">
        <f t="shared" si="5"/>
        <v>16</v>
      </c>
      <c r="F50" s="41">
        <f t="shared" si="5"/>
        <v>11</v>
      </c>
      <c r="G50" s="41">
        <f t="shared" si="5"/>
        <v>3</v>
      </c>
      <c r="H50" s="41">
        <f t="shared" si="5"/>
        <v>1</v>
      </c>
      <c r="I50" s="41">
        <f t="shared" si="5"/>
        <v>1</v>
      </c>
      <c r="J50" s="41">
        <f t="shared" si="5"/>
        <v>12</v>
      </c>
      <c r="K50" s="41">
        <f t="shared" si="5"/>
        <v>14</v>
      </c>
      <c r="L50" s="41">
        <f t="shared" si="5"/>
        <v>14</v>
      </c>
      <c r="M50" s="41">
        <f t="shared" si="5"/>
        <v>11</v>
      </c>
      <c r="N50" s="41">
        <f t="shared" si="5"/>
        <v>7</v>
      </c>
      <c r="O50" s="41">
        <f t="shared" si="5"/>
        <v>15</v>
      </c>
      <c r="P50" s="41">
        <f t="shared" si="5"/>
        <v>13</v>
      </c>
      <c r="Q50" s="41">
        <f t="shared" si="5"/>
        <v>17</v>
      </c>
      <c r="R50" s="41">
        <f t="shared" si="5"/>
        <v>14</v>
      </c>
      <c r="S50" s="41">
        <f t="shared" si="5"/>
        <v>20</v>
      </c>
      <c r="T50" s="41">
        <f t="shared" si="5"/>
        <v>3</v>
      </c>
      <c r="U50" s="41">
        <f t="shared" si="5"/>
        <v>14</v>
      </c>
      <c r="V50" s="41">
        <f t="shared" si="5"/>
        <v>23</v>
      </c>
      <c r="W50" s="41">
        <f t="shared" si="5"/>
        <v>11</v>
      </c>
      <c r="X50" s="41">
        <f t="shared" si="5"/>
        <v>17</v>
      </c>
      <c r="Y50" s="41">
        <f t="shared" si="5"/>
        <v>11</v>
      </c>
      <c r="Z50" s="41">
        <f t="shared" si="5"/>
        <v>16</v>
      </c>
      <c r="AA50" s="41">
        <f t="shared" si="5"/>
        <v>10</v>
      </c>
      <c r="AB50" s="41">
        <f t="shared" si="5"/>
        <v>21</v>
      </c>
      <c r="AC50" s="41">
        <f t="shared" si="5"/>
        <v>20</v>
      </c>
      <c r="AD50" s="41">
        <f t="shared" si="5"/>
        <v>22</v>
      </c>
      <c r="AE50" s="41">
        <f t="shared" si="5"/>
        <v>17</v>
      </c>
      <c r="AF50" s="41">
        <f t="shared" si="5"/>
        <v>9</v>
      </c>
      <c r="AG50" s="41">
        <f t="shared" si="5"/>
        <v>20</v>
      </c>
      <c r="AH50" s="41">
        <f t="shared" si="5"/>
        <v>12</v>
      </c>
      <c r="AI50" s="41">
        <f t="shared" si="5"/>
        <v>13</v>
      </c>
      <c r="AJ50" s="41">
        <f t="shared" si="5"/>
        <v>12</v>
      </c>
      <c r="AK50" s="41">
        <f t="shared" si="5"/>
        <v>20</v>
      </c>
      <c r="AL50" s="41">
        <f t="shared" si="5"/>
        <v>13</v>
      </c>
      <c r="AM50" s="41">
        <f t="shared" si="5"/>
        <v>2</v>
      </c>
      <c r="AN50" s="41">
        <f t="shared" si="5"/>
        <v>7</v>
      </c>
      <c r="AO50" s="41">
        <f t="shared" si="5"/>
        <v>19</v>
      </c>
      <c r="AP50" s="41">
        <f t="shared" si="5"/>
        <v>9</v>
      </c>
      <c r="AQ50" s="41">
        <f t="shared" si="5"/>
        <v>16</v>
      </c>
      <c r="AR50" s="41">
        <f t="shared" si="5"/>
        <v>23</v>
      </c>
      <c r="AS50" s="41">
        <f t="shared" si="5"/>
        <v>17</v>
      </c>
      <c r="AT50" s="41">
        <f t="shared" si="5"/>
        <v>11</v>
      </c>
      <c r="AU50" s="41">
        <f t="shared" si="5"/>
        <v>0</v>
      </c>
      <c r="AV50" s="41">
        <f t="shared" si="5"/>
        <v>16</v>
      </c>
      <c r="AW50" s="42">
        <f t="shared" si="6"/>
        <v>597</v>
      </c>
      <c r="AX50" s="43">
        <f t="shared" si="7"/>
        <v>0.27613321</v>
      </c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</row>
    <row r="51">
      <c r="A51" s="40" t="s">
        <v>4</v>
      </c>
      <c r="B51" s="41">
        <f t="shared" ref="B51:AV51" si="8">COUNTIF(B2:B47,3)</f>
        <v>33</v>
      </c>
      <c r="C51" s="41">
        <f t="shared" si="8"/>
        <v>22</v>
      </c>
      <c r="D51" s="41">
        <f t="shared" si="8"/>
        <v>22</v>
      </c>
      <c r="E51" s="41">
        <f t="shared" si="8"/>
        <v>16</v>
      </c>
      <c r="F51" s="41">
        <f t="shared" si="8"/>
        <v>21</v>
      </c>
      <c r="G51" s="41">
        <f t="shared" si="8"/>
        <v>32</v>
      </c>
      <c r="H51" s="41">
        <f t="shared" si="8"/>
        <v>11</v>
      </c>
      <c r="I51" s="41">
        <f t="shared" si="8"/>
        <v>21</v>
      </c>
      <c r="J51" s="41">
        <f t="shared" si="8"/>
        <v>15</v>
      </c>
      <c r="K51" s="41">
        <f t="shared" si="8"/>
        <v>22</v>
      </c>
      <c r="L51" s="41">
        <f t="shared" si="8"/>
        <v>16</v>
      </c>
      <c r="M51" s="41">
        <f t="shared" si="8"/>
        <v>15</v>
      </c>
      <c r="N51" s="41">
        <f t="shared" si="8"/>
        <v>22</v>
      </c>
      <c r="O51" s="41">
        <f t="shared" si="8"/>
        <v>12</v>
      </c>
      <c r="P51" s="41">
        <f t="shared" si="8"/>
        <v>17</v>
      </c>
      <c r="Q51" s="41">
        <f t="shared" si="8"/>
        <v>21</v>
      </c>
      <c r="R51" s="41">
        <f t="shared" si="8"/>
        <v>17</v>
      </c>
      <c r="S51" s="41">
        <f t="shared" si="8"/>
        <v>16</v>
      </c>
      <c r="T51" s="41">
        <f t="shared" si="8"/>
        <v>22</v>
      </c>
      <c r="U51" s="41">
        <f t="shared" si="8"/>
        <v>24</v>
      </c>
      <c r="V51" s="41">
        <f t="shared" si="8"/>
        <v>13</v>
      </c>
      <c r="W51" s="41">
        <f t="shared" si="8"/>
        <v>26</v>
      </c>
      <c r="X51" s="41">
        <f t="shared" si="8"/>
        <v>14</v>
      </c>
      <c r="Y51" s="41">
        <f t="shared" si="8"/>
        <v>23</v>
      </c>
      <c r="Z51" s="41">
        <f t="shared" si="8"/>
        <v>16</v>
      </c>
      <c r="AA51" s="41">
        <f t="shared" si="8"/>
        <v>24</v>
      </c>
      <c r="AB51" s="41">
        <f t="shared" si="8"/>
        <v>8</v>
      </c>
      <c r="AC51" s="41">
        <f t="shared" si="8"/>
        <v>7</v>
      </c>
      <c r="AD51" s="41">
        <f t="shared" si="8"/>
        <v>15</v>
      </c>
      <c r="AE51" s="41">
        <f t="shared" si="8"/>
        <v>19</v>
      </c>
      <c r="AF51" s="41">
        <f t="shared" si="8"/>
        <v>22</v>
      </c>
      <c r="AG51" s="41">
        <f t="shared" si="8"/>
        <v>18</v>
      </c>
      <c r="AH51" s="41">
        <f t="shared" si="8"/>
        <v>18</v>
      </c>
      <c r="AI51" s="41">
        <f t="shared" si="8"/>
        <v>14</v>
      </c>
      <c r="AJ51" s="41">
        <f t="shared" si="8"/>
        <v>30</v>
      </c>
      <c r="AK51" s="41">
        <f t="shared" si="8"/>
        <v>7</v>
      </c>
      <c r="AL51" s="41">
        <f t="shared" si="8"/>
        <v>14</v>
      </c>
      <c r="AM51" s="41">
        <f t="shared" si="8"/>
        <v>28</v>
      </c>
      <c r="AN51" s="41">
        <f t="shared" si="8"/>
        <v>33</v>
      </c>
      <c r="AO51" s="41">
        <f t="shared" si="8"/>
        <v>9</v>
      </c>
      <c r="AP51" s="41">
        <f t="shared" si="8"/>
        <v>26</v>
      </c>
      <c r="AQ51" s="41">
        <f t="shared" si="8"/>
        <v>15</v>
      </c>
      <c r="AR51" s="41">
        <f t="shared" si="8"/>
        <v>9</v>
      </c>
      <c r="AS51" s="41">
        <f t="shared" si="8"/>
        <v>22</v>
      </c>
      <c r="AT51" s="41">
        <f t="shared" si="8"/>
        <v>25</v>
      </c>
      <c r="AU51" s="41">
        <f t="shared" si="8"/>
        <v>23</v>
      </c>
      <c r="AV51" s="41">
        <f t="shared" si="8"/>
        <v>10</v>
      </c>
      <c r="AW51" s="42">
        <f t="shared" si="6"/>
        <v>885</v>
      </c>
      <c r="AX51" s="43">
        <f t="shared" si="7"/>
        <v>0.4093432007</v>
      </c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</row>
    <row r="52">
      <c r="A52" s="40" t="s">
        <v>5</v>
      </c>
      <c r="B52" s="41">
        <f t="shared" ref="B52:AV52" si="9">COUNTIF(B2:B47,2)</f>
        <v>8</v>
      </c>
      <c r="C52" s="41">
        <f t="shared" si="9"/>
        <v>17</v>
      </c>
      <c r="D52" s="41">
        <f t="shared" si="9"/>
        <v>2</v>
      </c>
      <c r="E52" s="41">
        <f t="shared" si="9"/>
        <v>3</v>
      </c>
      <c r="F52" s="41">
        <f t="shared" si="9"/>
        <v>6</v>
      </c>
      <c r="G52" s="41">
        <f t="shared" si="9"/>
        <v>7</v>
      </c>
      <c r="H52" s="41">
        <f t="shared" si="9"/>
        <v>23</v>
      </c>
      <c r="I52" s="41">
        <f t="shared" si="9"/>
        <v>21</v>
      </c>
      <c r="J52" s="41">
        <f t="shared" si="9"/>
        <v>1</v>
      </c>
      <c r="K52" s="41">
        <f t="shared" si="9"/>
        <v>6</v>
      </c>
      <c r="L52" s="41">
        <f t="shared" si="9"/>
        <v>1</v>
      </c>
      <c r="M52" s="41">
        <f t="shared" si="9"/>
        <v>11</v>
      </c>
      <c r="N52" s="41">
        <f t="shared" si="9"/>
        <v>14</v>
      </c>
      <c r="O52" s="41">
        <f t="shared" si="9"/>
        <v>1</v>
      </c>
      <c r="P52" s="41">
        <f t="shared" si="9"/>
        <v>11</v>
      </c>
      <c r="Q52" s="41">
        <f t="shared" si="9"/>
        <v>2</v>
      </c>
      <c r="R52" s="41">
        <f t="shared" si="9"/>
        <v>7</v>
      </c>
      <c r="S52" s="41">
        <f t="shared" si="9"/>
        <v>3</v>
      </c>
      <c r="T52" s="41">
        <f t="shared" si="9"/>
        <v>15</v>
      </c>
      <c r="U52" s="41">
        <f t="shared" si="9"/>
        <v>4</v>
      </c>
      <c r="V52" s="41">
        <f t="shared" si="9"/>
        <v>3</v>
      </c>
      <c r="W52" s="41">
        <f t="shared" si="9"/>
        <v>6</v>
      </c>
      <c r="X52" s="41">
        <f t="shared" si="9"/>
        <v>1</v>
      </c>
      <c r="Y52" s="41">
        <f t="shared" si="9"/>
        <v>5</v>
      </c>
      <c r="Z52" s="41">
        <f t="shared" si="9"/>
        <v>4</v>
      </c>
      <c r="AA52" s="41">
        <f t="shared" si="9"/>
        <v>7</v>
      </c>
      <c r="AB52" s="41">
        <f t="shared" si="9"/>
        <v>3</v>
      </c>
      <c r="AC52" s="41">
        <f t="shared" si="9"/>
        <v>1</v>
      </c>
      <c r="AD52" s="41">
        <f t="shared" si="9"/>
        <v>2</v>
      </c>
      <c r="AE52" s="41">
        <f t="shared" si="9"/>
        <v>3</v>
      </c>
      <c r="AF52" s="41">
        <f t="shared" si="9"/>
        <v>7</v>
      </c>
      <c r="AG52" s="41">
        <f t="shared" si="9"/>
        <v>3</v>
      </c>
      <c r="AH52" s="41">
        <f t="shared" si="9"/>
        <v>7</v>
      </c>
      <c r="AI52" s="41">
        <f t="shared" si="9"/>
        <v>1</v>
      </c>
      <c r="AJ52" s="41">
        <f t="shared" si="9"/>
        <v>2</v>
      </c>
      <c r="AK52" s="41">
        <f t="shared" si="9"/>
        <v>1</v>
      </c>
      <c r="AL52" s="41">
        <f t="shared" si="9"/>
        <v>1</v>
      </c>
      <c r="AM52" s="41">
        <f t="shared" si="9"/>
        <v>12</v>
      </c>
      <c r="AN52" s="41">
        <f t="shared" si="9"/>
        <v>4</v>
      </c>
      <c r="AO52" s="41">
        <f t="shared" si="9"/>
        <v>2</v>
      </c>
      <c r="AP52" s="41">
        <f t="shared" si="9"/>
        <v>9</v>
      </c>
      <c r="AQ52" s="41">
        <f t="shared" si="9"/>
        <v>4</v>
      </c>
      <c r="AR52" s="41">
        <f t="shared" si="9"/>
        <v>0</v>
      </c>
      <c r="AS52" s="41">
        <f t="shared" si="9"/>
        <v>3</v>
      </c>
      <c r="AT52" s="41">
        <f t="shared" si="9"/>
        <v>4</v>
      </c>
      <c r="AU52" s="41">
        <f t="shared" si="9"/>
        <v>18</v>
      </c>
      <c r="AV52" s="41">
        <f t="shared" si="9"/>
        <v>5</v>
      </c>
      <c r="AW52" s="42">
        <f t="shared" si="6"/>
        <v>281</v>
      </c>
      <c r="AX52" s="43">
        <f t="shared" si="7"/>
        <v>0.1299722479</v>
      </c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</row>
    <row r="53">
      <c r="A53" s="40" t="s">
        <v>6</v>
      </c>
      <c r="B53" s="41">
        <f t="shared" ref="B53:AV53" si="10">COUNTIF(B2:B47,1)</f>
        <v>1</v>
      </c>
      <c r="C53" s="41">
        <f t="shared" si="10"/>
        <v>5</v>
      </c>
      <c r="D53" s="41">
        <f t="shared" si="10"/>
        <v>2</v>
      </c>
      <c r="E53" s="41">
        <f t="shared" si="10"/>
        <v>1</v>
      </c>
      <c r="F53" s="41">
        <f t="shared" si="10"/>
        <v>3</v>
      </c>
      <c r="G53" s="41">
        <f t="shared" si="10"/>
        <v>2</v>
      </c>
      <c r="H53" s="41">
        <f t="shared" si="10"/>
        <v>11</v>
      </c>
      <c r="I53" s="41">
        <f t="shared" si="10"/>
        <v>3</v>
      </c>
      <c r="J53" s="41">
        <f t="shared" si="10"/>
        <v>2</v>
      </c>
      <c r="K53" s="41">
        <f t="shared" si="10"/>
        <v>2</v>
      </c>
      <c r="L53" s="41">
        <f t="shared" si="10"/>
        <v>4</v>
      </c>
      <c r="M53" s="41">
        <f t="shared" si="10"/>
        <v>4</v>
      </c>
      <c r="N53" s="41">
        <f t="shared" si="10"/>
        <v>1</v>
      </c>
      <c r="O53" s="41">
        <f t="shared" si="10"/>
        <v>2</v>
      </c>
      <c r="P53" s="41">
        <f t="shared" si="10"/>
        <v>3</v>
      </c>
      <c r="Q53" s="41">
        <f t="shared" si="10"/>
        <v>2</v>
      </c>
      <c r="R53" s="41">
        <f t="shared" si="10"/>
        <v>2</v>
      </c>
      <c r="S53" s="41">
        <f t="shared" si="10"/>
        <v>2</v>
      </c>
      <c r="T53" s="41">
        <f t="shared" si="10"/>
        <v>5</v>
      </c>
      <c r="U53" s="41">
        <f t="shared" si="10"/>
        <v>2</v>
      </c>
      <c r="V53" s="41">
        <f t="shared" si="10"/>
        <v>2</v>
      </c>
      <c r="W53" s="41">
        <f t="shared" si="10"/>
        <v>2</v>
      </c>
      <c r="X53" s="41">
        <f t="shared" si="10"/>
        <v>1</v>
      </c>
      <c r="Y53" s="41">
        <f t="shared" si="10"/>
        <v>2</v>
      </c>
      <c r="Z53" s="41">
        <f t="shared" si="10"/>
        <v>2</v>
      </c>
      <c r="AA53" s="41">
        <f t="shared" si="10"/>
        <v>3</v>
      </c>
      <c r="AB53" s="41">
        <f t="shared" si="10"/>
        <v>2</v>
      </c>
      <c r="AC53" s="41">
        <f t="shared" si="10"/>
        <v>2</v>
      </c>
      <c r="AD53" s="41">
        <f t="shared" si="10"/>
        <v>2</v>
      </c>
      <c r="AE53" s="41">
        <f t="shared" si="10"/>
        <v>1</v>
      </c>
      <c r="AF53" s="41">
        <f t="shared" si="10"/>
        <v>3</v>
      </c>
      <c r="AG53" s="41">
        <f t="shared" si="10"/>
        <v>4</v>
      </c>
      <c r="AH53" s="41">
        <f t="shared" si="10"/>
        <v>5</v>
      </c>
      <c r="AI53" s="41">
        <f t="shared" si="10"/>
        <v>1</v>
      </c>
      <c r="AJ53" s="41">
        <f t="shared" si="10"/>
        <v>1</v>
      </c>
      <c r="AK53" s="41">
        <f t="shared" si="10"/>
        <v>1</v>
      </c>
      <c r="AL53" s="41">
        <f t="shared" si="10"/>
        <v>1</v>
      </c>
      <c r="AM53" s="41">
        <f t="shared" si="10"/>
        <v>4</v>
      </c>
      <c r="AN53" s="41">
        <f t="shared" si="10"/>
        <v>1</v>
      </c>
      <c r="AO53" s="41">
        <f t="shared" si="10"/>
        <v>1</v>
      </c>
      <c r="AP53" s="41">
        <f t="shared" si="10"/>
        <v>1</v>
      </c>
      <c r="AQ53" s="41">
        <f t="shared" si="10"/>
        <v>3</v>
      </c>
      <c r="AR53" s="41">
        <f t="shared" si="10"/>
        <v>3</v>
      </c>
      <c r="AS53" s="41">
        <f t="shared" si="10"/>
        <v>1</v>
      </c>
      <c r="AT53" s="41">
        <f t="shared" si="10"/>
        <v>3</v>
      </c>
      <c r="AU53" s="41">
        <f t="shared" si="10"/>
        <v>4</v>
      </c>
      <c r="AV53" s="41">
        <f t="shared" si="10"/>
        <v>1</v>
      </c>
      <c r="AW53" s="42">
        <f t="shared" si="6"/>
        <v>116</v>
      </c>
      <c r="AX53" s="43">
        <f t="shared" si="7"/>
        <v>0.05365402405</v>
      </c>
      <c r="BK53" s="5"/>
      <c r="BL53" s="5"/>
    </row>
    <row r="54">
      <c r="A54" s="35"/>
      <c r="B54" s="44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2">
        <f>SUM(AW49:AW53)</f>
        <v>2162</v>
      </c>
      <c r="AX54" s="43">
        <f t="shared" si="7"/>
        <v>1</v>
      </c>
      <c r="BK54" s="35"/>
      <c r="BL54" s="35"/>
    </row>
    <row r="55">
      <c r="A55" s="35"/>
      <c r="B55" s="44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</row>
    <row r="56">
      <c r="A56" s="5"/>
      <c r="B56" s="44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</row>
    <row r="57">
      <c r="A57" s="5"/>
      <c r="B57" s="44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</row>
    <row r="58">
      <c r="A58" s="35"/>
      <c r="B58" s="44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</row>
    <row r="59">
      <c r="A59" s="46" t="s">
        <v>108</v>
      </c>
      <c r="B59" s="44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</row>
    <row r="60">
      <c r="A60" s="47" t="s">
        <v>109</v>
      </c>
      <c r="B60" s="48">
        <f>AVERAGE(AW2:AW47)</f>
        <v>109.6304348</v>
      </c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</row>
    <row r="61"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</row>
    <row r="62"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</row>
    <row r="63"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</row>
    <row r="64"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</row>
    <row r="65"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</row>
    <row r="66"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</row>
    <row r="67"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</row>
    <row r="68"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</row>
    <row r="69"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9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</row>
    <row r="70"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9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</row>
    <row r="71"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</row>
    <row r="72"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</row>
    <row r="73"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</row>
    <row r="74"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</row>
    <row r="75"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</row>
    <row r="76"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</row>
    <row r="77"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</row>
    <row r="78"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</row>
    <row r="79"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</row>
    <row r="80"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</row>
    <row r="81"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</row>
    <row r="82"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</row>
    <row r="83"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</row>
    <row r="84"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</row>
    <row r="85"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</row>
    <row r="86"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</row>
    <row r="87"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</row>
    <row r="88"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</row>
    <row r="89"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</row>
    <row r="90"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</row>
    <row r="91"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</row>
    <row r="92"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</row>
    <row r="93"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</row>
    <row r="94"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</row>
    <row r="95"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</row>
    <row r="96"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</row>
    <row r="97"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</row>
    <row r="98"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</row>
    <row r="99"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</row>
    <row r="100"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</row>
    <row r="101"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</row>
    <row r="102"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</row>
    <row r="103"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</row>
    <row r="104"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</row>
    <row r="105"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</row>
    <row r="106"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</row>
    <row r="107"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</row>
    <row r="108"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</row>
    <row r="109"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</row>
    <row r="110"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</row>
    <row r="111"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</row>
    <row r="112"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</row>
    <row r="113"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</row>
    <row r="114"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</row>
    <row r="115"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</row>
    <row r="116"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</row>
    <row r="117"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</row>
    <row r="118"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</row>
    <row r="119"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</row>
    <row r="120"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</row>
    <row r="121"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</row>
    <row r="122"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</row>
    <row r="123"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</row>
    <row r="124"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</row>
    <row r="125"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</row>
    <row r="126"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</row>
    <row r="127"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</row>
    <row r="128"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</row>
    <row r="129"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</row>
    <row r="130"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</row>
    <row r="131"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</row>
    <row r="132"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</row>
    <row r="133"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</row>
    <row r="134"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</row>
    <row r="135"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</row>
    <row r="136"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</row>
    <row r="137"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</row>
    <row r="138"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</row>
    <row r="139"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</row>
    <row r="140"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</row>
    <row r="141"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</row>
    <row r="142"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</row>
    <row r="143"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</row>
    <row r="144"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</row>
    <row r="145"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</row>
    <row r="146"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</row>
    <row r="147"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</row>
    <row r="148"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</row>
    <row r="149"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</row>
    <row r="150"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</row>
    <row r="151"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</row>
    <row r="152"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</row>
    <row r="153"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</row>
    <row r="154"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</row>
    <row r="155"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</row>
    <row r="156"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</row>
    <row r="157"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</row>
    <row r="158"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</row>
    <row r="159"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</row>
    <row r="160"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</row>
    <row r="161"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</row>
    <row r="162"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</row>
    <row r="163"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</row>
    <row r="164"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</row>
    <row r="165"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</row>
    <row r="166"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</row>
    <row r="167"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</row>
    <row r="168"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</row>
    <row r="169"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</row>
    <row r="170"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</row>
    <row r="171"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</row>
    <row r="172"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</row>
    <row r="173"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</row>
    <row r="174"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</row>
    <row r="175"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</row>
    <row r="176"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</row>
    <row r="177"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</row>
    <row r="178"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</row>
    <row r="179"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</row>
    <row r="180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</row>
    <row r="181"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</row>
    <row r="182"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</row>
    <row r="183"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</row>
    <row r="184"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</row>
    <row r="185"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</row>
    <row r="186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</row>
    <row r="187"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</row>
    <row r="188"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</row>
    <row r="189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</row>
    <row r="190"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</row>
    <row r="191"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</row>
    <row r="192"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</row>
    <row r="193"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</row>
    <row r="194"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</row>
    <row r="195"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</row>
    <row r="196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</row>
    <row r="197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</row>
    <row r="198"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</row>
    <row r="199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</row>
    <row r="200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</row>
    <row r="201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</row>
    <row r="202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</row>
    <row r="203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</row>
    <row r="204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</row>
    <row r="20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</row>
    <row r="206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</row>
    <row r="207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</row>
    <row r="208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</row>
    <row r="209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</row>
    <row r="210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</row>
    <row r="211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</row>
    <row r="212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</row>
    <row r="213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</row>
    <row r="214"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</row>
    <row r="21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</row>
    <row r="216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</row>
    <row r="217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</row>
    <row r="218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</row>
    <row r="219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</row>
    <row r="220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</row>
    <row r="221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</row>
    <row r="222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</row>
    <row r="223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</row>
    <row r="224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</row>
    <row r="2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</row>
    <row r="226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</row>
    <row r="227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</row>
    <row r="228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</row>
    <row r="229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</row>
    <row r="230"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</row>
    <row r="231"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</row>
    <row r="232"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</row>
    <row r="233"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</row>
    <row r="234"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</row>
    <row r="23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</row>
    <row r="236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</row>
    <row r="237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</row>
    <row r="238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</row>
    <row r="239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</row>
    <row r="240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</row>
    <row r="241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</row>
    <row r="242"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</row>
    <row r="243"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</row>
    <row r="244"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</row>
    <row r="245"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</row>
    <row r="246"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</row>
    <row r="247"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</row>
    <row r="248"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</row>
    <row r="249"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</row>
    <row r="250"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</row>
    <row r="251"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</row>
    <row r="252"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</row>
    <row r="253"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</row>
    <row r="254"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</row>
    <row r="255"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</row>
    <row r="256"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</row>
    <row r="257"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</row>
    <row r="258"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</row>
    <row r="259"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</row>
    <row r="260"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</row>
    <row r="261"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</row>
    <row r="262"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</row>
    <row r="263"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</row>
    <row r="264"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</row>
    <row r="265"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</row>
    <row r="266"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5"/>
    </row>
    <row r="267"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</row>
    <row r="268"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5"/>
    </row>
    <row r="269"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</row>
    <row r="270"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5"/>
    </row>
    <row r="271"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</row>
    <row r="272"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5"/>
    </row>
    <row r="273"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5"/>
    </row>
    <row r="274"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5"/>
    </row>
    <row r="275"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5"/>
    </row>
    <row r="276"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5"/>
    </row>
    <row r="277"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5"/>
    </row>
    <row r="278"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5"/>
    </row>
    <row r="279"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5"/>
    </row>
    <row r="280"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5"/>
    </row>
    <row r="281"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5"/>
    </row>
    <row r="282"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5"/>
    </row>
    <row r="283"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5"/>
    </row>
    <row r="284"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5"/>
    </row>
    <row r="285"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5"/>
    </row>
    <row r="286"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5"/>
    </row>
    <row r="287"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5"/>
    </row>
    <row r="288"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5"/>
    </row>
    <row r="289"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5"/>
    </row>
    <row r="290"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45"/>
    </row>
    <row r="291"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5"/>
    </row>
    <row r="292"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5"/>
    </row>
    <row r="293"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  <c r="AU293" s="45"/>
      <c r="AV293" s="45"/>
    </row>
    <row r="294"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  <c r="AQ294" s="45"/>
      <c r="AR294" s="45"/>
      <c r="AS294" s="45"/>
      <c r="AT294" s="45"/>
      <c r="AU294" s="45"/>
      <c r="AV294" s="45"/>
    </row>
    <row r="295"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45"/>
      <c r="AP295" s="45"/>
      <c r="AQ295" s="45"/>
      <c r="AR295" s="45"/>
      <c r="AS295" s="45"/>
      <c r="AT295" s="45"/>
      <c r="AU295" s="45"/>
      <c r="AV295" s="45"/>
    </row>
    <row r="296"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5"/>
    </row>
    <row r="297"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5"/>
    </row>
    <row r="298"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5"/>
    </row>
    <row r="299"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5"/>
    </row>
    <row r="300"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5"/>
    </row>
    <row r="301"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5"/>
    </row>
    <row r="302"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5"/>
    </row>
    <row r="303"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5"/>
    </row>
    <row r="304"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5"/>
    </row>
    <row r="305"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5"/>
    </row>
    <row r="306"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5"/>
    </row>
    <row r="307"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5"/>
    </row>
    <row r="308"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45"/>
      <c r="AR308" s="45"/>
      <c r="AS308" s="45"/>
      <c r="AT308" s="45"/>
      <c r="AU308" s="45"/>
      <c r="AV308" s="45"/>
    </row>
    <row r="309"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5"/>
    </row>
    <row r="310"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45"/>
      <c r="AR310" s="45"/>
      <c r="AS310" s="45"/>
      <c r="AT310" s="45"/>
      <c r="AU310" s="45"/>
      <c r="AV310" s="45"/>
    </row>
    <row r="311"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  <c r="AQ311" s="45"/>
      <c r="AR311" s="45"/>
      <c r="AS311" s="45"/>
      <c r="AT311" s="45"/>
      <c r="AU311" s="45"/>
      <c r="AV311" s="45"/>
    </row>
    <row r="312"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  <c r="AP312" s="45"/>
      <c r="AQ312" s="45"/>
      <c r="AR312" s="45"/>
      <c r="AS312" s="45"/>
      <c r="AT312" s="45"/>
      <c r="AU312" s="45"/>
      <c r="AV312" s="45"/>
    </row>
    <row r="313"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  <c r="AO313" s="45"/>
      <c r="AP313" s="45"/>
      <c r="AQ313" s="45"/>
      <c r="AR313" s="45"/>
      <c r="AS313" s="45"/>
      <c r="AT313" s="45"/>
      <c r="AU313" s="45"/>
      <c r="AV313" s="45"/>
    </row>
    <row r="314"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  <c r="AO314" s="45"/>
      <c r="AP314" s="45"/>
      <c r="AQ314" s="45"/>
      <c r="AR314" s="45"/>
      <c r="AS314" s="45"/>
      <c r="AT314" s="45"/>
      <c r="AU314" s="45"/>
      <c r="AV314" s="45"/>
    </row>
    <row r="315"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  <c r="AQ315" s="45"/>
      <c r="AR315" s="45"/>
      <c r="AS315" s="45"/>
      <c r="AT315" s="45"/>
      <c r="AU315" s="45"/>
      <c r="AV315" s="45"/>
    </row>
    <row r="316"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  <c r="AO316" s="45"/>
      <c r="AP316" s="45"/>
      <c r="AQ316" s="45"/>
      <c r="AR316" s="45"/>
      <c r="AS316" s="45"/>
      <c r="AT316" s="45"/>
      <c r="AU316" s="45"/>
      <c r="AV316" s="45"/>
    </row>
    <row r="317"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  <c r="AP317" s="45"/>
      <c r="AQ317" s="45"/>
      <c r="AR317" s="45"/>
      <c r="AS317" s="45"/>
      <c r="AT317" s="45"/>
      <c r="AU317" s="45"/>
      <c r="AV317" s="45"/>
    </row>
    <row r="318"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  <c r="AQ318" s="45"/>
      <c r="AR318" s="45"/>
      <c r="AS318" s="45"/>
      <c r="AT318" s="45"/>
      <c r="AU318" s="45"/>
      <c r="AV318" s="45"/>
    </row>
    <row r="319"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5"/>
    </row>
    <row r="320"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5"/>
    </row>
    <row r="321"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5"/>
    </row>
    <row r="322"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5"/>
    </row>
    <row r="323"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5"/>
    </row>
    <row r="324"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5"/>
    </row>
    <row r="325"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5"/>
    </row>
    <row r="326"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5"/>
    </row>
    <row r="327"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5"/>
    </row>
    <row r="328"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5"/>
    </row>
    <row r="329"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45"/>
    </row>
    <row r="330"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5"/>
    </row>
    <row r="331"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5"/>
    </row>
    <row r="332"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  <c r="AU332" s="45"/>
      <c r="AV332" s="45"/>
    </row>
    <row r="333"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45"/>
    </row>
    <row r="334"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  <c r="AU334" s="45"/>
      <c r="AV334" s="45"/>
    </row>
    <row r="335"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5"/>
    </row>
    <row r="336"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45"/>
      <c r="AS336" s="45"/>
      <c r="AT336" s="45"/>
      <c r="AU336" s="45"/>
      <c r="AV336" s="45"/>
    </row>
    <row r="337"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45"/>
    </row>
    <row r="338"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45"/>
    </row>
    <row r="339"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45"/>
    </row>
    <row r="340"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  <c r="AU340" s="45"/>
      <c r="AV340" s="45"/>
    </row>
    <row r="341"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  <c r="AU341" s="45"/>
      <c r="AV341" s="45"/>
    </row>
    <row r="342"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45"/>
    </row>
    <row r="343"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5"/>
    </row>
    <row r="344"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5"/>
    </row>
    <row r="345"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5"/>
    </row>
    <row r="346"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5"/>
    </row>
    <row r="347"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5"/>
    </row>
    <row r="348"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5"/>
    </row>
    <row r="349"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5"/>
    </row>
    <row r="350"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5"/>
    </row>
    <row r="351"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5"/>
    </row>
    <row r="352"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5"/>
    </row>
    <row r="353"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5"/>
    </row>
    <row r="354"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5"/>
    </row>
    <row r="355"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5"/>
    </row>
    <row r="356"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5"/>
    </row>
    <row r="357"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5"/>
    </row>
    <row r="358"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5"/>
    </row>
    <row r="359"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  <c r="AR359" s="45"/>
      <c r="AS359" s="45"/>
      <c r="AT359" s="45"/>
      <c r="AU359" s="45"/>
      <c r="AV359" s="45"/>
    </row>
    <row r="360"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5"/>
    </row>
    <row r="361"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5"/>
    </row>
    <row r="362"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  <c r="AT362" s="45"/>
      <c r="AU362" s="45"/>
      <c r="AV362" s="45"/>
    </row>
    <row r="363"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5"/>
      <c r="AU363" s="45"/>
      <c r="AV363" s="45"/>
    </row>
    <row r="364"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45"/>
      <c r="AR364" s="45"/>
      <c r="AS364" s="45"/>
      <c r="AT364" s="45"/>
      <c r="AU364" s="45"/>
      <c r="AV364" s="45"/>
    </row>
    <row r="365"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5"/>
    </row>
    <row r="366"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45"/>
      <c r="AR366" s="45"/>
      <c r="AS366" s="45"/>
      <c r="AT366" s="45"/>
      <c r="AU366" s="45"/>
      <c r="AV366" s="45"/>
    </row>
    <row r="367"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45"/>
      <c r="AR367" s="45"/>
      <c r="AS367" s="45"/>
      <c r="AT367" s="45"/>
      <c r="AU367" s="45"/>
      <c r="AV367" s="45"/>
    </row>
    <row r="368"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5"/>
      <c r="AU368" s="45"/>
      <c r="AV368" s="45"/>
    </row>
    <row r="369"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45"/>
      <c r="AR369" s="45"/>
      <c r="AS369" s="45"/>
      <c r="AT369" s="45"/>
      <c r="AU369" s="45"/>
      <c r="AV369" s="45"/>
    </row>
    <row r="370"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45"/>
      <c r="AR370" s="45"/>
      <c r="AS370" s="45"/>
      <c r="AT370" s="45"/>
      <c r="AU370" s="45"/>
      <c r="AV370" s="45"/>
    </row>
    <row r="371"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45"/>
      <c r="AR371" s="45"/>
      <c r="AS371" s="45"/>
      <c r="AT371" s="45"/>
      <c r="AU371" s="45"/>
      <c r="AV371" s="45"/>
    </row>
    <row r="372"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45"/>
      <c r="AS372" s="45"/>
      <c r="AT372" s="45"/>
      <c r="AU372" s="45"/>
      <c r="AV372" s="45"/>
    </row>
    <row r="373"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45"/>
      <c r="AR373" s="45"/>
      <c r="AS373" s="45"/>
      <c r="AT373" s="45"/>
      <c r="AU373" s="45"/>
      <c r="AV373" s="45"/>
    </row>
    <row r="374"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45"/>
      <c r="AR374" s="45"/>
      <c r="AS374" s="45"/>
      <c r="AT374" s="45"/>
      <c r="AU374" s="45"/>
      <c r="AV374" s="45"/>
    </row>
    <row r="375"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5"/>
      <c r="AU375" s="45"/>
      <c r="AV375" s="45"/>
    </row>
    <row r="376"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45"/>
      <c r="AR376" s="45"/>
      <c r="AS376" s="45"/>
      <c r="AT376" s="45"/>
      <c r="AU376" s="45"/>
      <c r="AV376" s="45"/>
    </row>
    <row r="377"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  <c r="AQ377" s="45"/>
      <c r="AR377" s="45"/>
      <c r="AS377" s="45"/>
      <c r="AT377" s="45"/>
      <c r="AU377" s="45"/>
      <c r="AV377" s="45"/>
    </row>
    <row r="378"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45"/>
      <c r="AR378" s="45"/>
      <c r="AS378" s="45"/>
      <c r="AT378" s="45"/>
      <c r="AU378" s="45"/>
      <c r="AV378" s="45"/>
    </row>
    <row r="379"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45"/>
      <c r="AR379" s="45"/>
      <c r="AS379" s="45"/>
      <c r="AT379" s="45"/>
      <c r="AU379" s="45"/>
      <c r="AV379" s="45"/>
    </row>
    <row r="380"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  <c r="AQ380" s="45"/>
      <c r="AR380" s="45"/>
      <c r="AS380" s="45"/>
      <c r="AT380" s="45"/>
      <c r="AU380" s="45"/>
      <c r="AV380" s="45"/>
    </row>
    <row r="381"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  <c r="AQ381" s="45"/>
      <c r="AR381" s="45"/>
      <c r="AS381" s="45"/>
      <c r="AT381" s="45"/>
      <c r="AU381" s="45"/>
      <c r="AV381" s="45"/>
    </row>
    <row r="382"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  <c r="AQ382" s="45"/>
      <c r="AR382" s="45"/>
      <c r="AS382" s="45"/>
      <c r="AT382" s="45"/>
      <c r="AU382" s="45"/>
      <c r="AV382" s="45"/>
    </row>
    <row r="383"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45"/>
      <c r="AR383" s="45"/>
      <c r="AS383" s="45"/>
      <c r="AT383" s="45"/>
      <c r="AU383" s="45"/>
      <c r="AV383" s="45"/>
    </row>
    <row r="384"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  <c r="AQ384" s="45"/>
      <c r="AR384" s="45"/>
      <c r="AS384" s="45"/>
      <c r="AT384" s="45"/>
      <c r="AU384" s="45"/>
      <c r="AV384" s="45"/>
    </row>
    <row r="385"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  <c r="AQ385" s="45"/>
      <c r="AR385" s="45"/>
      <c r="AS385" s="45"/>
      <c r="AT385" s="45"/>
      <c r="AU385" s="45"/>
      <c r="AV385" s="45"/>
    </row>
    <row r="386"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  <c r="AQ386" s="45"/>
      <c r="AR386" s="45"/>
      <c r="AS386" s="45"/>
      <c r="AT386" s="45"/>
      <c r="AU386" s="45"/>
      <c r="AV386" s="45"/>
    </row>
    <row r="387"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  <c r="AQ387" s="45"/>
      <c r="AR387" s="45"/>
      <c r="AS387" s="45"/>
      <c r="AT387" s="45"/>
      <c r="AU387" s="45"/>
      <c r="AV387" s="45"/>
    </row>
    <row r="388"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45"/>
      <c r="AR388" s="45"/>
      <c r="AS388" s="45"/>
      <c r="AT388" s="45"/>
      <c r="AU388" s="45"/>
      <c r="AV388" s="45"/>
    </row>
    <row r="389"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  <c r="AR389" s="45"/>
      <c r="AS389" s="45"/>
      <c r="AT389" s="45"/>
      <c r="AU389" s="45"/>
      <c r="AV389" s="45"/>
    </row>
    <row r="390"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  <c r="AQ390" s="45"/>
      <c r="AR390" s="45"/>
      <c r="AS390" s="45"/>
      <c r="AT390" s="45"/>
      <c r="AU390" s="45"/>
      <c r="AV390" s="45"/>
    </row>
    <row r="391"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  <c r="AQ391" s="45"/>
      <c r="AR391" s="45"/>
      <c r="AS391" s="45"/>
      <c r="AT391" s="45"/>
      <c r="AU391" s="45"/>
      <c r="AV391" s="45"/>
    </row>
    <row r="392"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5"/>
      <c r="AO392" s="45"/>
      <c r="AP392" s="45"/>
      <c r="AQ392" s="45"/>
      <c r="AR392" s="45"/>
      <c r="AS392" s="45"/>
      <c r="AT392" s="45"/>
      <c r="AU392" s="45"/>
      <c r="AV392" s="45"/>
    </row>
    <row r="393"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  <c r="AQ393" s="45"/>
      <c r="AR393" s="45"/>
      <c r="AS393" s="45"/>
      <c r="AT393" s="45"/>
      <c r="AU393" s="45"/>
      <c r="AV393" s="45"/>
    </row>
    <row r="394"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  <c r="AQ394" s="45"/>
      <c r="AR394" s="45"/>
      <c r="AS394" s="45"/>
      <c r="AT394" s="45"/>
      <c r="AU394" s="45"/>
      <c r="AV394" s="45"/>
    </row>
    <row r="395"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  <c r="AO395" s="45"/>
      <c r="AP395" s="45"/>
      <c r="AQ395" s="45"/>
      <c r="AR395" s="45"/>
      <c r="AS395" s="45"/>
      <c r="AT395" s="45"/>
      <c r="AU395" s="45"/>
      <c r="AV395" s="45"/>
    </row>
    <row r="396"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  <c r="AO396" s="45"/>
      <c r="AP396" s="45"/>
      <c r="AQ396" s="45"/>
      <c r="AR396" s="45"/>
      <c r="AS396" s="45"/>
      <c r="AT396" s="45"/>
      <c r="AU396" s="45"/>
      <c r="AV396" s="45"/>
    </row>
    <row r="397"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  <c r="AQ397" s="45"/>
      <c r="AR397" s="45"/>
      <c r="AS397" s="45"/>
      <c r="AT397" s="45"/>
      <c r="AU397" s="45"/>
      <c r="AV397" s="45"/>
    </row>
    <row r="398"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45"/>
      <c r="AR398" s="45"/>
      <c r="AS398" s="45"/>
      <c r="AT398" s="45"/>
      <c r="AU398" s="45"/>
      <c r="AV398" s="45"/>
    </row>
    <row r="399"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45"/>
      <c r="AR399" s="45"/>
      <c r="AS399" s="45"/>
      <c r="AT399" s="45"/>
      <c r="AU399" s="45"/>
      <c r="AV399" s="45"/>
    </row>
    <row r="400"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45"/>
      <c r="AR400" s="45"/>
      <c r="AS400" s="45"/>
      <c r="AT400" s="45"/>
      <c r="AU400" s="45"/>
      <c r="AV400" s="45"/>
    </row>
    <row r="401"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  <c r="AR401" s="45"/>
      <c r="AS401" s="45"/>
      <c r="AT401" s="45"/>
      <c r="AU401" s="45"/>
      <c r="AV401" s="45"/>
    </row>
    <row r="402"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45"/>
      <c r="AR402" s="45"/>
      <c r="AS402" s="45"/>
      <c r="AT402" s="45"/>
      <c r="AU402" s="45"/>
      <c r="AV402" s="45"/>
    </row>
    <row r="403"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45"/>
      <c r="AR403" s="45"/>
      <c r="AS403" s="45"/>
      <c r="AT403" s="45"/>
      <c r="AU403" s="45"/>
      <c r="AV403" s="45"/>
    </row>
    <row r="404"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  <c r="AU404" s="45"/>
      <c r="AV404" s="45"/>
    </row>
    <row r="405"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45"/>
      <c r="AR405" s="45"/>
      <c r="AS405" s="45"/>
      <c r="AT405" s="45"/>
      <c r="AU405" s="45"/>
      <c r="AV405" s="45"/>
    </row>
    <row r="406"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45"/>
      <c r="AR406" s="45"/>
      <c r="AS406" s="45"/>
      <c r="AT406" s="45"/>
      <c r="AU406" s="45"/>
      <c r="AV406" s="45"/>
    </row>
    <row r="407"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  <c r="AO407" s="45"/>
      <c r="AP407" s="45"/>
      <c r="AQ407" s="45"/>
      <c r="AR407" s="45"/>
      <c r="AS407" s="45"/>
      <c r="AT407" s="45"/>
      <c r="AU407" s="45"/>
      <c r="AV407" s="45"/>
    </row>
    <row r="408"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  <c r="AO408" s="45"/>
      <c r="AP408" s="45"/>
      <c r="AQ408" s="45"/>
      <c r="AR408" s="45"/>
      <c r="AS408" s="45"/>
      <c r="AT408" s="45"/>
      <c r="AU408" s="45"/>
      <c r="AV408" s="45"/>
    </row>
    <row r="409"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  <c r="AQ409" s="45"/>
      <c r="AR409" s="45"/>
      <c r="AS409" s="45"/>
      <c r="AT409" s="45"/>
      <c r="AU409" s="45"/>
      <c r="AV409" s="45"/>
    </row>
    <row r="410"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  <c r="AO410" s="45"/>
      <c r="AP410" s="45"/>
      <c r="AQ410" s="45"/>
      <c r="AR410" s="45"/>
      <c r="AS410" s="45"/>
      <c r="AT410" s="45"/>
      <c r="AU410" s="45"/>
      <c r="AV410" s="45"/>
    </row>
    <row r="411"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  <c r="AQ411" s="45"/>
      <c r="AR411" s="45"/>
      <c r="AS411" s="45"/>
      <c r="AT411" s="45"/>
      <c r="AU411" s="45"/>
      <c r="AV411" s="45"/>
    </row>
    <row r="412"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  <c r="AO412" s="45"/>
      <c r="AP412" s="45"/>
      <c r="AQ412" s="45"/>
      <c r="AR412" s="45"/>
      <c r="AS412" s="45"/>
      <c r="AT412" s="45"/>
      <c r="AU412" s="45"/>
      <c r="AV412" s="45"/>
    </row>
    <row r="413"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45"/>
      <c r="AR413" s="45"/>
      <c r="AS413" s="45"/>
      <c r="AT413" s="45"/>
      <c r="AU413" s="45"/>
      <c r="AV413" s="45"/>
    </row>
    <row r="414"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  <c r="AQ414" s="45"/>
      <c r="AR414" s="45"/>
      <c r="AS414" s="45"/>
      <c r="AT414" s="45"/>
      <c r="AU414" s="45"/>
      <c r="AV414" s="45"/>
    </row>
    <row r="415"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  <c r="AQ415" s="45"/>
      <c r="AR415" s="45"/>
      <c r="AS415" s="45"/>
      <c r="AT415" s="45"/>
      <c r="AU415" s="45"/>
      <c r="AV415" s="45"/>
    </row>
    <row r="416"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  <c r="AO416" s="45"/>
      <c r="AP416" s="45"/>
      <c r="AQ416" s="45"/>
      <c r="AR416" s="45"/>
      <c r="AS416" s="45"/>
      <c r="AT416" s="45"/>
      <c r="AU416" s="45"/>
      <c r="AV416" s="45"/>
    </row>
    <row r="417"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  <c r="AQ417" s="45"/>
      <c r="AR417" s="45"/>
      <c r="AS417" s="45"/>
      <c r="AT417" s="45"/>
      <c r="AU417" s="45"/>
      <c r="AV417" s="45"/>
    </row>
    <row r="418"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  <c r="AN418" s="45"/>
      <c r="AO418" s="45"/>
      <c r="AP418" s="45"/>
      <c r="AQ418" s="45"/>
      <c r="AR418" s="45"/>
      <c r="AS418" s="45"/>
      <c r="AT418" s="45"/>
      <c r="AU418" s="45"/>
      <c r="AV418" s="45"/>
    </row>
    <row r="419"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5"/>
      <c r="AO419" s="45"/>
      <c r="AP419" s="45"/>
      <c r="AQ419" s="45"/>
      <c r="AR419" s="45"/>
      <c r="AS419" s="45"/>
      <c r="AT419" s="45"/>
      <c r="AU419" s="45"/>
      <c r="AV419" s="45"/>
    </row>
    <row r="420"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5"/>
      <c r="AO420" s="45"/>
      <c r="AP420" s="45"/>
      <c r="AQ420" s="45"/>
      <c r="AR420" s="45"/>
      <c r="AS420" s="45"/>
      <c r="AT420" s="45"/>
      <c r="AU420" s="45"/>
      <c r="AV420" s="45"/>
    </row>
    <row r="421"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  <c r="AQ421" s="45"/>
      <c r="AR421" s="45"/>
      <c r="AS421" s="45"/>
      <c r="AT421" s="45"/>
      <c r="AU421" s="45"/>
      <c r="AV421" s="45"/>
    </row>
    <row r="422"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  <c r="AP422" s="45"/>
      <c r="AQ422" s="45"/>
      <c r="AR422" s="45"/>
      <c r="AS422" s="45"/>
      <c r="AT422" s="45"/>
      <c r="AU422" s="45"/>
      <c r="AV422" s="45"/>
    </row>
    <row r="423"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  <c r="AQ423" s="45"/>
      <c r="AR423" s="45"/>
      <c r="AS423" s="45"/>
      <c r="AT423" s="45"/>
      <c r="AU423" s="45"/>
      <c r="AV423" s="45"/>
    </row>
    <row r="424"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  <c r="AQ424" s="45"/>
      <c r="AR424" s="45"/>
      <c r="AS424" s="45"/>
      <c r="AT424" s="45"/>
      <c r="AU424" s="45"/>
      <c r="AV424" s="45"/>
    </row>
    <row r="425"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  <c r="AP425" s="45"/>
      <c r="AQ425" s="45"/>
      <c r="AR425" s="45"/>
      <c r="AS425" s="45"/>
      <c r="AT425" s="45"/>
      <c r="AU425" s="45"/>
      <c r="AV425" s="45"/>
    </row>
    <row r="426"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  <c r="AQ426" s="45"/>
      <c r="AR426" s="45"/>
      <c r="AS426" s="45"/>
      <c r="AT426" s="45"/>
      <c r="AU426" s="45"/>
      <c r="AV426" s="45"/>
    </row>
    <row r="427"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  <c r="AQ427" s="45"/>
      <c r="AR427" s="45"/>
      <c r="AS427" s="45"/>
      <c r="AT427" s="45"/>
      <c r="AU427" s="45"/>
      <c r="AV427" s="45"/>
    </row>
    <row r="428"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  <c r="AO428" s="45"/>
      <c r="AP428" s="45"/>
      <c r="AQ428" s="45"/>
      <c r="AR428" s="45"/>
      <c r="AS428" s="45"/>
      <c r="AT428" s="45"/>
      <c r="AU428" s="45"/>
      <c r="AV428" s="45"/>
    </row>
    <row r="429"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  <c r="AQ429" s="45"/>
      <c r="AR429" s="45"/>
      <c r="AS429" s="45"/>
      <c r="AT429" s="45"/>
      <c r="AU429" s="45"/>
      <c r="AV429" s="45"/>
    </row>
    <row r="430"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  <c r="AQ430" s="45"/>
      <c r="AR430" s="45"/>
      <c r="AS430" s="45"/>
      <c r="AT430" s="45"/>
      <c r="AU430" s="45"/>
      <c r="AV430" s="45"/>
    </row>
    <row r="431"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45"/>
      <c r="AR431" s="45"/>
      <c r="AS431" s="45"/>
      <c r="AT431" s="45"/>
      <c r="AU431" s="45"/>
      <c r="AV431" s="45"/>
    </row>
    <row r="432"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  <c r="AQ432" s="45"/>
      <c r="AR432" s="45"/>
      <c r="AS432" s="45"/>
      <c r="AT432" s="45"/>
      <c r="AU432" s="45"/>
      <c r="AV432" s="45"/>
    </row>
    <row r="433"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  <c r="AQ433" s="45"/>
      <c r="AR433" s="45"/>
      <c r="AS433" s="45"/>
      <c r="AT433" s="45"/>
      <c r="AU433" s="45"/>
      <c r="AV433" s="45"/>
    </row>
    <row r="434"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45"/>
      <c r="AR434" s="45"/>
      <c r="AS434" s="45"/>
      <c r="AT434" s="45"/>
      <c r="AU434" s="45"/>
      <c r="AV434" s="45"/>
    </row>
    <row r="435"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45"/>
      <c r="AR435" s="45"/>
      <c r="AS435" s="45"/>
      <c r="AT435" s="45"/>
      <c r="AU435" s="45"/>
      <c r="AV435" s="45"/>
    </row>
    <row r="436"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5"/>
      <c r="AO436" s="45"/>
      <c r="AP436" s="45"/>
      <c r="AQ436" s="45"/>
      <c r="AR436" s="45"/>
      <c r="AS436" s="45"/>
      <c r="AT436" s="45"/>
      <c r="AU436" s="45"/>
      <c r="AV436" s="45"/>
    </row>
    <row r="437"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  <c r="AO437" s="45"/>
      <c r="AP437" s="45"/>
      <c r="AQ437" s="45"/>
      <c r="AR437" s="45"/>
      <c r="AS437" s="45"/>
      <c r="AT437" s="45"/>
      <c r="AU437" s="45"/>
      <c r="AV437" s="45"/>
    </row>
    <row r="438"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  <c r="AQ438" s="45"/>
      <c r="AR438" s="45"/>
      <c r="AS438" s="45"/>
      <c r="AT438" s="45"/>
      <c r="AU438" s="45"/>
      <c r="AV438" s="45"/>
    </row>
    <row r="439"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  <c r="AO439" s="45"/>
      <c r="AP439" s="45"/>
      <c r="AQ439" s="45"/>
      <c r="AR439" s="45"/>
      <c r="AS439" s="45"/>
      <c r="AT439" s="45"/>
      <c r="AU439" s="45"/>
      <c r="AV439" s="45"/>
    </row>
    <row r="440"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  <c r="AU440" s="45"/>
      <c r="AV440" s="45"/>
    </row>
    <row r="441"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  <c r="AP441" s="45"/>
      <c r="AQ441" s="45"/>
      <c r="AR441" s="45"/>
      <c r="AS441" s="45"/>
      <c r="AT441" s="45"/>
      <c r="AU441" s="45"/>
      <c r="AV441" s="45"/>
    </row>
    <row r="442"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  <c r="AU442" s="45"/>
      <c r="AV442" s="45"/>
    </row>
    <row r="443"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  <c r="AQ443" s="45"/>
      <c r="AR443" s="45"/>
      <c r="AS443" s="45"/>
      <c r="AT443" s="45"/>
      <c r="AU443" s="45"/>
      <c r="AV443" s="45"/>
    </row>
    <row r="444"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5"/>
      <c r="AO444" s="45"/>
      <c r="AP444" s="45"/>
      <c r="AQ444" s="45"/>
      <c r="AR444" s="45"/>
      <c r="AS444" s="45"/>
      <c r="AT444" s="45"/>
      <c r="AU444" s="45"/>
      <c r="AV444" s="45"/>
    </row>
    <row r="445"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5"/>
    </row>
    <row r="446"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5"/>
    </row>
    <row r="447"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5"/>
    </row>
    <row r="448"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  <c r="AU448" s="45"/>
      <c r="AV448" s="45"/>
    </row>
    <row r="449"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5"/>
    </row>
    <row r="450"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5"/>
    </row>
    <row r="451"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5"/>
    </row>
    <row r="452"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5"/>
    </row>
    <row r="453"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</row>
    <row r="454"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5"/>
    </row>
    <row r="455"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5"/>
    </row>
    <row r="456"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5"/>
    </row>
    <row r="457"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5"/>
    </row>
    <row r="458"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5"/>
    </row>
    <row r="459"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5"/>
    </row>
    <row r="460"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5"/>
    </row>
    <row r="461"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5"/>
    </row>
    <row r="462"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5"/>
    </row>
    <row r="463"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5"/>
    </row>
    <row r="464"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5"/>
    </row>
    <row r="465"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5"/>
    </row>
    <row r="466"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5"/>
    </row>
    <row r="467"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45"/>
      <c r="AR467" s="45"/>
      <c r="AS467" s="45"/>
      <c r="AT467" s="45"/>
      <c r="AU467" s="45"/>
      <c r="AV467" s="45"/>
    </row>
    <row r="468"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  <c r="AU468" s="45"/>
      <c r="AV468" s="45"/>
    </row>
    <row r="469"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5"/>
    </row>
    <row r="470"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  <c r="AU470" s="45"/>
      <c r="AV470" s="45"/>
    </row>
    <row r="471"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5"/>
    </row>
    <row r="472"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5"/>
    </row>
    <row r="473"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5"/>
    </row>
    <row r="474"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5"/>
    </row>
    <row r="475"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5"/>
    </row>
    <row r="476"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5"/>
    </row>
    <row r="477"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5"/>
    </row>
    <row r="478"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5"/>
    </row>
    <row r="479"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5"/>
    </row>
    <row r="480"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45"/>
    </row>
    <row r="481"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45"/>
    </row>
    <row r="482"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  <c r="AU482" s="45"/>
      <c r="AV482" s="45"/>
    </row>
    <row r="483"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5"/>
    </row>
    <row r="484"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5"/>
    </row>
    <row r="485"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5"/>
    </row>
    <row r="486"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5"/>
    </row>
    <row r="487"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5"/>
    </row>
    <row r="488"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5"/>
    </row>
    <row r="489"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5"/>
    </row>
    <row r="490"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5"/>
    </row>
    <row r="491"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5"/>
    </row>
    <row r="492"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5"/>
    </row>
    <row r="493"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45"/>
    </row>
    <row r="494"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45"/>
    </row>
    <row r="495"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5"/>
    </row>
    <row r="496"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45"/>
    </row>
    <row r="497"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5"/>
    </row>
    <row r="498"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5"/>
    </row>
    <row r="499"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5"/>
    </row>
    <row r="500"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  <c r="AU500" s="45"/>
      <c r="AV500" s="45"/>
    </row>
    <row r="501"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5"/>
    </row>
    <row r="502"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  <c r="AU502" s="45"/>
      <c r="AV502" s="45"/>
    </row>
    <row r="503"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  <c r="AU503" s="45"/>
      <c r="AV503" s="45"/>
    </row>
    <row r="504"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  <c r="AU504" s="45"/>
      <c r="AV504" s="45"/>
    </row>
    <row r="505"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5"/>
    </row>
    <row r="506"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/>
      <c r="AR506" s="45"/>
      <c r="AS506" s="45"/>
      <c r="AT506" s="45"/>
      <c r="AU506" s="45"/>
      <c r="AV506" s="45"/>
    </row>
    <row r="507"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5"/>
    </row>
    <row r="508"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  <c r="AR508" s="45"/>
      <c r="AS508" s="45"/>
      <c r="AT508" s="45"/>
      <c r="AU508" s="45"/>
      <c r="AV508" s="45"/>
    </row>
    <row r="509"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  <c r="AU509" s="45"/>
      <c r="AV509" s="45"/>
    </row>
    <row r="510"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45"/>
      <c r="AR510" s="45"/>
      <c r="AS510" s="45"/>
      <c r="AT510" s="45"/>
      <c r="AU510" s="45"/>
      <c r="AV510" s="45"/>
    </row>
    <row r="511"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5"/>
    </row>
    <row r="512"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45"/>
      <c r="AR512" s="45"/>
      <c r="AS512" s="45"/>
      <c r="AT512" s="45"/>
      <c r="AU512" s="45"/>
      <c r="AV512" s="45"/>
    </row>
    <row r="513"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5"/>
    </row>
    <row r="514"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  <c r="AR514" s="45"/>
      <c r="AS514" s="45"/>
      <c r="AT514" s="45"/>
      <c r="AU514" s="45"/>
      <c r="AV514" s="45"/>
    </row>
    <row r="515"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  <c r="AR515" s="45"/>
      <c r="AS515" s="45"/>
      <c r="AT515" s="45"/>
      <c r="AU515" s="45"/>
      <c r="AV515" s="45"/>
    </row>
    <row r="516"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45"/>
      <c r="AS516" s="45"/>
      <c r="AT516" s="45"/>
      <c r="AU516" s="45"/>
      <c r="AV516" s="45"/>
    </row>
    <row r="517"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5"/>
    </row>
    <row r="518"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45"/>
      <c r="AR518" s="45"/>
      <c r="AS518" s="45"/>
      <c r="AT518" s="45"/>
      <c r="AU518" s="45"/>
      <c r="AV518" s="45"/>
    </row>
    <row r="519"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  <c r="AR519" s="45"/>
      <c r="AS519" s="45"/>
      <c r="AT519" s="45"/>
      <c r="AU519" s="45"/>
      <c r="AV519" s="45"/>
    </row>
    <row r="520"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5"/>
    </row>
    <row r="521"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5"/>
    </row>
    <row r="522"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  <c r="AR522" s="45"/>
      <c r="AS522" s="45"/>
      <c r="AT522" s="45"/>
      <c r="AU522" s="45"/>
      <c r="AV522" s="45"/>
    </row>
    <row r="523"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  <c r="AU523" s="45"/>
      <c r="AV523" s="45"/>
    </row>
    <row r="524"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  <c r="AU524" s="45"/>
      <c r="AV524" s="45"/>
    </row>
    <row r="525"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  <c r="AU525" s="45"/>
      <c r="AV525" s="45"/>
    </row>
    <row r="526"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  <c r="AU526" s="45"/>
      <c r="AV526" s="45"/>
    </row>
    <row r="527"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5"/>
    </row>
    <row r="528"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45"/>
      <c r="AR528" s="45"/>
      <c r="AS528" s="45"/>
      <c r="AT528" s="45"/>
      <c r="AU528" s="45"/>
      <c r="AV528" s="45"/>
    </row>
    <row r="529"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5"/>
    </row>
    <row r="530"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5"/>
    </row>
    <row r="531"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5"/>
    </row>
    <row r="532"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45"/>
    </row>
    <row r="533"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5"/>
    </row>
    <row r="534"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5"/>
    </row>
    <row r="535"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</row>
    <row r="536"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45"/>
    </row>
    <row r="537"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5"/>
    </row>
    <row r="538"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  <c r="AU538" s="45"/>
      <c r="AV538" s="45"/>
    </row>
    <row r="539"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5"/>
    </row>
    <row r="540"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45"/>
    </row>
    <row r="541"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  <c r="AU541" s="45"/>
      <c r="AV541" s="45"/>
    </row>
    <row r="542"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  <c r="AU542" s="45"/>
      <c r="AV542" s="45"/>
    </row>
    <row r="543"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5"/>
    </row>
    <row r="544"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45"/>
    </row>
    <row r="545"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5"/>
    </row>
    <row r="546"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45"/>
    </row>
    <row r="547"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5"/>
    </row>
    <row r="548"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45"/>
      <c r="AR548" s="45"/>
      <c r="AS548" s="45"/>
      <c r="AT548" s="45"/>
      <c r="AU548" s="45"/>
      <c r="AV548" s="45"/>
    </row>
    <row r="549"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  <c r="AU549" s="45"/>
      <c r="AV549" s="45"/>
    </row>
    <row r="550"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  <c r="AR550" s="45"/>
      <c r="AS550" s="45"/>
      <c r="AT550" s="45"/>
      <c r="AU550" s="45"/>
      <c r="AV550" s="45"/>
    </row>
    <row r="551"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45"/>
      <c r="AR551" s="45"/>
      <c r="AS551" s="45"/>
      <c r="AT551" s="45"/>
      <c r="AU551" s="45"/>
      <c r="AV551" s="45"/>
    </row>
    <row r="552"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45"/>
      <c r="AR552" s="45"/>
      <c r="AS552" s="45"/>
      <c r="AT552" s="45"/>
      <c r="AU552" s="45"/>
      <c r="AV552" s="45"/>
    </row>
    <row r="553"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  <c r="AU553" s="45"/>
      <c r="AV553" s="45"/>
    </row>
    <row r="554"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  <c r="AQ554" s="45"/>
      <c r="AR554" s="45"/>
      <c r="AS554" s="45"/>
      <c r="AT554" s="45"/>
      <c r="AU554" s="45"/>
      <c r="AV554" s="45"/>
    </row>
    <row r="555"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45"/>
      <c r="AR555" s="45"/>
      <c r="AS555" s="45"/>
      <c r="AT555" s="45"/>
      <c r="AU555" s="45"/>
      <c r="AV555" s="45"/>
    </row>
    <row r="556"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45"/>
      <c r="AR556" s="45"/>
      <c r="AS556" s="45"/>
      <c r="AT556" s="45"/>
      <c r="AU556" s="45"/>
      <c r="AV556" s="45"/>
    </row>
    <row r="557"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5"/>
    </row>
    <row r="558"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45"/>
      <c r="AR558" s="45"/>
      <c r="AS558" s="45"/>
      <c r="AT558" s="45"/>
      <c r="AU558" s="45"/>
      <c r="AV558" s="45"/>
    </row>
    <row r="559"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  <c r="AU559" s="45"/>
      <c r="AV559" s="45"/>
    </row>
    <row r="560"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  <c r="AU560" s="45"/>
      <c r="AV560" s="45"/>
    </row>
    <row r="561"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5"/>
    </row>
    <row r="562"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  <c r="AU562" s="45"/>
      <c r="AV562" s="45"/>
    </row>
    <row r="563"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5"/>
    </row>
    <row r="564"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45"/>
      <c r="AR564" s="45"/>
      <c r="AS564" s="45"/>
      <c r="AT564" s="45"/>
      <c r="AU564" s="45"/>
      <c r="AV564" s="45"/>
    </row>
    <row r="565"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5"/>
    </row>
    <row r="566"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  <c r="AU566" s="45"/>
      <c r="AV566" s="45"/>
    </row>
    <row r="567"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  <c r="AU567" s="45"/>
      <c r="AV567" s="45"/>
    </row>
    <row r="568"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  <c r="AU568" s="45"/>
      <c r="AV568" s="45"/>
    </row>
    <row r="569"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5"/>
    </row>
    <row r="570"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5"/>
    </row>
    <row r="571"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  <c r="AU571" s="45"/>
      <c r="AV571" s="45"/>
    </row>
    <row r="572"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45"/>
      <c r="AR572" s="45"/>
      <c r="AS572" s="45"/>
      <c r="AT572" s="45"/>
      <c r="AU572" s="45"/>
      <c r="AV572" s="45"/>
    </row>
    <row r="573"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5"/>
    </row>
    <row r="574"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45"/>
      <c r="AR574" s="45"/>
      <c r="AS574" s="45"/>
      <c r="AT574" s="45"/>
      <c r="AU574" s="45"/>
      <c r="AV574" s="45"/>
    </row>
    <row r="575"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  <c r="AU575" s="45"/>
      <c r="AV575" s="45"/>
    </row>
    <row r="576"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  <c r="AR576" s="45"/>
      <c r="AS576" s="45"/>
      <c r="AT576" s="45"/>
      <c r="AU576" s="45"/>
      <c r="AV576" s="45"/>
    </row>
    <row r="577"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  <c r="AU577" s="45"/>
      <c r="AV577" s="45"/>
    </row>
    <row r="578"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45"/>
      <c r="AR578" s="45"/>
      <c r="AS578" s="45"/>
      <c r="AT578" s="45"/>
      <c r="AU578" s="45"/>
      <c r="AV578" s="45"/>
    </row>
    <row r="579"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5"/>
    </row>
    <row r="580"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45"/>
      <c r="AR580" s="45"/>
      <c r="AS580" s="45"/>
      <c r="AT580" s="45"/>
      <c r="AU580" s="45"/>
      <c r="AV580" s="45"/>
    </row>
    <row r="581"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5"/>
    </row>
    <row r="582"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  <c r="AU582" s="45"/>
      <c r="AV582" s="45"/>
    </row>
    <row r="583"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5"/>
    </row>
    <row r="584"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45"/>
      <c r="AR584" s="45"/>
      <c r="AS584" s="45"/>
      <c r="AT584" s="45"/>
      <c r="AU584" s="45"/>
      <c r="AV584" s="45"/>
    </row>
    <row r="585"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5"/>
    </row>
    <row r="586"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  <c r="AR586" s="45"/>
      <c r="AS586" s="45"/>
      <c r="AT586" s="45"/>
      <c r="AU586" s="45"/>
      <c r="AV586" s="45"/>
    </row>
    <row r="587"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</row>
    <row r="588"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5"/>
    </row>
    <row r="589"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5"/>
    </row>
    <row r="590"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45"/>
    </row>
    <row r="591"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5"/>
    </row>
    <row r="592"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  <c r="AU592" s="45"/>
      <c r="AV592" s="45"/>
    </row>
    <row r="593"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45"/>
    </row>
    <row r="594"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45"/>
      <c r="AR594" s="45"/>
      <c r="AS594" s="45"/>
      <c r="AT594" s="45"/>
      <c r="AU594" s="45"/>
      <c r="AV594" s="45"/>
    </row>
    <row r="595"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5"/>
    </row>
    <row r="596"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45"/>
    </row>
    <row r="597"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45"/>
    </row>
    <row r="598"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  <c r="AU598" s="45"/>
      <c r="AV598" s="45"/>
    </row>
    <row r="599"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5"/>
    </row>
    <row r="600"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45"/>
      <c r="AR600" s="45"/>
      <c r="AS600" s="45"/>
      <c r="AT600" s="45"/>
      <c r="AU600" s="45"/>
      <c r="AV600" s="45"/>
    </row>
    <row r="601"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  <c r="AU601" s="45"/>
      <c r="AV601" s="45"/>
    </row>
    <row r="602"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  <c r="AU602" s="45"/>
      <c r="AV602" s="45"/>
    </row>
    <row r="603"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45"/>
      <c r="AR603" s="45"/>
      <c r="AS603" s="45"/>
      <c r="AT603" s="45"/>
      <c r="AU603" s="45"/>
      <c r="AV603" s="45"/>
    </row>
    <row r="604"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45"/>
      <c r="AR604" s="45"/>
      <c r="AS604" s="45"/>
      <c r="AT604" s="45"/>
      <c r="AU604" s="45"/>
      <c r="AV604" s="45"/>
    </row>
    <row r="605"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45"/>
      <c r="AS605" s="45"/>
      <c r="AT605" s="45"/>
      <c r="AU605" s="45"/>
      <c r="AV605" s="45"/>
    </row>
    <row r="606"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  <c r="AR606" s="45"/>
      <c r="AS606" s="45"/>
      <c r="AT606" s="45"/>
      <c r="AU606" s="45"/>
      <c r="AV606" s="45"/>
    </row>
    <row r="607"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45"/>
      <c r="AR607" s="45"/>
      <c r="AS607" s="45"/>
      <c r="AT607" s="45"/>
      <c r="AU607" s="45"/>
      <c r="AV607" s="45"/>
    </row>
    <row r="608"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45"/>
      <c r="AR608" s="45"/>
      <c r="AS608" s="45"/>
      <c r="AT608" s="45"/>
      <c r="AU608" s="45"/>
      <c r="AV608" s="45"/>
    </row>
    <row r="609"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  <c r="AU609" s="45"/>
      <c r="AV609" s="45"/>
    </row>
    <row r="610"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45"/>
      <c r="AR610" s="45"/>
      <c r="AS610" s="45"/>
      <c r="AT610" s="45"/>
      <c r="AU610" s="45"/>
      <c r="AV610" s="45"/>
    </row>
    <row r="611"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45"/>
      <c r="AR611" s="45"/>
      <c r="AS611" s="45"/>
      <c r="AT611" s="45"/>
      <c r="AU611" s="45"/>
      <c r="AV611" s="45"/>
    </row>
    <row r="612"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45"/>
      <c r="AR612" s="45"/>
      <c r="AS612" s="45"/>
      <c r="AT612" s="45"/>
      <c r="AU612" s="45"/>
      <c r="AV612" s="45"/>
    </row>
    <row r="613"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  <c r="AU613" s="45"/>
      <c r="AV613" s="45"/>
    </row>
    <row r="614"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  <c r="AQ614" s="45"/>
      <c r="AR614" s="45"/>
      <c r="AS614" s="45"/>
      <c r="AT614" s="45"/>
      <c r="AU614" s="45"/>
      <c r="AV614" s="45"/>
    </row>
    <row r="615"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45"/>
      <c r="AR615" s="45"/>
      <c r="AS615" s="45"/>
      <c r="AT615" s="45"/>
      <c r="AU615" s="45"/>
      <c r="AV615" s="45"/>
    </row>
    <row r="616"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45"/>
      <c r="AR616" s="45"/>
      <c r="AS616" s="45"/>
      <c r="AT616" s="45"/>
      <c r="AU616" s="45"/>
      <c r="AV616" s="45"/>
    </row>
    <row r="617"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45"/>
      <c r="AR617" s="45"/>
      <c r="AS617" s="45"/>
      <c r="AT617" s="45"/>
      <c r="AU617" s="45"/>
      <c r="AV617" s="45"/>
    </row>
    <row r="618"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45"/>
      <c r="AR618" s="45"/>
      <c r="AS618" s="45"/>
      <c r="AT618" s="45"/>
      <c r="AU618" s="45"/>
      <c r="AV618" s="45"/>
    </row>
    <row r="619"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45"/>
      <c r="AR619" s="45"/>
      <c r="AS619" s="45"/>
      <c r="AT619" s="45"/>
      <c r="AU619" s="45"/>
      <c r="AV619" s="45"/>
    </row>
    <row r="620"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  <c r="AQ620" s="45"/>
      <c r="AR620" s="45"/>
      <c r="AS620" s="45"/>
      <c r="AT620" s="45"/>
      <c r="AU620" s="45"/>
      <c r="AV620" s="45"/>
    </row>
    <row r="621"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  <c r="AU621" s="45"/>
      <c r="AV621" s="45"/>
    </row>
    <row r="622"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45"/>
      <c r="AR622" s="45"/>
      <c r="AS622" s="45"/>
      <c r="AT622" s="45"/>
      <c r="AU622" s="45"/>
      <c r="AV622" s="45"/>
    </row>
    <row r="623"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45"/>
      <c r="AR623" s="45"/>
      <c r="AS623" s="45"/>
      <c r="AT623" s="45"/>
      <c r="AU623" s="45"/>
      <c r="AV623" s="45"/>
    </row>
    <row r="624"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45"/>
      <c r="AR624" s="45"/>
      <c r="AS624" s="45"/>
      <c r="AT624" s="45"/>
      <c r="AU624" s="45"/>
      <c r="AV624" s="45"/>
    </row>
    <row r="625"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  <c r="AU625" s="45"/>
      <c r="AV625" s="45"/>
    </row>
    <row r="626"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  <c r="AQ626" s="45"/>
      <c r="AR626" s="45"/>
      <c r="AS626" s="45"/>
      <c r="AT626" s="45"/>
      <c r="AU626" s="45"/>
      <c r="AV626" s="45"/>
    </row>
    <row r="627"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45"/>
      <c r="AR627" s="45"/>
      <c r="AS627" s="45"/>
      <c r="AT627" s="45"/>
      <c r="AU627" s="45"/>
      <c r="AV627" s="45"/>
    </row>
    <row r="628"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  <c r="AQ628" s="45"/>
      <c r="AR628" s="45"/>
      <c r="AS628" s="45"/>
      <c r="AT628" s="45"/>
      <c r="AU628" s="45"/>
      <c r="AV628" s="45"/>
    </row>
    <row r="629"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  <c r="AQ629" s="45"/>
      <c r="AR629" s="45"/>
      <c r="AS629" s="45"/>
      <c r="AT629" s="45"/>
      <c r="AU629" s="45"/>
      <c r="AV629" s="45"/>
    </row>
    <row r="630"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  <c r="AQ630" s="45"/>
      <c r="AR630" s="45"/>
      <c r="AS630" s="45"/>
      <c r="AT630" s="45"/>
      <c r="AU630" s="45"/>
      <c r="AV630" s="45"/>
    </row>
    <row r="631"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5"/>
    </row>
    <row r="632"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  <c r="AQ632" s="45"/>
      <c r="AR632" s="45"/>
      <c r="AS632" s="45"/>
      <c r="AT632" s="45"/>
      <c r="AU632" s="45"/>
      <c r="AV632" s="45"/>
    </row>
    <row r="633"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45"/>
      <c r="AR633" s="45"/>
      <c r="AS633" s="45"/>
      <c r="AT633" s="45"/>
      <c r="AU633" s="45"/>
      <c r="AV633" s="45"/>
    </row>
    <row r="634"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  <c r="AQ634" s="45"/>
      <c r="AR634" s="45"/>
      <c r="AS634" s="45"/>
      <c r="AT634" s="45"/>
      <c r="AU634" s="45"/>
      <c r="AV634" s="45"/>
    </row>
    <row r="635"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  <c r="AU635" s="45"/>
      <c r="AV635" s="45"/>
    </row>
    <row r="636"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45"/>
      <c r="AR636" s="45"/>
      <c r="AS636" s="45"/>
      <c r="AT636" s="45"/>
      <c r="AU636" s="45"/>
      <c r="AV636" s="45"/>
    </row>
    <row r="637"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45"/>
      <c r="AR637" s="45"/>
      <c r="AS637" s="45"/>
      <c r="AT637" s="45"/>
      <c r="AU637" s="45"/>
      <c r="AV637" s="45"/>
    </row>
    <row r="638"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  <c r="AQ638" s="45"/>
      <c r="AR638" s="45"/>
      <c r="AS638" s="45"/>
      <c r="AT638" s="45"/>
      <c r="AU638" s="45"/>
      <c r="AV638" s="45"/>
    </row>
    <row r="639"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  <c r="AU639" s="45"/>
      <c r="AV639" s="45"/>
    </row>
    <row r="640"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45"/>
      <c r="AR640" s="45"/>
      <c r="AS640" s="45"/>
      <c r="AT640" s="45"/>
      <c r="AU640" s="45"/>
      <c r="AV640" s="45"/>
    </row>
    <row r="641"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45"/>
      <c r="AR641" s="45"/>
      <c r="AS641" s="45"/>
      <c r="AT641" s="45"/>
      <c r="AU641" s="45"/>
      <c r="AV641" s="45"/>
    </row>
    <row r="642"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45"/>
      <c r="AR642" s="45"/>
      <c r="AS642" s="45"/>
      <c r="AT642" s="45"/>
      <c r="AU642" s="45"/>
      <c r="AV642" s="45"/>
    </row>
    <row r="643"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  <c r="AU643" s="45"/>
      <c r="AV643" s="45"/>
    </row>
    <row r="644"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45"/>
      <c r="AR644" s="45"/>
      <c r="AS644" s="45"/>
      <c r="AT644" s="45"/>
      <c r="AU644" s="45"/>
      <c r="AV644" s="45"/>
    </row>
    <row r="645"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45"/>
      <c r="AR645" s="45"/>
      <c r="AS645" s="45"/>
      <c r="AT645" s="45"/>
      <c r="AU645" s="45"/>
      <c r="AV645" s="45"/>
    </row>
    <row r="646"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45"/>
      <c r="AR646" s="45"/>
      <c r="AS646" s="45"/>
      <c r="AT646" s="45"/>
      <c r="AU646" s="45"/>
      <c r="AV646" s="45"/>
    </row>
    <row r="647"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5"/>
    </row>
    <row r="648"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45"/>
      <c r="AR648" s="45"/>
      <c r="AS648" s="45"/>
      <c r="AT648" s="45"/>
      <c r="AU648" s="45"/>
      <c r="AV648" s="45"/>
    </row>
    <row r="649"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5"/>
    </row>
    <row r="650"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  <c r="AU650" s="45"/>
      <c r="AV650" s="45"/>
    </row>
    <row r="651"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5"/>
    </row>
    <row r="652"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45"/>
      <c r="AR652" s="45"/>
      <c r="AS652" s="45"/>
      <c r="AT652" s="45"/>
      <c r="AU652" s="45"/>
      <c r="AV652" s="45"/>
    </row>
    <row r="653"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  <c r="AU653" s="45"/>
      <c r="AV653" s="45"/>
    </row>
    <row r="654"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45"/>
      <c r="AR654" s="45"/>
      <c r="AS654" s="45"/>
      <c r="AT654" s="45"/>
      <c r="AU654" s="45"/>
      <c r="AV654" s="45"/>
    </row>
    <row r="655"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  <c r="AU655" s="45"/>
      <c r="AV655" s="45"/>
    </row>
    <row r="656"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  <c r="AU656" s="45"/>
      <c r="AV656" s="45"/>
    </row>
    <row r="657"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</row>
    <row r="658"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5"/>
    </row>
    <row r="659"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  <c r="AU659" s="45"/>
      <c r="AV659" s="45"/>
    </row>
    <row r="660"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45"/>
      <c r="AR660" s="45"/>
      <c r="AS660" s="45"/>
      <c r="AT660" s="45"/>
      <c r="AU660" s="45"/>
      <c r="AV660" s="45"/>
    </row>
    <row r="661"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5"/>
    </row>
    <row r="662"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  <c r="AQ662" s="45"/>
      <c r="AR662" s="45"/>
      <c r="AS662" s="45"/>
      <c r="AT662" s="45"/>
      <c r="AU662" s="45"/>
      <c r="AV662" s="45"/>
    </row>
    <row r="663"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45"/>
      <c r="AR663" s="45"/>
      <c r="AS663" s="45"/>
      <c r="AT663" s="45"/>
      <c r="AU663" s="45"/>
      <c r="AV663" s="45"/>
    </row>
    <row r="664"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  <c r="AQ664" s="45"/>
      <c r="AR664" s="45"/>
      <c r="AS664" s="45"/>
      <c r="AT664" s="45"/>
      <c r="AU664" s="45"/>
      <c r="AV664" s="45"/>
    </row>
    <row r="665"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5"/>
    </row>
    <row r="666"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  <c r="AQ666" s="45"/>
      <c r="AR666" s="45"/>
      <c r="AS666" s="45"/>
      <c r="AT666" s="45"/>
      <c r="AU666" s="45"/>
      <c r="AV666" s="45"/>
    </row>
    <row r="667"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45"/>
      <c r="AR667" s="45"/>
      <c r="AS667" s="45"/>
      <c r="AT667" s="45"/>
      <c r="AU667" s="45"/>
      <c r="AV667" s="45"/>
    </row>
    <row r="668"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  <c r="AQ668" s="45"/>
      <c r="AR668" s="45"/>
      <c r="AS668" s="45"/>
      <c r="AT668" s="45"/>
      <c r="AU668" s="45"/>
      <c r="AV668" s="45"/>
    </row>
    <row r="669"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5"/>
    </row>
    <row r="670"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45"/>
      <c r="AR670" s="45"/>
      <c r="AS670" s="45"/>
      <c r="AT670" s="45"/>
      <c r="AU670" s="45"/>
      <c r="AV670" s="45"/>
    </row>
    <row r="671"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45"/>
      <c r="AR671" s="45"/>
      <c r="AS671" s="45"/>
      <c r="AT671" s="45"/>
      <c r="AU671" s="45"/>
      <c r="AV671" s="45"/>
    </row>
    <row r="672"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45"/>
      <c r="AR672" s="45"/>
      <c r="AS672" s="45"/>
      <c r="AT672" s="45"/>
      <c r="AU672" s="45"/>
      <c r="AV672" s="45"/>
    </row>
    <row r="673"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  <c r="AU673" s="45"/>
      <c r="AV673" s="45"/>
    </row>
    <row r="674"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45"/>
      <c r="AR674" s="45"/>
      <c r="AS674" s="45"/>
      <c r="AT674" s="45"/>
      <c r="AU674" s="45"/>
      <c r="AV674" s="45"/>
    </row>
    <row r="675"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45"/>
      <c r="AR675" s="45"/>
      <c r="AS675" s="45"/>
      <c r="AT675" s="45"/>
      <c r="AU675" s="45"/>
      <c r="AV675" s="45"/>
    </row>
    <row r="676"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45"/>
      <c r="AR676" s="45"/>
      <c r="AS676" s="45"/>
      <c r="AT676" s="45"/>
      <c r="AU676" s="45"/>
      <c r="AV676" s="45"/>
    </row>
    <row r="677"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  <c r="AU677" s="45"/>
      <c r="AV677" s="45"/>
    </row>
    <row r="678"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45"/>
      <c r="AR678" s="45"/>
      <c r="AS678" s="45"/>
      <c r="AT678" s="45"/>
      <c r="AU678" s="45"/>
      <c r="AV678" s="45"/>
    </row>
    <row r="679"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  <c r="AQ679" s="45"/>
      <c r="AR679" s="45"/>
      <c r="AS679" s="45"/>
      <c r="AT679" s="45"/>
      <c r="AU679" s="45"/>
      <c r="AV679" s="45"/>
    </row>
    <row r="680"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  <c r="AQ680" s="45"/>
      <c r="AR680" s="45"/>
      <c r="AS680" s="45"/>
      <c r="AT680" s="45"/>
      <c r="AU680" s="45"/>
      <c r="AV680" s="45"/>
    </row>
    <row r="681"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45"/>
      <c r="AR681" s="45"/>
      <c r="AS681" s="45"/>
      <c r="AT681" s="45"/>
      <c r="AU681" s="45"/>
      <c r="AV681" s="45"/>
    </row>
    <row r="682"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45"/>
      <c r="AR682" s="45"/>
      <c r="AS682" s="45"/>
      <c r="AT682" s="45"/>
      <c r="AU682" s="45"/>
      <c r="AV682" s="45"/>
    </row>
    <row r="683"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45"/>
      <c r="AR683" s="45"/>
      <c r="AS683" s="45"/>
      <c r="AT683" s="45"/>
      <c r="AU683" s="45"/>
      <c r="AV683" s="45"/>
    </row>
    <row r="684"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  <c r="AQ684" s="45"/>
      <c r="AR684" s="45"/>
      <c r="AS684" s="45"/>
      <c r="AT684" s="45"/>
      <c r="AU684" s="45"/>
      <c r="AV684" s="45"/>
    </row>
    <row r="685"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  <c r="AQ685" s="45"/>
      <c r="AR685" s="45"/>
      <c r="AS685" s="45"/>
      <c r="AT685" s="45"/>
      <c r="AU685" s="45"/>
      <c r="AV685" s="45"/>
    </row>
    <row r="686"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  <c r="AQ686" s="45"/>
      <c r="AR686" s="45"/>
      <c r="AS686" s="45"/>
      <c r="AT686" s="45"/>
      <c r="AU686" s="45"/>
      <c r="AV686" s="45"/>
    </row>
    <row r="687"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  <c r="AU687" s="45"/>
      <c r="AV687" s="45"/>
    </row>
    <row r="688"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45"/>
      <c r="AR688" s="45"/>
      <c r="AS688" s="45"/>
      <c r="AT688" s="45"/>
      <c r="AU688" s="45"/>
      <c r="AV688" s="45"/>
    </row>
    <row r="689"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45"/>
      <c r="AR689" s="45"/>
      <c r="AS689" s="45"/>
      <c r="AT689" s="45"/>
      <c r="AU689" s="45"/>
      <c r="AV689" s="45"/>
    </row>
    <row r="690"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45"/>
      <c r="AR690" s="45"/>
      <c r="AS690" s="45"/>
      <c r="AT690" s="45"/>
      <c r="AU690" s="45"/>
      <c r="AV690" s="45"/>
    </row>
    <row r="691"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  <c r="AU691" s="45"/>
      <c r="AV691" s="45"/>
    </row>
    <row r="692"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  <c r="AU692" s="45"/>
      <c r="AV692" s="45"/>
    </row>
    <row r="693"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45"/>
      <c r="AR693" s="45"/>
      <c r="AS693" s="45"/>
      <c r="AT693" s="45"/>
      <c r="AU693" s="45"/>
      <c r="AV693" s="45"/>
    </row>
    <row r="694"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45"/>
      <c r="AR694" s="45"/>
      <c r="AS694" s="45"/>
      <c r="AT694" s="45"/>
      <c r="AU694" s="45"/>
      <c r="AV694" s="45"/>
    </row>
    <row r="695"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45"/>
      <c r="AS695" s="45"/>
      <c r="AT695" s="45"/>
      <c r="AU695" s="45"/>
      <c r="AV695" s="45"/>
    </row>
    <row r="696"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45"/>
      <c r="AR696" s="45"/>
      <c r="AS696" s="45"/>
      <c r="AT696" s="45"/>
      <c r="AU696" s="45"/>
      <c r="AV696" s="45"/>
    </row>
    <row r="697"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45"/>
      <c r="AR697" s="45"/>
      <c r="AS697" s="45"/>
      <c r="AT697" s="45"/>
      <c r="AU697" s="45"/>
      <c r="AV697" s="45"/>
    </row>
    <row r="698"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45"/>
      <c r="AR698" s="45"/>
      <c r="AS698" s="45"/>
      <c r="AT698" s="45"/>
      <c r="AU698" s="45"/>
      <c r="AV698" s="45"/>
    </row>
    <row r="699"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  <c r="AU699" s="45"/>
      <c r="AV699" s="45"/>
    </row>
    <row r="700"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45"/>
      <c r="AR700" s="45"/>
      <c r="AS700" s="45"/>
      <c r="AT700" s="45"/>
      <c r="AU700" s="45"/>
      <c r="AV700" s="45"/>
    </row>
    <row r="701"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45"/>
      <c r="AR701" s="45"/>
      <c r="AS701" s="45"/>
      <c r="AT701" s="45"/>
      <c r="AU701" s="45"/>
      <c r="AV701" s="45"/>
    </row>
    <row r="702"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45"/>
      <c r="AR702" s="45"/>
      <c r="AS702" s="45"/>
      <c r="AT702" s="45"/>
      <c r="AU702" s="45"/>
      <c r="AV702" s="45"/>
    </row>
    <row r="703"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  <c r="AU703" s="45"/>
      <c r="AV703" s="45"/>
    </row>
    <row r="704"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45"/>
      <c r="AR704" s="45"/>
      <c r="AS704" s="45"/>
      <c r="AT704" s="45"/>
      <c r="AU704" s="45"/>
      <c r="AV704" s="45"/>
    </row>
    <row r="705"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45"/>
      <c r="AR705" s="45"/>
      <c r="AS705" s="45"/>
      <c r="AT705" s="45"/>
      <c r="AU705" s="45"/>
      <c r="AV705" s="45"/>
    </row>
    <row r="706"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45"/>
      <c r="AR706" s="45"/>
      <c r="AS706" s="45"/>
      <c r="AT706" s="45"/>
      <c r="AU706" s="45"/>
      <c r="AV706" s="45"/>
    </row>
    <row r="707"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  <c r="AQ707" s="45"/>
      <c r="AR707" s="45"/>
      <c r="AS707" s="45"/>
      <c r="AT707" s="45"/>
      <c r="AU707" s="45"/>
      <c r="AV707" s="45"/>
    </row>
    <row r="708"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  <c r="AU708" s="45"/>
      <c r="AV708" s="45"/>
    </row>
    <row r="709"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  <c r="AU709" s="45"/>
      <c r="AV709" s="45"/>
    </row>
    <row r="710"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  <c r="AU710" s="45"/>
      <c r="AV710" s="45"/>
    </row>
    <row r="711"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  <c r="AQ711" s="45"/>
      <c r="AR711" s="45"/>
      <c r="AS711" s="45"/>
      <c r="AT711" s="45"/>
      <c r="AU711" s="45"/>
      <c r="AV711" s="45"/>
    </row>
    <row r="712"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  <c r="AU712" s="45"/>
      <c r="AV712" s="45"/>
    </row>
    <row r="713"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45"/>
      <c r="AR713" s="45"/>
      <c r="AS713" s="45"/>
      <c r="AT713" s="45"/>
      <c r="AU713" s="45"/>
      <c r="AV713" s="45"/>
    </row>
    <row r="714"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45"/>
      <c r="AR714" s="45"/>
      <c r="AS714" s="45"/>
      <c r="AT714" s="45"/>
      <c r="AU714" s="45"/>
      <c r="AV714" s="45"/>
    </row>
    <row r="715"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  <c r="AQ715" s="45"/>
      <c r="AR715" s="45"/>
      <c r="AS715" s="45"/>
      <c r="AT715" s="45"/>
      <c r="AU715" s="45"/>
      <c r="AV715" s="45"/>
    </row>
    <row r="716"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45"/>
      <c r="AR716" s="45"/>
      <c r="AS716" s="45"/>
      <c r="AT716" s="45"/>
      <c r="AU716" s="45"/>
      <c r="AV716" s="45"/>
    </row>
    <row r="717"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45"/>
      <c r="AR717" s="45"/>
      <c r="AS717" s="45"/>
      <c r="AT717" s="45"/>
      <c r="AU717" s="45"/>
      <c r="AV717" s="45"/>
    </row>
    <row r="718"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  <c r="AU718" s="45"/>
      <c r="AV718" s="45"/>
    </row>
    <row r="719"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45"/>
      <c r="AR719" s="45"/>
      <c r="AS719" s="45"/>
      <c r="AT719" s="45"/>
      <c r="AU719" s="45"/>
      <c r="AV719" s="45"/>
    </row>
    <row r="720"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45"/>
      <c r="AR720" s="45"/>
      <c r="AS720" s="45"/>
      <c r="AT720" s="45"/>
      <c r="AU720" s="45"/>
      <c r="AV720" s="45"/>
    </row>
    <row r="721"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  <c r="AU721" s="45"/>
      <c r="AV721" s="45"/>
    </row>
    <row r="722"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45"/>
      <c r="AR722" s="45"/>
      <c r="AS722" s="45"/>
      <c r="AT722" s="45"/>
      <c r="AU722" s="45"/>
      <c r="AV722" s="45"/>
    </row>
    <row r="723"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45"/>
      <c r="AR723" s="45"/>
      <c r="AS723" s="45"/>
      <c r="AT723" s="45"/>
      <c r="AU723" s="45"/>
      <c r="AV723" s="45"/>
    </row>
    <row r="724"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45"/>
      <c r="AR724" s="45"/>
      <c r="AS724" s="45"/>
      <c r="AT724" s="45"/>
      <c r="AU724" s="45"/>
      <c r="AV724" s="45"/>
    </row>
    <row r="725"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  <c r="AU725" s="45"/>
      <c r="AV725" s="45"/>
    </row>
    <row r="726"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45"/>
      <c r="AR726" s="45"/>
      <c r="AS726" s="45"/>
      <c r="AT726" s="45"/>
      <c r="AU726" s="45"/>
      <c r="AV726" s="45"/>
    </row>
    <row r="727"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45"/>
      <c r="AR727" s="45"/>
      <c r="AS727" s="45"/>
      <c r="AT727" s="45"/>
      <c r="AU727" s="45"/>
      <c r="AV727" s="45"/>
    </row>
    <row r="728"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45"/>
      <c r="AR728" s="45"/>
      <c r="AS728" s="45"/>
      <c r="AT728" s="45"/>
      <c r="AU728" s="45"/>
      <c r="AV728" s="45"/>
    </row>
    <row r="729"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  <c r="AU729" s="45"/>
      <c r="AV729" s="45"/>
    </row>
    <row r="730"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  <c r="AU730" s="45"/>
      <c r="AV730" s="45"/>
    </row>
    <row r="731"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45"/>
      <c r="AR731" s="45"/>
      <c r="AS731" s="45"/>
      <c r="AT731" s="45"/>
      <c r="AU731" s="45"/>
      <c r="AV731" s="45"/>
    </row>
    <row r="732"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  <c r="AU732" s="45"/>
      <c r="AV732" s="45"/>
    </row>
    <row r="733"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45"/>
      <c r="AR733" s="45"/>
      <c r="AS733" s="45"/>
      <c r="AT733" s="45"/>
      <c r="AU733" s="45"/>
      <c r="AV733" s="45"/>
    </row>
    <row r="734"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  <c r="AU734" s="45"/>
      <c r="AV734" s="45"/>
    </row>
    <row r="735"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5"/>
    </row>
    <row r="736"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45"/>
      <c r="AR736" s="45"/>
      <c r="AS736" s="45"/>
      <c r="AT736" s="45"/>
      <c r="AU736" s="45"/>
      <c r="AV736" s="45"/>
    </row>
    <row r="737"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45"/>
      <c r="AR737" s="45"/>
      <c r="AS737" s="45"/>
      <c r="AT737" s="45"/>
      <c r="AU737" s="45"/>
      <c r="AV737" s="45"/>
    </row>
    <row r="738"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  <c r="AU738" s="45"/>
      <c r="AV738" s="45"/>
    </row>
    <row r="739"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5"/>
    </row>
    <row r="740"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45"/>
      <c r="AR740" s="45"/>
      <c r="AS740" s="45"/>
      <c r="AT740" s="45"/>
      <c r="AU740" s="45"/>
      <c r="AV740" s="45"/>
    </row>
    <row r="741"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  <c r="AU741" s="45"/>
      <c r="AV741" s="45"/>
    </row>
    <row r="742"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45"/>
      <c r="AR742" s="45"/>
      <c r="AS742" s="45"/>
      <c r="AT742" s="45"/>
      <c r="AU742" s="45"/>
      <c r="AV742" s="45"/>
    </row>
    <row r="743"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  <c r="AU743" s="45"/>
      <c r="AV743" s="45"/>
    </row>
    <row r="744"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45"/>
      <c r="AR744" s="45"/>
      <c r="AS744" s="45"/>
      <c r="AT744" s="45"/>
      <c r="AU744" s="45"/>
      <c r="AV744" s="45"/>
    </row>
    <row r="745"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  <c r="AQ745" s="45"/>
      <c r="AR745" s="45"/>
      <c r="AS745" s="45"/>
      <c r="AT745" s="45"/>
      <c r="AU745" s="45"/>
      <c r="AV745" s="45"/>
    </row>
    <row r="746"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45"/>
      <c r="AR746" s="45"/>
      <c r="AS746" s="45"/>
      <c r="AT746" s="45"/>
      <c r="AU746" s="45"/>
      <c r="AV746" s="45"/>
    </row>
    <row r="747"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  <c r="AU747" s="45"/>
      <c r="AV747" s="45"/>
    </row>
    <row r="748"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45"/>
      <c r="AR748" s="45"/>
      <c r="AS748" s="45"/>
      <c r="AT748" s="45"/>
      <c r="AU748" s="45"/>
      <c r="AV748" s="45"/>
    </row>
    <row r="749"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45"/>
      <c r="AR749" s="45"/>
      <c r="AS749" s="45"/>
      <c r="AT749" s="45"/>
      <c r="AU749" s="45"/>
      <c r="AV749" s="45"/>
    </row>
    <row r="750"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45"/>
      <c r="AR750" s="45"/>
      <c r="AS750" s="45"/>
      <c r="AT750" s="45"/>
      <c r="AU750" s="45"/>
      <c r="AV750" s="45"/>
    </row>
    <row r="751"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  <c r="AU751" s="45"/>
      <c r="AV751" s="45"/>
    </row>
    <row r="752"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45"/>
      <c r="AR752" s="45"/>
      <c r="AS752" s="45"/>
      <c r="AT752" s="45"/>
      <c r="AU752" s="45"/>
      <c r="AV752" s="45"/>
    </row>
    <row r="753"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45"/>
      <c r="AR753" s="45"/>
      <c r="AS753" s="45"/>
      <c r="AT753" s="45"/>
      <c r="AU753" s="45"/>
      <c r="AV753" s="45"/>
    </row>
    <row r="754"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45"/>
      <c r="AR754" s="45"/>
      <c r="AS754" s="45"/>
      <c r="AT754" s="45"/>
      <c r="AU754" s="45"/>
      <c r="AV754" s="45"/>
    </row>
    <row r="755"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5"/>
    </row>
    <row r="756"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45"/>
      <c r="AR756" s="45"/>
      <c r="AS756" s="45"/>
      <c r="AT756" s="45"/>
      <c r="AU756" s="45"/>
      <c r="AV756" s="45"/>
    </row>
    <row r="757"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  <c r="AO757" s="45"/>
      <c r="AP757" s="45"/>
      <c r="AQ757" s="45"/>
      <c r="AR757" s="45"/>
      <c r="AS757" s="45"/>
      <c r="AT757" s="45"/>
      <c r="AU757" s="45"/>
      <c r="AV757" s="45"/>
    </row>
    <row r="758"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45"/>
      <c r="AR758" s="45"/>
      <c r="AS758" s="45"/>
      <c r="AT758" s="45"/>
      <c r="AU758" s="45"/>
      <c r="AV758" s="45"/>
    </row>
    <row r="759"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45"/>
      <c r="AR759" s="45"/>
      <c r="AS759" s="45"/>
      <c r="AT759" s="45"/>
      <c r="AU759" s="45"/>
      <c r="AV759" s="45"/>
    </row>
    <row r="760"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45"/>
      <c r="AR760" s="45"/>
      <c r="AS760" s="45"/>
      <c r="AT760" s="45"/>
      <c r="AU760" s="45"/>
      <c r="AV760" s="45"/>
    </row>
    <row r="761"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  <c r="AU761" s="45"/>
      <c r="AV761" s="45"/>
    </row>
    <row r="762"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45"/>
      <c r="AR762" s="45"/>
      <c r="AS762" s="45"/>
      <c r="AT762" s="45"/>
      <c r="AU762" s="45"/>
      <c r="AV762" s="45"/>
    </row>
    <row r="763"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  <c r="AQ763" s="45"/>
      <c r="AR763" s="45"/>
      <c r="AS763" s="45"/>
      <c r="AT763" s="45"/>
      <c r="AU763" s="45"/>
      <c r="AV763" s="45"/>
    </row>
    <row r="764"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45"/>
      <c r="AR764" s="45"/>
      <c r="AS764" s="45"/>
      <c r="AT764" s="45"/>
      <c r="AU764" s="45"/>
      <c r="AV764" s="45"/>
    </row>
    <row r="765"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  <c r="AU765" s="45"/>
      <c r="AV765" s="45"/>
    </row>
    <row r="766"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45"/>
      <c r="AR766" s="45"/>
      <c r="AS766" s="45"/>
      <c r="AT766" s="45"/>
      <c r="AU766" s="45"/>
      <c r="AV766" s="45"/>
    </row>
    <row r="767"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  <c r="AU767" s="45"/>
      <c r="AV767" s="45"/>
    </row>
    <row r="768"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45"/>
      <c r="AR768" s="45"/>
      <c r="AS768" s="45"/>
      <c r="AT768" s="45"/>
      <c r="AU768" s="45"/>
      <c r="AV768" s="45"/>
    </row>
    <row r="769"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  <c r="AU769" s="45"/>
      <c r="AV769" s="45"/>
    </row>
    <row r="770"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45"/>
      <c r="AR770" s="45"/>
      <c r="AS770" s="45"/>
      <c r="AT770" s="45"/>
      <c r="AU770" s="45"/>
      <c r="AV770" s="45"/>
    </row>
    <row r="771"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  <c r="AQ771" s="45"/>
      <c r="AR771" s="45"/>
      <c r="AS771" s="45"/>
      <c r="AT771" s="45"/>
      <c r="AU771" s="45"/>
      <c r="AV771" s="45"/>
    </row>
    <row r="772"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  <c r="AQ772" s="45"/>
      <c r="AR772" s="45"/>
      <c r="AS772" s="45"/>
      <c r="AT772" s="45"/>
      <c r="AU772" s="45"/>
      <c r="AV772" s="45"/>
    </row>
    <row r="773"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  <c r="AU773" s="45"/>
      <c r="AV773" s="45"/>
    </row>
    <row r="774"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45"/>
      <c r="AR774" s="45"/>
      <c r="AS774" s="45"/>
      <c r="AT774" s="45"/>
      <c r="AU774" s="45"/>
      <c r="AV774" s="45"/>
    </row>
    <row r="775"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  <c r="AQ775" s="45"/>
      <c r="AR775" s="45"/>
      <c r="AS775" s="45"/>
      <c r="AT775" s="45"/>
      <c r="AU775" s="45"/>
      <c r="AV775" s="45"/>
    </row>
    <row r="776"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45"/>
      <c r="AR776" s="45"/>
      <c r="AS776" s="45"/>
      <c r="AT776" s="45"/>
      <c r="AU776" s="45"/>
      <c r="AV776" s="45"/>
    </row>
    <row r="777"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45"/>
      <c r="AR777" s="45"/>
      <c r="AS777" s="45"/>
      <c r="AT777" s="45"/>
      <c r="AU777" s="45"/>
      <c r="AV777" s="45"/>
    </row>
    <row r="778"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  <c r="AU778" s="45"/>
      <c r="AV778" s="45"/>
    </row>
    <row r="779"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  <c r="AQ779" s="45"/>
      <c r="AR779" s="45"/>
      <c r="AS779" s="45"/>
      <c r="AT779" s="45"/>
      <c r="AU779" s="45"/>
      <c r="AV779" s="45"/>
    </row>
    <row r="780"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45"/>
      <c r="AR780" s="45"/>
      <c r="AS780" s="45"/>
      <c r="AT780" s="45"/>
      <c r="AU780" s="45"/>
      <c r="AV780" s="45"/>
    </row>
    <row r="781"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  <c r="AU781" s="45"/>
      <c r="AV781" s="45"/>
    </row>
    <row r="782"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  <c r="AQ782" s="45"/>
      <c r="AR782" s="45"/>
      <c r="AS782" s="45"/>
      <c r="AT782" s="45"/>
      <c r="AU782" s="45"/>
      <c r="AV782" s="45"/>
    </row>
    <row r="783"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  <c r="AU783" s="45"/>
      <c r="AV783" s="45"/>
    </row>
    <row r="784"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45"/>
      <c r="AR784" s="45"/>
      <c r="AS784" s="45"/>
      <c r="AT784" s="45"/>
      <c r="AU784" s="45"/>
      <c r="AV784" s="45"/>
    </row>
    <row r="785"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45"/>
      <c r="AR785" s="45"/>
      <c r="AS785" s="45"/>
      <c r="AT785" s="45"/>
      <c r="AU785" s="45"/>
      <c r="AV785" s="45"/>
    </row>
    <row r="786"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  <c r="AQ786" s="45"/>
      <c r="AR786" s="45"/>
      <c r="AS786" s="45"/>
      <c r="AT786" s="45"/>
      <c r="AU786" s="45"/>
      <c r="AV786" s="45"/>
    </row>
    <row r="787"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45"/>
      <c r="AR787" s="45"/>
      <c r="AS787" s="45"/>
      <c r="AT787" s="45"/>
      <c r="AU787" s="45"/>
      <c r="AV787" s="45"/>
    </row>
    <row r="788"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  <c r="AP788" s="45"/>
      <c r="AQ788" s="45"/>
      <c r="AR788" s="45"/>
      <c r="AS788" s="45"/>
      <c r="AT788" s="45"/>
      <c r="AU788" s="45"/>
      <c r="AV788" s="45"/>
    </row>
    <row r="789"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  <c r="AP789" s="45"/>
      <c r="AQ789" s="45"/>
      <c r="AR789" s="45"/>
      <c r="AS789" s="45"/>
      <c r="AT789" s="45"/>
      <c r="AU789" s="45"/>
      <c r="AV789" s="45"/>
    </row>
    <row r="790"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  <c r="AQ790" s="45"/>
      <c r="AR790" s="45"/>
      <c r="AS790" s="45"/>
      <c r="AT790" s="45"/>
      <c r="AU790" s="45"/>
      <c r="AV790" s="45"/>
    </row>
    <row r="791"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  <c r="AQ791" s="45"/>
      <c r="AR791" s="45"/>
      <c r="AS791" s="45"/>
      <c r="AT791" s="45"/>
      <c r="AU791" s="45"/>
      <c r="AV791" s="45"/>
    </row>
    <row r="792"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45"/>
      <c r="AR792" s="45"/>
      <c r="AS792" s="45"/>
      <c r="AT792" s="45"/>
      <c r="AU792" s="45"/>
      <c r="AV792" s="45"/>
    </row>
    <row r="793"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  <c r="AQ793" s="45"/>
      <c r="AR793" s="45"/>
      <c r="AS793" s="45"/>
      <c r="AT793" s="45"/>
      <c r="AU793" s="45"/>
      <c r="AV793" s="45"/>
    </row>
    <row r="794"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  <c r="AP794" s="45"/>
      <c r="AQ794" s="45"/>
      <c r="AR794" s="45"/>
      <c r="AS794" s="45"/>
      <c r="AT794" s="45"/>
      <c r="AU794" s="45"/>
      <c r="AV794" s="45"/>
    </row>
    <row r="795"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  <c r="AQ795" s="45"/>
      <c r="AR795" s="45"/>
      <c r="AS795" s="45"/>
      <c r="AT795" s="45"/>
      <c r="AU795" s="45"/>
      <c r="AV795" s="45"/>
    </row>
    <row r="796"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/>
      <c r="AQ796" s="45"/>
      <c r="AR796" s="45"/>
      <c r="AS796" s="45"/>
      <c r="AT796" s="45"/>
      <c r="AU796" s="45"/>
      <c r="AV796" s="45"/>
    </row>
    <row r="797"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  <c r="AQ797" s="45"/>
      <c r="AR797" s="45"/>
      <c r="AS797" s="45"/>
      <c r="AT797" s="45"/>
      <c r="AU797" s="45"/>
      <c r="AV797" s="45"/>
    </row>
    <row r="798"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  <c r="AQ798" s="45"/>
      <c r="AR798" s="45"/>
      <c r="AS798" s="45"/>
      <c r="AT798" s="45"/>
      <c r="AU798" s="45"/>
      <c r="AV798" s="45"/>
    </row>
    <row r="799"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/>
      <c r="AQ799" s="45"/>
      <c r="AR799" s="45"/>
      <c r="AS799" s="45"/>
      <c r="AT799" s="45"/>
      <c r="AU799" s="45"/>
      <c r="AV799" s="45"/>
    </row>
    <row r="800"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  <c r="AQ800" s="45"/>
      <c r="AR800" s="45"/>
      <c r="AS800" s="45"/>
      <c r="AT800" s="45"/>
      <c r="AU800" s="45"/>
      <c r="AV800" s="45"/>
    </row>
    <row r="801"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  <c r="AQ801" s="45"/>
      <c r="AR801" s="45"/>
      <c r="AS801" s="45"/>
      <c r="AT801" s="45"/>
      <c r="AU801" s="45"/>
      <c r="AV801" s="45"/>
    </row>
    <row r="802"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  <c r="AQ802" s="45"/>
      <c r="AR802" s="45"/>
      <c r="AS802" s="45"/>
      <c r="AT802" s="45"/>
      <c r="AU802" s="45"/>
      <c r="AV802" s="45"/>
    </row>
    <row r="803"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  <c r="AQ803" s="45"/>
      <c r="AR803" s="45"/>
      <c r="AS803" s="45"/>
      <c r="AT803" s="45"/>
      <c r="AU803" s="45"/>
      <c r="AV803" s="45"/>
    </row>
    <row r="804"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  <c r="AQ804" s="45"/>
      <c r="AR804" s="45"/>
      <c r="AS804" s="45"/>
      <c r="AT804" s="45"/>
      <c r="AU804" s="45"/>
      <c r="AV804" s="45"/>
    </row>
    <row r="805"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  <c r="AQ805" s="45"/>
      <c r="AR805" s="45"/>
      <c r="AS805" s="45"/>
      <c r="AT805" s="45"/>
      <c r="AU805" s="45"/>
      <c r="AV805" s="45"/>
    </row>
    <row r="806"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  <c r="AQ806" s="45"/>
      <c r="AR806" s="45"/>
      <c r="AS806" s="45"/>
      <c r="AT806" s="45"/>
      <c r="AU806" s="45"/>
      <c r="AV806" s="45"/>
    </row>
    <row r="807"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  <c r="AQ807" s="45"/>
      <c r="AR807" s="45"/>
      <c r="AS807" s="45"/>
      <c r="AT807" s="45"/>
      <c r="AU807" s="45"/>
      <c r="AV807" s="45"/>
    </row>
    <row r="808"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  <c r="AQ808" s="45"/>
      <c r="AR808" s="45"/>
      <c r="AS808" s="45"/>
      <c r="AT808" s="45"/>
      <c r="AU808" s="45"/>
      <c r="AV808" s="45"/>
    </row>
    <row r="809"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  <c r="AQ809" s="45"/>
      <c r="AR809" s="45"/>
      <c r="AS809" s="45"/>
      <c r="AT809" s="45"/>
      <c r="AU809" s="45"/>
      <c r="AV809" s="45"/>
    </row>
    <row r="810"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  <c r="AQ810" s="45"/>
      <c r="AR810" s="45"/>
      <c r="AS810" s="45"/>
      <c r="AT810" s="45"/>
      <c r="AU810" s="45"/>
      <c r="AV810" s="45"/>
    </row>
    <row r="811"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  <c r="AQ811" s="45"/>
      <c r="AR811" s="45"/>
      <c r="AS811" s="45"/>
      <c r="AT811" s="45"/>
      <c r="AU811" s="45"/>
      <c r="AV811" s="45"/>
    </row>
    <row r="812"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  <c r="AQ812" s="45"/>
      <c r="AR812" s="45"/>
      <c r="AS812" s="45"/>
      <c r="AT812" s="45"/>
      <c r="AU812" s="45"/>
      <c r="AV812" s="45"/>
    </row>
    <row r="813"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45"/>
      <c r="AR813" s="45"/>
      <c r="AS813" s="45"/>
      <c r="AT813" s="45"/>
      <c r="AU813" s="45"/>
      <c r="AV813" s="45"/>
    </row>
    <row r="814"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  <c r="AQ814" s="45"/>
      <c r="AR814" s="45"/>
      <c r="AS814" s="45"/>
      <c r="AT814" s="45"/>
      <c r="AU814" s="45"/>
      <c r="AV814" s="45"/>
    </row>
    <row r="815"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  <c r="AO815" s="45"/>
      <c r="AP815" s="45"/>
      <c r="AQ815" s="45"/>
      <c r="AR815" s="45"/>
      <c r="AS815" s="45"/>
      <c r="AT815" s="45"/>
      <c r="AU815" s="45"/>
      <c r="AV815" s="45"/>
    </row>
    <row r="816"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  <c r="AQ816" s="45"/>
      <c r="AR816" s="45"/>
      <c r="AS816" s="45"/>
      <c r="AT816" s="45"/>
      <c r="AU816" s="45"/>
      <c r="AV816" s="45"/>
    </row>
    <row r="817"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  <c r="AQ817" s="45"/>
      <c r="AR817" s="45"/>
      <c r="AS817" s="45"/>
      <c r="AT817" s="45"/>
      <c r="AU817" s="45"/>
      <c r="AV817" s="45"/>
    </row>
    <row r="818"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  <c r="AQ818" s="45"/>
      <c r="AR818" s="45"/>
      <c r="AS818" s="45"/>
      <c r="AT818" s="45"/>
      <c r="AU818" s="45"/>
      <c r="AV818" s="45"/>
    </row>
    <row r="819"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  <c r="AO819" s="45"/>
      <c r="AP819" s="45"/>
      <c r="AQ819" s="45"/>
      <c r="AR819" s="45"/>
      <c r="AS819" s="45"/>
      <c r="AT819" s="45"/>
      <c r="AU819" s="45"/>
      <c r="AV819" s="45"/>
    </row>
    <row r="820"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45"/>
      <c r="AR820" s="45"/>
      <c r="AS820" s="45"/>
      <c r="AT820" s="45"/>
      <c r="AU820" s="45"/>
      <c r="AV820" s="45"/>
    </row>
    <row r="821"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45"/>
      <c r="AR821" s="45"/>
      <c r="AS821" s="45"/>
      <c r="AT821" s="45"/>
      <c r="AU821" s="45"/>
      <c r="AV821" s="45"/>
    </row>
    <row r="822"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45"/>
      <c r="AR822" s="45"/>
      <c r="AS822" s="45"/>
      <c r="AT822" s="45"/>
      <c r="AU822" s="45"/>
      <c r="AV822" s="45"/>
    </row>
    <row r="823"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  <c r="AO823" s="45"/>
      <c r="AP823" s="45"/>
      <c r="AQ823" s="45"/>
      <c r="AR823" s="45"/>
      <c r="AS823" s="45"/>
      <c r="AT823" s="45"/>
      <c r="AU823" s="45"/>
      <c r="AV823" s="45"/>
    </row>
    <row r="824"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  <c r="AQ824" s="45"/>
      <c r="AR824" s="45"/>
      <c r="AS824" s="45"/>
      <c r="AT824" s="45"/>
      <c r="AU824" s="45"/>
      <c r="AV824" s="45"/>
    </row>
    <row r="825"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45"/>
      <c r="AR825" s="45"/>
      <c r="AS825" s="45"/>
      <c r="AT825" s="45"/>
      <c r="AU825" s="45"/>
      <c r="AV825" s="45"/>
    </row>
    <row r="826"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  <c r="AQ826" s="45"/>
      <c r="AR826" s="45"/>
      <c r="AS826" s="45"/>
      <c r="AT826" s="45"/>
      <c r="AU826" s="45"/>
      <c r="AV826" s="45"/>
    </row>
    <row r="827"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  <c r="AQ827" s="45"/>
      <c r="AR827" s="45"/>
      <c r="AS827" s="45"/>
      <c r="AT827" s="45"/>
      <c r="AU827" s="45"/>
      <c r="AV827" s="45"/>
    </row>
    <row r="828"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  <c r="AQ828" s="45"/>
      <c r="AR828" s="45"/>
      <c r="AS828" s="45"/>
      <c r="AT828" s="45"/>
      <c r="AU828" s="45"/>
      <c r="AV828" s="45"/>
    </row>
    <row r="829"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  <c r="AQ829" s="45"/>
      <c r="AR829" s="45"/>
      <c r="AS829" s="45"/>
      <c r="AT829" s="45"/>
      <c r="AU829" s="45"/>
      <c r="AV829" s="45"/>
    </row>
    <row r="830"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  <c r="AQ830" s="45"/>
      <c r="AR830" s="45"/>
      <c r="AS830" s="45"/>
      <c r="AT830" s="45"/>
      <c r="AU830" s="45"/>
      <c r="AV830" s="45"/>
    </row>
    <row r="831"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  <c r="AQ831" s="45"/>
      <c r="AR831" s="45"/>
      <c r="AS831" s="45"/>
      <c r="AT831" s="45"/>
      <c r="AU831" s="45"/>
      <c r="AV831" s="45"/>
    </row>
    <row r="832"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  <c r="AQ832" s="45"/>
      <c r="AR832" s="45"/>
      <c r="AS832" s="45"/>
      <c r="AT832" s="45"/>
      <c r="AU832" s="45"/>
      <c r="AV832" s="45"/>
    </row>
    <row r="833"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45"/>
      <c r="AR833" s="45"/>
      <c r="AS833" s="45"/>
      <c r="AT833" s="45"/>
      <c r="AU833" s="45"/>
      <c r="AV833" s="45"/>
    </row>
    <row r="834"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  <c r="AQ834" s="45"/>
      <c r="AR834" s="45"/>
      <c r="AS834" s="45"/>
      <c r="AT834" s="45"/>
      <c r="AU834" s="45"/>
      <c r="AV834" s="45"/>
    </row>
    <row r="835"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  <c r="AQ835" s="45"/>
      <c r="AR835" s="45"/>
      <c r="AS835" s="45"/>
      <c r="AT835" s="45"/>
      <c r="AU835" s="45"/>
      <c r="AV835" s="45"/>
    </row>
    <row r="836"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  <c r="AQ836" s="45"/>
      <c r="AR836" s="45"/>
      <c r="AS836" s="45"/>
      <c r="AT836" s="45"/>
      <c r="AU836" s="45"/>
      <c r="AV836" s="45"/>
    </row>
    <row r="837"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  <c r="AQ837" s="45"/>
      <c r="AR837" s="45"/>
      <c r="AS837" s="45"/>
      <c r="AT837" s="45"/>
      <c r="AU837" s="45"/>
      <c r="AV837" s="45"/>
    </row>
    <row r="838"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45"/>
      <c r="AR838" s="45"/>
      <c r="AS838" s="45"/>
      <c r="AT838" s="45"/>
      <c r="AU838" s="45"/>
      <c r="AV838" s="45"/>
    </row>
    <row r="839"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45"/>
      <c r="AR839" s="45"/>
      <c r="AS839" s="45"/>
      <c r="AT839" s="45"/>
      <c r="AU839" s="45"/>
      <c r="AV839" s="45"/>
    </row>
    <row r="840"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45"/>
      <c r="AR840" s="45"/>
      <c r="AS840" s="45"/>
      <c r="AT840" s="45"/>
      <c r="AU840" s="45"/>
      <c r="AV840" s="45"/>
    </row>
    <row r="841"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  <c r="AQ841" s="45"/>
      <c r="AR841" s="45"/>
      <c r="AS841" s="45"/>
      <c r="AT841" s="45"/>
      <c r="AU841" s="45"/>
      <c r="AV841" s="45"/>
    </row>
    <row r="842"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  <c r="AQ842" s="45"/>
      <c r="AR842" s="45"/>
      <c r="AS842" s="45"/>
      <c r="AT842" s="45"/>
      <c r="AU842" s="45"/>
      <c r="AV842" s="45"/>
    </row>
    <row r="843"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45"/>
      <c r="AR843" s="45"/>
      <c r="AS843" s="45"/>
      <c r="AT843" s="45"/>
      <c r="AU843" s="45"/>
      <c r="AV843" s="45"/>
    </row>
    <row r="844"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  <c r="AQ844" s="45"/>
      <c r="AR844" s="45"/>
      <c r="AS844" s="45"/>
      <c r="AT844" s="45"/>
      <c r="AU844" s="45"/>
      <c r="AV844" s="45"/>
    </row>
    <row r="845"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  <c r="AQ845" s="45"/>
      <c r="AR845" s="45"/>
      <c r="AS845" s="45"/>
      <c r="AT845" s="45"/>
      <c r="AU845" s="45"/>
      <c r="AV845" s="45"/>
    </row>
    <row r="846"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45"/>
      <c r="AR846" s="45"/>
      <c r="AS846" s="45"/>
      <c r="AT846" s="45"/>
      <c r="AU846" s="45"/>
      <c r="AV846" s="45"/>
    </row>
    <row r="847"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45"/>
      <c r="AR847" s="45"/>
      <c r="AS847" s="45"/>
      <c r="AT847" s="45"/>
      <c r="AU847" s="45"/>
      <c r="AV847" s="45"/>
    </row>
    <row r="848"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45"/>
      <c r="AR848" s="45"/>
      <c r="AS848" s="45"/>
      <c r="AT848" s="45"/>
      <c r="AU848" s="45"/>
      <c r="AV848" s="45"/>
    </row>
    <row r="849"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45"/>
      <c r="AR849" s="45"/>
      <c r="AS849" s="45"/>
      <c r="AT849" s="45"/>
      <c r="AU849" s="45"/>
      <c r="AV849" s="45"/>
    </row>
    <row r="850"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45"/>
      <c r="AR850" s="45"/>
      <c r="AS850" s="45"/>
      <c r="AT850" s="45"/>
      <c r="AU850" s="45"/>
      <c r="AV850" s="45"/>
    </row>
    <row r="851"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  <c r="AU851" s="45"/>
      <c r="AV851" s="45"/>
    </row>
    <row r="852"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45"/>
      <c r="AR852" s="45"/>
      <c r="AS852" s="45"/>
      <c r="AT852" s="45"/>
      <c r="AU852" s="45"/>
      <c r="AV852" s="45"/>
    </row>
    <row r="853"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45"/>
      <c r="AR853" s="45"/>
      <c r="AS853" s="45"/>
      <c r="AT853" s="45"/>
      <c r="AU853" s="45"/>
      <c r="AV853" s="45"/>
    </row>
    <row r="854"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45"/>
      <c r="AR854" s="45"/>
      <c r="AS854" s="45"/>
      <c r="AT854" s="45"/>
      <c r="AU854" s="45"/>
      <c r="AV854" s="45"/>
    </row>
    <row r="855"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  <c r="AU855" s="45"/>
      <c r="AV855" s="45"/>
    </row>
    <row r="856"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45"/>
      <c r="AR856" s="45"/>
      <c r="AS856" s="45"/>
      <c r="AT856" s="45"/>
      <c r="AU856" s="45"/>
      <c r="AV856" s="45"/>
    </row>
    <row r="857"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45"/>
      <c r="AR857" s="45"/>
      <c r="AS857" s="45"/>
      <c r="AT857" s="45"/>
      <c r="AU857" s="45"/>
      <c r="AV857" s="45"/>
    </row>
    <row r="858"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  <c r="AU858" s="45"/>
      <c r="AV858" s="45"/>
    </row>
    <row r="859"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  <c r="AU859" s="45"/>
      <c r="AV859" s="45"/>
    </row>
    <row r="860"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45"/>
      <c r="AR860" s="45"/>
      <c r="AS860" s="45"/>
      <c r="AT860" s="45"/>
      <c r="AU860" s="45"/>
      <c r="AV860" s="45"/>
    </row>
    <row r="861"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45"/>
      <c r="AR861" s="45"/>
      <c r="AS861" s="45"/>
      <c r="AT861" s="45"/>
      <c r="AU861" s="45"/>
      <c r="AV861" s="45"/>
    </row>
    <row r="862"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45"/>
      <c r="AR862" s="45"/>
      <c r="AS862" s="45"/>
      <c r="AT862" s="45"/>
      <c r="AU862" s="45"/>
      <c r="AV862" s="45"/>
    </row>
    <row r="863"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45"/>
      <c r="AR863" s="45"/>
      <c r="AS863" s="45"/>
      <c r="AT863" s="45"/>
      <c r="AU863" s="45"/>
      <c r="AV863" s="45"/>
    </row>
    <row r="864"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  <c r="AU864" s="45"/>
      <c r="AV864" s="45"/>
    </row>
    <row r="865"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  <c r="AU865" s="45"/>
      <c r="AV865" s="45"/>
    </row>
    <row r="866"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45"/>
      <c r="AR866" s="45"/>
      <c r="AS866" s="45"/>
      <c r="AT866" s="45"/>
      <c r="AU866" s="45"/>
      <c r="AV866" s="45"/>
    </row>
    <row r="867"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  <c r="AU867" s="45"/>
      <c r="AV867" s="45"/>
    </row>
    <row r="868"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  <c r="AU868" s="45"/>
      <c r="AV868" s="45"/>
    </row>
    <row r="869"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</row>
    <row r="870"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  <c r="AU870" s="45"/>
      <c r="AV870" s="45"/>
    </row>
    <row r="871"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  <c r="AU871" s="45"/>
      <c r="AV871" s="45"/>
    </row>
    <row r="872"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  <c r="AU872" s="45"/>
      <c r="AV872" s="45"/>
    </row>
    <row r="873"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</row>
    <row r="874"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  <c r="AU874" s="45"/>
      <c r="AV874" s="45"/>
    </row>
    <row r="875"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  <c r="AU875" s="45"/>
      <c r="AV875" s="45"/>
    </row>
    <row r="876"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  <c r="AU876" s="45"/>
      <c r="AV876" s="45"/>
    </row>
    <row r="877"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</row>
    <row r="878"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  <c r="AU878" s="45"/>
      <c r="AV878" s="45"/>
    </row>
    <row r="879"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45"/>
      <c r="AR879" s="45"/>
      <c r="AS879" s="45"/>
      <c r="AT879" s="45"/>
      <c r="AU879" s="45"/>
      <c r="AV879" s="45"/>
    </row>
    <row r="880"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  <c r="AU880" s="45"/>
      <c r="AV880" s="45"/>
    </row>
    <row r="881"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</row>
    <row r="882"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  <c r="AU882" s="45"/>
      <c r="AV882" s="45"/>
    </row>
    <row r="883"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  <c r="AU883" s="45"/>
      <c r="AV883" s="45"/>
    </row>
    <row r="884"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  <c r="AU884" s="45"/>
      <c r="AV884" s="45"/>
    </row>
    <row r="885"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</row>
    <row r="886"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  <c r="AU886" s="45"/>
      <c r="AV886" s="45"/>
    </row>
    <row r="887"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  <c r="AU887" s="45"/>
      <c r="AV887" s="45"/>
    </row>
    <row r="888"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  <c r="AU888" s="45"/>
      <c r="AV888" s="45"/>
    </row>
    <row r="889"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  <c r="AU889" s="45"/>
      <c r="AV889" s="45"/>
    </row>
    <row r="890"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  <c r="AU890" s="45"/>
      <c r="AV890" s="45"/>
    </row>
    <row r="891"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</row>
    <row r="892"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  <c r="AU892" s="45"/>
      <c r="AV892" s="45"/>
    </row>
    <row r="893"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  <c r="AU893" s="45"/>
      <c r="AV893" s="45"/>
    </row>
    <row r="894"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45"/>
      <c r="AS894" s="45"/>
      <c r="AT894" s="45"/>
      <c r="AU894" s="45"/>
      <c r="AV894" s="45"/>
    </row>
    <row r="895"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</row>
    <row r="896"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  <c r="AU896" s="45"/>
      <c r="AV896" s="45"/>
    </row>
    <row r="897"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45"/>
      <c r="AR897" s="45"/>
      <c r="AS897" s="45"/>
      <c r="AT897" s="45"/>
      <c r="AU897" s="45"/>
      <c r="AV897" s="45"/>
    </row>
    <row r="898"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45"/>
      <c r="AR898" s="45"/>
      <c r="AS898" s="45"/>
      <c r="AT898" s="45"/>
      <c r="AU898" s="45"/>
      <c r="AV898" s="45"/>
    </row>
    <row r="899"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  <c r="AU899" s="45"/>
      <c r="AV899" s="45"/>
    </row>
    <row r="900"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45"/>
      <c r="AR900" s="45"/>
      <c r="AS900" s="45"/>
      <c r="AT900" s="45"/>
      <c r="AU900" s="45"/>
      <c r="AV900" s="45"/>
    </row>
    <row r="901"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45"/>
      <c r="AR901" s="45"/>
      <c r="AS901" s="45"/>
      <c r="AT901" s="45"/>
      <c r="AU901" s="45"/>
      <c r="AV901" s="45"/>
    </row>
    <row r="902"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45"/>
      <c r="AR902" s="45"/>
      <c r="AS902" s="45"/>
      <c r="AT902" s="45"/>
      <c r="AU902" s="45"/>
      <c r="AV902" s="45"/>
    </row>
    <row r="903"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  <c r="AU903" s="45"/>
      <c r="AV903" s="45"/>
    </row>
    <row r="904"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45"/>
      <c r="AR904" s="45"/>
      <c r="AS904" s="45"/>
      <c r="AT904" s="45"/>
      <c r="AU904" s="45"/>
      <c r="AV904" s="45"/>
    </row>
    <row r="905"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45"/>
      <c r="AR905" s="45"/>
      <c r="AS905" s="45"/>
      <c r="AT905" s="45"/>
      <c r="AU905" s="45"/>
      <c r="AV905" s="45"/>
    </row>
    <row r="906"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45"/>
      <c r="AR906" s="45"/>
      <c r="AS906" s="45"/>
      <c r="AT906" s="45"/>
      <c r="AU906" s="45"/>
      <c r="AV906" s="45"/>
    </row>
    <row r="907"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</row>
    <row r="908"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45"/>
      <c r="AR908" s="45"/>
      <c r="AS908" s="45"/>
      <c r="AT908" s="45"/>
      <c r="AU908" s="45"/>
      <c r="AV908" s="45"/>
    </row>
    <row r="909"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45"/>
      <c r="AR909" s="45"/>
      <c r="AS909" s="45"/>
      <c r="AT909" s="45"/>
      <c r="AU909" s="45"/>
      <c r="AV909" s="45"/>
    </row>
    <row r="910"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45"/>
      <c r="AR910" s="45"/>
      <c r="AS910" s="45"/>
      <c r="AT910" s="45"/>
      <c r="AU910" s="45"/>
      <c r="AV910" s="45"/>
    </row>
    <row r="911"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  <c r="AU911" s="45"/>
      <c r="AV911" s="45"/>
    </row>
    <row r="912"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45"/>
      <c r="AR912" s="45"/>
      <c r="AS912" s="45"/>
      <c r="AT912" s="45"/>
      <c r="AU912" s="45"/>
      <c r="AV912" s="45"/>
    </row>
    <row r="913"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45"/>
      <c r="AR913" s="45"/>
      <c r="AS913" s="45"/>
      <c r="AT913" s="45"/>
      <c r="AU913" s="45"/>
      <c r="AV913" s="45"/>
    </row>
    <row r="914"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45"/>
      <c r="AR914" s="45"/>
      <c r="AS914" s="45"/>
      <c r="AT914" s="45"/>
      <c r="AU914" s="45"/>
      <c r="AV914" s="45"/>
    </row>
    <row r="915"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45"/>
      <c r="AR915" s="45"/>
      <c r="AS915" s="45"/>
      <c r="AT915" s="45"/>
      <c r="AU915" s="45"/>
      <c r="AV915" s="45"/>
    </row>
    <row r="916"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45"/>
      <c r="AR916" s="45"/>
      <c r="AS916" s="45"/>
      <c r="AT916" s="45"/>
      <c r="AU916" s="45"/>
      <c r="AV916" s="45"/>
    </row>
    <row r="917"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  <c r="AU917" s="45"/>
      <c r="AV917" s="45"/>
    </row>
    <row r="918"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45"/>
      <c r="AR918" s="45"/>
      <c r="AS918" s="45"/>
      <c r="AT918" s="45"/>
      <c r="AU918" s="45"/>
      <c r="AV918" s="45"/>
    </row>
    <row r="919"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45"/>
      <c r="AR919" s="45"/>
      <c r="AS919" s="45"/>
      <c r="AT919" s="45"/>
      <c r="AU919" s="45"/>
      <c r="AV919" s="45"/>
    </row>
    <row r="920"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45"/>
      <c r="AR920" s="45"/>
      <c r="AS920" s="45"/>
      <c r="AT920" s="45"/>
      <c r="AU920" s="45"/>
      <c r="AV920" s="45"/>
    </row>
    <row r="921"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  <c r="AU921" s="45"/>
      <c r="AV921" s="45"/>
    </row>
    <row r="922"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45"/>
      <c r="AR922" s="45"/>
      <c r="AS922" s="45"/>
      <c r="AT922" s="45"/>
      <c r="AU922" s="45"/>
      <c r="AV922" s="45"/>
    </row>
    <row r="923"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45"/>
      <c r="AR923" s="45"/>
      <c r="AS923" s="45"/>
      <c r="AT923" s="45"/>
      <c r="AU923" s="45"/>
      <c r="AV923" s="45"/>
    </row>
    <row r="924"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45"/>
      <c r="AR924" s="45"/>
      <c r="AS924" s="45"/>
      <c r="AT924" s="45"/>
      <c r="AU924" s="45"/>
      <c r="AV924" s="45"/>
    </row>
    <row r="925"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45"/>
      <c r="AR925" s="45"/>
      <c r="AS925" s="45"/>
      <c r="AT925" s="45"/>
      <c r="AU925" s="45"/>
      <c r="AV925" s="45"/>
    </row>
    <row r="926"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45"/>
      <c r="AR926" s="45"/>
      <c r="AS926" s="45"/>
      <c r="AT926" s="45"/>
      <c r="AU926" s="45"/>
      <c r="AV926" s="45"/>
    </row>
    <row r="927"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45"/>
      <c r="AR927" s="45"/>
      <c r="AS927" s="45"/>
      <c r="AT927" s="45"/>
      <c r="AU927" s="45"/>
      <c r="AV927" s="45"/>
    </row>
    <row r="928"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45"/>
      <c r="AR928" s="45"/>
      <c r="AS928" s="45"/>
      <c r="AT928" s="45"/>
      <c r="AU928" s="45"/>
      <c r="AV928" s="45"/>
    </row>
    <row r="929"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45"/>
      <c r="AS929" s="45"/>
      <c r="AT929" s="45"/>
      <c r="AU929" s="45"/>
      <c r="AV929" s="45"/>
    </row>
    <row r="930"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45"/>
      <c r="AR930" s="45"/>
      <c r="AS930" s="45"/>
      <c r="AT930" s="45"/>
      <c r="AU930" s="45"/>
      <c r="AV930" s="45"/>
    </row>
    <row r="931"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  <c r="AU931" s="45"/>
      <c r="AV931" s="45"/>
    </row>
    <row r="932"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  <c r="AU932" s="45"/>
      <c r="AV932" s="45"/>
    </row>
    <row r="933"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</row>
    <row r="934"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  <c r="AU934" s="45"/>
      <c r="AV934" s="45"/>
    </row>
    <row r="935"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45"/>
      <c r="AR935" s="45"/>
      <c r="AS935" s="45"/>
      <c r="AT935" s="45"/>
      <c r="AU935" s="45"/>
      <c r="AV935" s="45"/>
    </row>
    <row r="936"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45"/>
      <c r="AR936" s="45"/>
      <c r="AS936" s="45"/>
      <c r="AT936" s="45"/>
      <c r="AU936" s="45"/>
      <c r="AV936" s="45"/>
    </row>
    <row r="937"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</row>
    <row r="938"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  <c r="AU938" s="45"/>
      <c r="AV938" s="45"/>
    </row>
    <row r="939"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  <c r="AU939" s="45"/>
      <c r="AV939" s="45"/>
    </row>
    <row r="940"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  <c r="AU940" s="45"/>
      <c r="AV940" s="45"/>
    </row>
    <row r="941"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45"/>
      <c r="AR941" s="45"/>
      <c r="AS941" s="45"/>
      <c r="AT941" s="45"/>
      <c r="AU941" s="45"/>
      <c r="AV941" s="45"/>
    </row>
    <row r="942"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  <c r="AU942" s="45"/>
      <c r="AV942" s="45"/>
    </row>
    <row r="943"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45"/>
    </row>
    <row r="944"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45"/>
      <c r="AR944" s="45"/>
      <c r="AS944" s="45"/>
      <c r="AT944" s="45"/>
      <c r="AU944" s="45"/>
      <c r="AV944" s="45"/>
    </row>
    <row r="945"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45"/>
      <c r="AR945" s="45"/>
      <c r="AS945" s="45"/>
      <c r="AT945" s="45"/>
      <c r="AU945" s="45"/>
      <c r="AV945" s="45"/>
    </row>
    <row r="946"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45"/>
      <c r="AR946" s="45"/>
      <c r="AS946" s="45"/>
      <c r="AT946" s="45"/>
      <c r="AU946" s="45"/>
      <c r="AV946" s="45"/>
    </row>
    <row r="947"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45"/>
      <c r="AR947" s="45"/>
      <c r="AS947" s="45"/>
      <c r="AT947" s="45"/>
      <c r="AU947" s="45"/>
      <c r="AV947" s="45"/>
    </row>
    <row r="948"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45"/>
      <c r="AR948" s="45"/>
      <c r="AS948" s="45"/>
      <c r="AT948" s="45"/>
      <c r="AU948" s="45"/>
      <c r="AV948" s="45"/>
    </row>
    <row r="949"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45"/>
      <c r="AR949" s="45"/>
      <c r="AS949" s="45"/>
      <c r="AT949" s="45"/>
      <c r="AU949" s="45"/>
      <c r="AV949" s="45"/>
    </row>
    <row r="950"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  <c r="AU950" s="45"/>
      <c r="AV950" s="45"/>
    </row>
    <row r="951"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45"/>
      <c r="AR951" s="45"/>
      <c r="AS951" s="45"/>
      <c r="AT951" s="45"/>
      <c r="AU951" s="45"/>
      <c r="AV951" s="45"/>
    </row>
    <row r="952"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45"/>
      <c r="AR952" s="45"/>
      <c r="AS952" s="45"/>
      <c r="AT952" s="45"/>
      <c r="AU952" s="45"/>
      <c r="AV952" s="45"/>
    </row>
    <row r="953"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45"/>
      <c r="AR953" s="45"/>
      <c r="AS953" s="45"/>
      <c r="AT953" s="45"/>
      <c r="AU953" s="45"/>
      <c r="AV953" s="45"/>
    </row>
    <row r="954"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45"/>
      <c r="AR954" s="45"/>
      <c r="AS954" s="45"/>
      <c r="AT954" s="45"/>
      <c r="AU954" s="45"/>
      <c r="AV954" s="45"/>
    </row>
    <row r="955"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45"/>
      <c r="AR955" s="45"/>
      <c r="AS955" s="45"/>
      <c r="AT955" s="45"/>
      <c r="AU955" s="45"/>
      <c r="AV955" s="45"/>
    </row>
    <row r="956"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45"/>
      <c r="AR956" s="45"/>
      <c r="AS956" s="45"/>
      <c r="AT956" s="45"/>
      <c r="AU956" s="45"/>
      <c r="AV956" s="45"/>
    </row>
    <row r="957"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45"/>
      <c r="AR957" s="45"/>
      <c r="AS957" s="45"/>
      <c r="AT957" s="45"/>
      <c r="AU957" s="45"/>
      <c r="AV957" s="45"/>
    </row>
    <row r="958"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45"/>
      <c r="AR958" s="45"/>
      <c r="AS958" s="45"/>
      <c r="AT958" s="45"/>
      <c r="AU958" s="45"/>
      <c r="AV958" s="45"/>
    </row>
    <row r="959"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45"/>
      <c r="AR959" s="45"/>
      <c r="AS959" s="45"/>
      <c r="AT959" s="45"/>
      <c r="AU959" s="45"/>
      <c r="AV959" s="45"/>
    </row>
    <row r="960"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45"/>
      <c r="AR960" s="45"/>
      <c r="AS960" s="45"/>
      <c r="AT960" s="45"/>
      <c r="AU960" s="45"/>
      <c r="AV960" s="45"/>
    </row>
    <row r="961"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45"/>
      <c r="AR961" s="45"/>
      <c r="AS961" s="45"/>
      <c r="AT961" s="45"/>
      <c r="AU961" s="45"/>
      <c r="AV961" s="45"/>
    </row>
    <row r="962"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45"/>
      <c r="AR962" s="45"/>
      <c r="AS962" s="45"/>
      <c r="AT962" s="45"/>
      <c r="AU962" s="45"/>
      <c r="AV962" s="45"/>
    </row>
    <row r="963"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45"/>
      <c r="AR963" s="45"/>
      <c r="AS963" s="45"/>
      <c r="AT963" s="45"/>
      <c r="AU963" s="45"/>
      <c r="AV963" s="45"/>
    </row>
    <row r="964"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45"/>
      <c r="AR964" s="45"/>
      <c r="AS964" s="45"/>
      <c r="AT964" s="45"/>
      <c r="AU964" s="45"/>
      <c r="AV964" s="45"/>
    </row>
    <row r="965"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45"/>
      <c r="AR965" s="45"/>
      <c r="AS965" s="45"/>
      <c r="AT965" s="45"/>
      <c r="AU965" s="45"/>
      <c r="AV965" s="45"/>
    </row>
    <row r="966"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45"/>
      <c r="AR966" s="45"/>
      <c r="AS966" s="45"/>
      <c r="AT966" s="45"/>
      <c r="AU966" s="45"/>
      <c r="AV966" s="45"/>
    </row>
    <row r="967"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  <c r="AQ967" s="45"/>
      <c r="AR967" s="45"/>
      <c r="AS967" s="45"/>
      <c r="AT967" s="45"/>
      <c r="AU967" s="45"/>
      <c r="AV967" s="45"/>
    </row>
    <row r="968"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  <c r="AQ968" s="45"/>
      <c r="AR968" s="45"/>
      <c r="AS968" s="45"/>
      <c r="AT968" s="45"/>
      <c r="AU968" s="45"/>
      <c r="AV968" s="45"/>
    </row>
    <row r="969"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45"/>
      <c r="AR969" s="45"/>
      <c r="AS969" s="45"/>
      <c r="AT969" s="45"/>
      <c r="AU969" s="45"/>
      <c r="AV969" s="45"/>
    </row>
    <row r="970"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  <c r="AQ970" s="45"/>
      <c r="AR970" s="45"/>
      <c r="AS970" s="45"/>
      <c r="AT970" s="45"/>
      <c r="AU970" s="45"/>
      <c r="AV970" s="45"/>
    </row>
    <row r="971"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  <c r="AQ971" s="45"/>
      <c r="AR971" s="45"/>
      <c r="AS971" s="45"/>
      <c r="AT971" s="45"/>
      <c r="AU971" s="45"/>
      <c r="AV971" s="45"/>
    </row>
    <row r="972"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  <c r="AQ972" s="45"/>
      <c r="AR972" s="45"/>
      <c r="AS972" s="45"/>
      <c r="AT972" s="45"/>
      <c r="AU972" s="45"/>
      <c r="AV972" s="45"/>
    </row>
    <row r="973"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45"/>
      <c r="AR973" s="45"/>
      <c r="AS973" s="45"/>
      <c r="AT973" s="45"/>
      <c r="AU973" s="45"/>
      <c r="AV973" s="45"/>
    </row>
    <row r="974"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  <c r="AQ974" s="45"/>
      <c r="AR974" s="45"/>
      <c r="AS974" s="45"/>
      <c r="AT974" s="45"/>
      <c r="AU974" s="45"/>
      <c r="AV974" s="45"/>
    </row>
    <row r="975"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45"/>
      <c r="AR975" s="45"/>
      <c r="AS975" s="45"/>
      <c r="AT975" s="45"/>
      <c r="AU975" s="45"/>
      <c r="AV975" s="45"/>
    </row>
    <row r="976"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45"/>
      <c r="AR976" s="45"/>
      <c r="AS976" s="45"/>
      <c r="AT976" s="45"/>
      <c r="AU976" s="45"/>
      <c r="AV976" s="45"/>
    </row>
    <row r="977"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45"/>
      <c r="AR977" s="45"/>
      <c r="AS977" s="45"/>
      <c r="AT977" s="45"/>
      <c r="AU977" s="45"/>
      <c r="AV977" s="45"/>
    </row>
    <row r="978"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45"/>
      <c r="AR978" s="45"/>
      <c r="AS978" s="45"/>
      <c r="AT978" s="45"/>
      <c r="AU978" s="45"/>
      <c r="AV978" s="45"/>
    </row>
    <row r="979"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45"/>
      <c r="AR979" s="45"/>
      <c r="AS979" s="45"/>
      <c r="AT979" s="45"/>
      <c r="AU979" s="45"/>
      <c r="AV979" s="45"/>
    </row>
    <row r="980"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45"/>
      <c r="AR980" s="45"/>
      <c r="AS980" s="45"/>
      <c r="AT980" s="45"/>
      <c r="AU980" s="45"/>
      <c r="AV980" s="45"/>
    </row>
    <row r="981"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45"/>
      <c r="AR981" s="45"/>
      <c r="AS981" s="45"/>
      <c r="AT981" s="45"/>
      <c r="AU981" s="45"/>
      <c r="AV981" s="45"/>
    </row>
    <row r="982"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45"/>
      <c r="AR982" s="45"/>
      <c r="AS982" s="45"/>
      <c r="AT982" s="45"/>
      <c r="AU982" s="45"/>
      <c r="AV982" s="45"/>
    </row>
    <row r="983"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45"/>
      <c r="AR983" s="45"/>
      <c r="AS983" s="45"/>
      <c r="AT983" s="45"/>
      <c r="AU983" s="45"/>
      <c r="AV983" s="45"/>
    </row>
    <row r="984"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45"/>
      <c r="AR984" s="45"/>
      <c r="AS984" s="45"/>
      <c r="AT984" s="45"/>
      <c r="AU984" s="45"/>
      <c r="AV984" s="45"/>
    </row>
    <row r="985"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45"/>
      <c r="AR985" s="45"/>
      <c r="AS985" s="45"/>
      <c r="AT985" s="45"/>
      <c r="AU985" s="45"/>
      <c r="AV985" s="45"/>
    </row>
    <row r="986"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45"/>
      <c r="AR986" s="45"/>
      <c r="AS986" s="45"/>
      <c r="AT986" s="45"/>
      <c r="AU986" s="45"/>
      <c r="AV986" s="45"/>
    </row>
    <row r="987"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45"/>
      <c r="AR987" s="45"/>
      <c r="AS987" s="45"/>
      <c r="AT987" s="45"/>
      <c r="AU987" s="45"/>
      <c r="AV987" s="45"/>
    </row>
    <row r="988"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45"/>
      <c r="AR988" s="45"/>
      <c r="AS988" s="45"/>
      <c r="AT988" s="45"/>
      <c r="AU988" s="45"/>
      <c r="AV988" s="45"/>
    </row>
    <row r="989"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  <c r="AU989" s="45"/>
      <c r="AV989" s="45"/>
    </row>
    <row r="990"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45"/>
      <c r="AR990" s="45"/>
      <c r="AS990" s="45"/>
      <c r="AT990" s="45"/>
      <c r="AU990" s="45"/>
      <c r="AV990" s="45"/>
    </row>
    <row r="991"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45"/>
      <c r="AR991" s="45"/>
      <c r="AS991" s="45"/>
      <c r="AT991" s="45"/>
      <c r="AU991" s="45"/>
      <c r="AV991" s="45"/>
    </row>
    <row r="992"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45"/>
      <c r="AR992" s="45"/>
      <c r="AS992" s="45"/>
      <c r="AT992" s="45"/>
      <c r="AU992" s="45"/>
      <c r="AV992" s="45"/>
    </row>
    <row r="993"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  <c r="AU993" s="45"/>
      <c r="AV993" s="45"/>
    </row>
    <row r="994"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45"/>
      <c r="AR994" s="45"/>
      <c r="AS994" s="45"/>
      <c r="AT994" s="45"/>
      <c r="AU994" s="45"/>
      <c r="AV994" s="45"/>
    </row>
    <row r="995"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45"/>
      <c r="AR995" s="45"/>
      <c r="AS995" s="45"/>
      <c r="AT995" s="45"/>
      <c r="AU995" s="45"/>
      <c r="AV995" s="45"/>
    </row>
    <row r="996"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45"/>
      <c r="AR996" s="45"/>
      <c r="AS996" s="45"/>
      <c r="AT996" s="45"/>
      <c r="AU996" s="45"/>
      <c r="AV996" s="45"/>
    </row>
    <row r="997"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45"/>
      <c r="AR997" s="45"/>
      <c r="AS997" s="45"/>
      <c r="AT997" s="45"/>
      <c r="AU997" s="45"/>
      <c r="AV997" s="45"/>
    </row>
    <row r="998"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45"/>
      <c r="AR998" s="45"/>
      <c r="AS998" s="45"/>
      <c r="AT998" s="45"/>
      <c r="AU998" s="45"/>
      <c r="AV998" s="45"/>
    </row>
  </sheetData>
  <conditionalFormatting sqref="B2:AV47">
    <cfRule type="expression" dxfId="0" priority="1">
      <formula>AND(B2&lt;&gt;1,B2&lt;&gt;2, B2&lt;&gt;3,B2&lt;&gt;4,B2&lt;&gt;5)</formula>
    </cfRule>
  </conditionalFormatting>
  <conditionalFormatting sqref="AM55">
    <cfRule type="notContainsBlanks" dxfId="1" priority="2">
      <formula>LEN(TRIM(AM55))&gt;0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3" max="3" width="26.0"/>
    <col customWidth="1" min="4" max="4" width="21.13"/>
  </cols>
  <sheetData>
    <row r="1">
      <c r="A1" s="50" t="s">
        <v>110</v>
      </c>
      <c r="B1" s="51" t="s">
        <v>111</v>
      </c>
      <c r="C1" s="51" t="s">
        <v>112</v>
      </c>
      <c r="D1" s="51" t="s">
        <v>113</v>
      </c>
      <c r="E1" s="51" t="s">
        <v>114</v>
      </c>
    </row>
    <row r="2">
      <c r="A2" s="1">
        <v>1.0</v>
      </c>
      <c r="B2" s="7" t="s">
        <v>7</v>
      </c>
      <c r="C2" s="52" t="s">
        <v>115</v>
      </c>
      <c r="D2" s="52"/>
      <c r="E2" s="52" t="s">
        <v>116</v>
      </c>
    </row>
    <row r="3">
      <c r="A3" s="1">
        <v>2.0</v>
      </c>
      <c r="B3" s="7" t="s">
        <v>9</v>
      </c>
      <c r="C3" s="52" t="s">
        <v>117</v>
      </c>
      <c r="D3" s="5"/>
      <c r="E3" s="52" t="s">
        <v>116</v>
      </c>
    </row>
    <row r="4">
      <c r="A4" s="1">
        <v>3.0</v>
      </c>
      <c r="B4" s="7" t="s">
        <v>10</v>
      </c>
      <c r="C4" s="52" t="s">
        <v>118</v>
      </c>
      <c r="D4" s="52"/>
      <c r="E4" s="52" t="s">
        <v>116</v>
      </c>
    </row>
    <row r="5">
      <c r="A5" s="1">
        <v>4.0</v>
      </c>
      <c r="B5" s="7" t="s">
        <v>11</v>
      </c>
      <c r="C5" s="52" t="s">
        <v>119</v>
      </c>
      <c r="D5" s="5"/>
      <c r="E5" s="52" t="s">
        <v>120</v>
      </c>
    </row>
    <row r="6">
      <c r="A6" s="1">
        <v>5.0</v>
      </c>
      <c r="B6" s="7" t="s">
        <v>13</v>
      </c>
      <c r="C6" s="52" t="s">
        <v>119</v>
      </c>
      <c r="D6" s="5"/>
      <c r="E6" s="52" t="s">
        <v>120</v>
      </c>
    </row>
  </sheetData>
  <drawing r:id="rId1"/>
</worksheet>
</file>
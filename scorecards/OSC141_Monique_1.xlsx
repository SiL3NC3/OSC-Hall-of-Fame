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Data" sheetId="2" r:id="rId5"/>
    <sheet state="visible" name="Prizes" sheetId="3" r:id="rId6"/>
  </sheets>
  <definedNames>
    <definedName hidden="1" localSheetId="0" name="_xlnm._FilterDatabase">Results!$D$35:$E$58</definedName>
  </definedNames>
  <calcPr/>
</workbook>
</file>

<file path=xl/sharedStrings.xml><?xml version="1.0" encoding="utf-8"?>
<sst xmlns="http://schemas.openxmlformats.org/spreadsheetml/2006/main" count="127" uniqueCount="74">
  <si>
    <t>Name</t>
  </si>
  <si>
    <t>Score</t>
  </si>
  <si>
    <t>z.prime - Nominal</t>
  </si>
  <si>
    <t>pts</t>
  </si>
  <si>
    <t>exponent1 - Colors</t>
  </si>
  <si>
    <t>J.Ruegg - Imminent</t>
  </si>
  <si>
    <t>MyLoFy - Harmonique</t>
  </si>
  <si>
    <t>Tensorman - Video Game Army</t>
  </si>
  <si>
    <t>gethiox - No Time</t>
  </si>
  <si>
    <t>ELEX - The Long Way Home</t>
  </si>
  <si>
    <t>miau - Monique</t>
  </si>
  <si>
    <t>zarf - bouncer</t>
  </si>
  <si>
    <t>Eauson - Eauson Can Guru's Jump</t>
  </si>
  <si>
    <t>liqih - Do Not Think</t>
  </si>
  <si>
    <t>Hard3eat - Monique</t>
  </si>
  <si>
    <t>opdobqo - A Garden In The Ruins</t>
  </si>
  <si>
    <t>MilksterX - Slide</t>
  </si>
  <si>
    <t>doctorbob - NoThumb Blues</t>
  </si>
  <si>
    <t>ontrackp - Inferior Monologue</t>
  </si>
  <si>
    <t>Double Tap - Moniqosc</t>
  </si>
  <si>
    <t>bh9090 - An Orange Weight Has Been Lifted Off The Shoulders</t>
  </si>
  <si>
    <t>AgnosticLlama - NobodyExpects</t>
  </si>
  <si>
    <t>rockingricky - Dancing Bells</t>
  </si>
  <si>
    <t>Medniex - Rolling And Growling</t>
  </si>
  <si>
    <t>Spring Goose - Happysad Monique</t>
  </si>
  <si>
    <t>tar&amp;feather - Moan  eek</t>
  </si>
  <si>
    <t>Voter Name (KVR nick)</t>
  </si>
  <si>
    <t>Gen. Score *</t>
  </si>
  <si>
    <t>AgnosticLlama</t>
  </si>
  <si>
    <t>bh9090</t>
  </si>
  <si>
    <t>doctorbob</t>
  </si>
  <si>
    <t>Double Tap</t>
  </si>
  <si>
    <t>eausonne</t>
  </si>
  <si>
    <t>ELEX</t>
  </si>
  <si>
    <t>exponent1</t>
  </si>
  <si>
    <t>gethiox</t>
  </si>
  <si>
    <t>Hard3eat</t>
  </si>
  <si>
    <t>IV</t>
  </si>
  <si>
    <t>J.Ruegg</t>
  </si>
  <si>
    <t>jasinski</t>
  </si>
  <si>
    <t>Liqih</t>
  </si>
  <si>
    <t>Medniex</t>
  </si>
  <si>
    <t>miau</t>
  </si>
  <si>
    <t>milksterx</t>
  </si>
  <si>
    <t>MyLoFy</t>
  </si>
  <si>
    <t>ontrackp</t>
  </si>
  <si>
    <t>opdobqo</t>
  </si>
  <si>
    <t>Rockingricky</t>
  </si>
  <si>
    <t>Spring Goose</t>
  </si>
  <si>
    <t>tarANDfeather</t>
  </si>
  <si>
    <t>Tensorman</t>
  </si>
  <si>
    <t>z.prime</t>
  </si>
  <si>
    <t>zarf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</si>
  <si>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</si>
  <si>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</si>
  <si>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</si>
  <si>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</si>
  <si>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</si>
  <si>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</si>
  <si>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</si>
  <si>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</si>
  <si>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</si>
  <si>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</si>
  <si>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</si>
  <si>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</si>
  <si>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</si>
  <si>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Luftrum Bioscape</t>
  </si>
  <si>
    <t>Done</t>
  </si>
  <si>
    <t>Pass</t>
  </si>
  <si>
    <t>N/A</t>
  </si>
  <si>
    <t>2 of The Unfinished soundsets: Zebra Tunguska Dark edition,  Zebra Gravastar Dark Edition.</t>
  </si>
  <si>
    <t>Requested</t>
  </si>
  <si>
    <t>Synthmaster One + Synthmaster 2.x bundle</t>
  </si>
  <si>
    <t>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</si>
</sst>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name val="Arial"/>
    </font>
    <font>
      <b/>
      <sz val="18.0"/>
      <name val="Arial"/>
    </font>
    <font/>
    <font>
      <sz val="11.0"/>
      <color rgb="FF666666"/>
      <name val="Arial"/>
    </font>
    <font>
      <sz val="11.0"/>
      <color rgb="FFA61D4C"/>
      <name val="Inconsolata"/>
    </font>
    <font>
      <sz val="11.0"/>
      <color rgb="FF000000"/>
      <name val="Inconsolata"/>
    </font>
    <font>
      <u/>
      <color rgb="FF1155CC"/>
      <name val="Arial"/>
    </font>
    <font>
      <color rgb="FF999999"/>
      <name val="Arial"/>
    </font>
    <font>
      <sz val="11.0"/>
      <color rgb="FF999999"/>
      <name val="Inconsolata"/>
    </font>
    <font>
      <i/>
      <sz val="11.0"/>
      <color rgb="FF666666"/>
      <name val="Arial"/>
    </font>
    <font>
      <color rgb="FF666666"/>
      <name val="Calibri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  <font>
      <sz val="11.0"/>
      <color rgb="FF33333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shrinkToFit="0" vertical="bottom" wrapText="0"/>
    </xf>
    <xf borderId="0" fillId="2" fontId="5" numFmtId="0" xfId="0" applyAlignment="1" applyFill="1" applyFont="1">
      <alignment shrinkToFit="0" vertical="bottom" wrapText="0"/>
    </xf>
    <xf borderId="0" fillId="2" fontId="5" numFmtId="0" xfId="0" applyAlignment="1" applyFont="1">
      <alignment vertical="bottom"/>
    </xf>
    <xf borderId="0" fillId="2" fontId="6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8" numFmtId="0" xfId="0" applyAlignment="1" applyFont="1">
      <alignment shrinkToFit="0" vertical="bottom" wrapText="0"/>
    </xf>
    <xf borderId="0" fillId="0" fontId="1" numFmtId="9" xfId="0" applyAlignment="1" applyFont="1" applyNumberFormat="1">
      <alignment vertical="bottom"/>
    </xf>
    <xf borderId="0" fillId="3" fontId="1" numFmtId="0" xfId="0" applyAlignment="1" applyFill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2" fontId="9" numFmtId="9" xfId="0" applyAlignment="1" applyFont="1" applyNumberFormat="1">
      <alignment horizontal="right" vertical="bottom"/>
    </xf>
    <xf borderId="0" fillId="4" fontId="3" numFmtId="0" xfId="0" applyAlignment="1" applyFill="1" applyFont="1">
      <alignment readingOrder="0"/>
    </xf>
    <xf borderId="0" fillId="0" fontId="10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0" fillId="0" fontId="12" numFmtId="0" xfId="0" applyAlignment="1" applyFont="1">
      <alignment horizontal="left" shrinkToFit="0" vertical="bottom" wrapText="0"/>
    </xf>
    <xf borderId="0" fillId="0" fontId="13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8" numFmtId="9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476250</xdr:colOff>
      <xdr:row>34</xdr:row>
      <xdr:rowOff>133350</xdr:rowOff>
    </xdr:from>
    <xdr:ext cx="2533650" cy="2533650"/>
    <xdr:pic>
      <xdr:nvPicPr>
        <xdr:cNvPr id="183220333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48.0"/>
    <col customWidth="1" min="3" max="3" width="6.25"/>
    <col customWidth="1" min="4" max="4" width="3.5"/>
  </cols>
  <sheetData>
    <row r="1">
      <c r="A1" s="1"/>
      <c r="B1" s="2" t="s">
        <v>0</v>
      </c>
      <c r="C1" s="3" t="s">
        <v>1</v>
      </c>
    </row>
    <row r="2">
      <c r="A2" s="4">
        <v>1.0</v>
      </c>
      <c r="B2" s="5" t="s">
        <v>2</v>
      </c>
      <c r="C2">
        <v>116.0</v>
      </c>
      <c r="D2" s="6" t="s">
        <v>3</v>
      </c>
    </row>
    <row r="3">
      <c r="A3" s="4">
        <v>2.0</v>
      </c>
      <c r="B3" s="5" t="s">
        <v>4</v>
      </c>
      <c r="C3">
        <v>114.0</v>
      </c>
      <c r="D3" s="6" t="s">
        <v>3</v>
      </c>
    </row>
    <row r="4">
      <c r="A4" s="4">
        <v>3.0</v>
      </c>
      <c r="B4" s="5" t="s">
        <v>5</v>
      </c>
      <c r="C4">
        <v>114.0</v>
      </c>
      <c r="D4" s="6" t="s">
        <v>3</v>
      </c>
    </row>
    <row r="5">
      <c r="A5" s="4">
        <v>4.0</v>
      </c>
      <c r="B5" s="5" t="s">
        <v>6</v>
      </c>
      <c r="C5">
        <v>102.0</v>
      </c>
      <c r="D5" s="6" t="s">
        <v>3</v>
      </c>
    </row>
    <row r="6">
      <c r="A6" s="4">
        <v>5.0</v>
      </c>
      <c r="B6" s="5" t="s">
        <v>7</v>
      </c>
      <c r="C6">
        <v>99.0</v>
      </c>
      <c r="D6" s="6" t="s">
        <v>3</v>
      </c>
    </row>
    <row r="7">
      <c r="A7" s="7">
        <v>6.0</v>
      </c>
      <c r="B7" s="5" t="s">
        <v>8</v>
      </c>
      <c r="C7">
        <v>94.0</v>
      </c>
      <c r="D7" s="6" t="s">
        <v>3</v>
      </c>
    </row>
    <row r="8">
      <c r="A8" s="7">
        <v>7.0</v>
      </c>
      <c r="B8" s="5" t="s">
        <v>9</v>
      </c>
      <c r="C8">
        <v>94.0</v>
      </c>
      <c r="D8" s="6" t="s">
        <v>3</v>
      </c>
    </row>
    <row r="9">
      <c r="A9" s="7">
        <v>8.0</v>
      </c>
      <c r="B9" s="5" t="s">
        <v>10</v>
      </c>
      <c r="C9">
        <v>92.0</v>
      </c>
      <c r="D9" s="6" t="s">
        <v>3</v>
      </c>
    </row>
    <row r="10">
      <c r="A10" s="7">
        <v>9.0</v>
      </c>
      <c r="B10" s="5" t="s">
        <v>11</v>
      </c>
      <c r="C10">
        <v>92.0</v>
      </c>
      <c r="D10" s="6" t="s">
        <v>3</v>
      </c>
    </row>
    <row r="11">
      <c r="A11" s="7">
        <v>10.0</v>
      </c>
      <c r="B11" s="5" t="s">
        <v>12</v>
      </c>
      <c r="C11">
        <v>92.0</v>
      </c>
      <c r="D11" s="6" t="s">
        <v>3</v>
      </c>
    </row>
    <row r="12">
      <c r="A12" s="7">
        <v>11.0</v>
      </c>
      <c r="B12" s="5" t="s">
        <v>13</v>
      </c>
      <c r="C12">
        <v>91.0</v>
      </c>
      <c r="D12" s="6" t="s">
        <v>3</v>
      </c>
    </row>
    <row r="13">
      <c r="A13" s="7">
        <v>12.0</v>
      </c>
      <c r="B13" s="5" t="s">
        <v>14</v>
      </c>
      <c r="C13">
        <v>91.0</v>
      </c>
      <c r="D13" s="6" t="s">
        <v>3</v>
      </c>
    </row>
    <row r="14">
      <c r="A14" s="4">
        <v>13.0</v>
      </c>
      <c r="B14" s="5" t="s">
        <v>15</v>
      </c>
      <c r="C14">
        <v>90.0</v>
      </c>
      <c r="D14" s="6" t="s">
        <v>3</v>
      </c>
    </row>
    <row r="15">
      <c r="A15" s="4">
        <v>14.0</v>
      </c>
      <c r="B15" s="5" t="s">
        <v>16</v>
      </c>
      <c r="C15">
        <v>89.0</v>
      </c>
      <c r="D15" s="6" t="s">
        <v>3</v>
      </c>
    </row>
    <row r="16">
      <c r="A16" s="4">
        <v>15.0</v>
      </c>
      <c r="B16" s="5" t="s">
        <v>17</v>
      </c>
      <c r="C16">
        <v>87.0</v>
      </c>
      <c r="D16" s="6" t="s">
        <v>3</v>
      </c>
    </row>
    <row r="17">
      <c r="A17" s="7">
        <v>16.0</v>
      </c>
      <c r="B17" s="5" t="s">
        <v>18</v>
      </c>
      <c r="C17">
        <v>86.0</v>
      </c>
      <c r="D17" s="6" t="s">
        <v>3</v>
      </c>
    </row>
    <row r="18">
      <c r="A18" s="7">
        <v>17.0</v>
      </c>
      <c r="B18" s="5" t="s">
        <v>19</v>
      </c>
      <c r="C18">
        <v>86.0</v>
      </c>
      <c r="D18" s="6" t="s">
        <v>3</v>
      </c>
    </row>
    <row r="19">
      <c r="A19" s="4">
        <v>18.0</v>
      </c>
      <c r="B19" s="5" t="s">
        <v>20</v>
      </c>
      <c r="C19">
        <v>83.0</v>
      </c>
      <c r="D19" s="6" t="s">
        <v>3</v>
      </c>
    </row>
    <row r="20">
      <c r="A20" s="4">
        <v>19.0</v>
      </c>
      <c r="B20" s="5" t="s">
        <v>21</v>
      </c>
      <c r="C20">
        <v>82.0</v>
      </c>
      <c r="D20" s="6" t="s">
        <v>3</v>
      </c>
    </row>
    <row r="21">
      <c r="A21" s="4">
        <v>20.0</v>
      </c>
      <c r="B21" s="5" t="s">
        <v>22</v>
      </c>
      <c r="C21">
        <v>80.0</v>
      </c>
      <c r="D21" s="6" t="s">
        <v>3</v>
      </c>
    </row>
    <row r="22">
      <c r="A22" s="4">
        <v>21.0</v>
      </c>
      <c r="B22" s="5" t="s">
        <v>23</v>
      </c>
      <c r="C22">
        <v>75.0</v>
      </c>
      <c r="D22" s="6" t="s">
        <v>3</v>
      </c>
    </row>
    <row r="23">
      <c r="A23" s="4">
        <v>22.0</v>
      </c>
      <c r="B23" s="5" t="s">
        <v>24</v>
      </c>
      <c r="C23">
        <v>63.0</v>
      </c>
      <c r="D23" s="6" t="s">
        <v>3</v>
      </c>
    </row>
    <row r="24">
      <c r="A24" s="4">
        <v>23.0</v>
      </c>
      <c r="B24" s="5" t="s">
        <v>25</v>
      </c>
      <c r="C24">
        <v>59.0</v>
      </c>
      <c r="D24" s="6" t="s">
        <v>3</v>
      </c>
    </row>
    <row r="69">
      <c r="F69" s="8"/>
      <c r="G69" s="1"/>
      <c r="H69" s="1"/>
      <c r="I69" s="1"/>
      <c r="J69" s="1"/>
      <c r="K69" s="1"/>
      <c r="L69" s="1"/>
    </row>
    <row r="70">
      <c r="F70" s="1"/>
      <c r="G70" s="1"/>
      <c r="H70" s="1"/>
      <c r="I70" s="1"/>
      <c r="J70" s="1"/>
      <c r="K70" s="1"/>
      <c r="L70" s="1"/>
    </row>
    <row r="71">
      <c r="F71" s="8"/>
      <c r="G71" s="1"/>
      <c r="H71" s="1"/>
      <c r="I71" s="1"/>
      <c r="J71" s="1"/>
      <c r="K71" s="1"/>
      <c r="L71" s="1"/>
    </row>
    <row r="72">
      <c r="F72" s="8"/>
      <c r="G72" s="1"/>
      <c r="H72" s="1"/>
      <c r="I72" s="1"/>
      <c r="J72" s="1"/>
      <c r="K72" s="1"/>
      <c r="L72" s="1"/>
    </row>
    <row r="73">
      <c r="F73" s="8"/>
      <c r="G73" s="1"/>
      <c r="H73" s="1"/>
      <c r="I73" s="1"/>
      <c r="J73" s="1"/>
      <c r="K73" s="1"/>
      <c r="L73" s="1"/>
    </row>
    <row r="74">
      <c r="F74" s="8"/>
      <c r="G74" s="1"/>
      <c r="H74" s="1"/>
      <c r="I74" s="1"/>
      <c r="J74" s="1"/>
      <c r="K74" s="1"/>
      <c r="L74" s="1"/>
    </row>
    <row r="75">
      <c r="F75" s="8"/>
      <c r="G75" s="1"/>
      <c r="H75" s="1"/>
      <c r="I75" s="1"/>
      <c r="J75" s="1"/>
      <c r="K75" s="1"/>
      <c r="L75" s="1"/>
    </row>
    <row r="76">
      <c r="F76" s="1"/>
      <c r="G76" s="1"/>
      <c r="H76" s="1"/>
      <c r="I76" s="1"/>
      <c r="J76" s="1"/>
      <c r="K76" s="1"/>
      <c r="L76" s="1"/>
    </row>
    <row r="77">
      <c r="F77" s="9"/>
      <c r="G77" s="1"/>
      <c r="H77" s="1"/>
      <c r="I77" s="1"/>
      <c r="J77" s="1"/>
      <c r="K77" s="1"/>
      <c r="L77" s="1"/>
    </row>
    <row r="78">
      <c r="F78" s="9"/>
      <c r="G78" s="1"/>
      <c r="H78" s="1"/>
      <c r="I78" s="1"/>
      <c r="J78" s="1"/>
      <c r="K78" s="1"/>
      <c r="L78" s="1"/>
    </row>
    <row r="79">
      <c r="F79" s="9"/>
      <c r="G79" s="1"/>
      <c r="H79" s="1"/>
      <c r="I79" s="1"/>
      <c r="J79" s="1"/>
      <c r="K79" s="1"/>
      <c r="L79" s="1"/>
    </row>
    <row r="80">
      <c r="F80" s="9"/>
      <c r="G80" s="1"/>
      <c r="H80" s="1"/>
      <c r="I80" s="1"/>
      <c r="J80" s="1"/>
      <c r="K80" s="1"/>
      <c r="L80" s="1"/>
    </row>
    <row r="81">
      <c r="F81" s="9"/>
      <c r="G81" s="1"/>
      <c r="H81" s="1"/>
      <c r="I81" s="1"/>
      <c r="J81" s="1"/>
      <c r="K81" s="1"/>
      <c r="L81" s="1"/>
    </row>
    <row r="82">
      <c r="F82" s="9"/>
      <c r="G82" s="1"/>
      <c r="H82" s="1"/>
      <c r="I82" s="1"/>
      <c r="J82" s="1"/>
      <c r="K82" s="1"/>
      <c r="L82" s="1"/>
    </row>
    <row r="83">
      <c r="F83" s="9"/>
      <c r="G83" s="1"/>
      <c r="H83" s="1"/>
      <c r="I83" s="1"/>
      <c r="J83" s="1"/>
      <c r="K83" s="1"/>
      <c r="L83" s="1"/>
    </row>
    <row r="84">
      <c r="F84" s="9"/>
      <c r="G84" s="1"/>
      <c r="H84" s="1"/>
      <c r="I84" s="1"/>
      <c r="J84" s="1"/>
      <c r="K84" s="1"/>
      <c r="L84" s="1"/>
    </row>
    <row r="85">
      <c r="F85" s="9"/>
      <c r="G85" s="1"/>
      <c r="H85" s="1"/>
      <c r="I85" s="1"/>
      <c r="J85" s="1"/>
      <c r="K85" s="1"/>
      <c r="L85" s="1"/>
    </row>
    <row r="86">
      <c r="F86" s="9"/>
      <c r="G86" s="1"/>
      <c r="H86" s="1"/>
      <c r="I86" s="1"/>
      <c r="J86" s="1"/>
      <c r="K86" s="1"/>
      <c r="L86" s="1"/>
    </row>
    <row r="87">
      <c r="F87" s="9"/>
      <c r="G87" s="1"/>
      <c r="H87" s="1"/>
      <c r="I87" s="1"/>
      <c r="J87" s="1"/>
      <c r="K87" s="1"/>
      <c r="L87" s="1"/>
    </row>
    <row r="88">
      <c r="F88" s="9"/>
      <c r="G88" s="1"/>
      <c r="H88" s="1"/>
      <c r="I88" s="1"/>
      <c r="J88" s="1"/>
      <c r="K88" s="1"/>
      <c r="L88" s="1"/>
    </row>
    <row r="89">
      <c r="F89" s="9"/>
      <c r="G89" s="1"/>
      <c r="H89" s="1"/>
      <c r="I89" s="1"/>
      <c r="J89" s="1"/>
      <c r="K89" s="1"/>
      <c r="L89" s="1"/>
    </row>
    <row r="90">
      <c r="F90" s="9"/>
      <c r="G90" s="1"/>
      <c r="H90" s="1"/>
      <c r="I90" s="1"/>
      <c r="J90" s="1"/>
      <c r="K90" s="1"/>
      <c r="L90" s="1"/>
    </row>
    <row r="91">
      <c r="F91" s="9"/>
      <c r="G91" s="1"/>
      <c r="H91" s="1"/>
      <c r="I91" s="1"/>
      <c r="J91" s="1"/>
      <c r="K91" s="1"/>
      <c r="L91" s="1"/>
    </row>
    <row r="92">
      <c r="F92" s="9"/>
      <c r="G92" s="1"/>
      <c r="H92" s="1"/>
      <c r="I92" s="1"/>
      <c r="J92" s="1"/>
      <c r="K92" s="1"/>
      <c r="L92" s="1"/>
    </row>
    <row r="93">
      <c r="F93" s="9"/>
      <c r="G93" s="1"/>
      <c r="H93" s="1"/>
      <c r="I93" s="1"/>
      <c r="J93" s="1"/>
      <c r="K93" s="1"/>
      <c r="L93" s="1"/>
    </row>
    <row r="94">
      <c r="F94" s="9"/>
      <c r="G94" s="1"/>
      <c r="H94" s="1"/>
      <c r="I94" s="1"/>
      <c r="J94" s="1"/>
      <c r="K94" s="1"/>
      <c r="L94" s="1"/>
    </row>
    <row r="95">
      <c r="F95" s="10"/>
      <c r="G95" s="1"/>
      <c r="H95" s="1"/>
      <c r="I95" s="1"/>
      <c r="J95" s="1"/>
      <c r="K95" s="1"/>
      <c r="L95" s="1"/>
    </row>
    <row r="96">
      <c r="F96" s="8"/>
      <c r="G96" s="1"/>
      <c r="H96" s="1"/>
      <c r="I96" s="1"/>
      <c r="J96" s="1"/>
      <c r="K96" s="1"/>
      <c r="L96" s="1"/>
    </row>
    <row r="97">
      <c r="F97" s="8"/>
      <c r="G97" s="1"/>
      <c r="H97" s="1"/>
      <c r="I97" s="1"/>
      <c r="J97" s="1"/>
      <c r="K97" s="1"/>
      <c r="L97" s="1"/>
    </row>
    <row r="98">
      <c r="F98" s="1"/>
      <c r="G98" s="1"/>
      <c r="H98" s="1"/>
      <c r="I98" s="1"/>
      <c r="J98" s="1"/>
      <c r="K98" s="1"/>
      <c r="L98" s="1"/>
    </row>
    <row r="99">
      <c r="F99" s="8"/>
      <c r="G99" s="1"/>
      <c r="H99" s="1"/>
      <c r="I99" s="1"/>
      <c r="J99" s="1"/>
      <c r="K99" s="1"/>
      <c r="L99" s="1"/>
    </row>
    <row r="100">
      <c r="F100" s="1"/>
      <c r="G100" s="1"/>
      <c r="H100" s="1"/>
      <c r="I100" s="1"/>
      <c r="J100" s="1"/>
      <c r="K100" s="1"/>
      <c r="L100" s="1"/>
    </row>
    <row r="101">
      <c r="F101" s="11"/>
      <c r="G101" s="1"/>
      <c r="H101" s="1"/>
      <c r="I101" s="1"/>
      <c r="J101" s="1"/>
      <c r="K101" s="1"/>
      <c r="L101" s="1"/>
    </row>
    <row r="102">
      <c r="F102" s="12"/>
      <c r="G102" s="1"/>
      <c r="H102" s="1"/>
      <c r="I102" s="1"/>
      <c r="J102" s="1"/>
      <c r="K102" s="1"/>
      <c r="L102" s="1"/>
    </row>
  </sheetData>
  <autoFilter ref="$D$35:$E$58">
    <sortState ref="D35:E58">
      <sortCondition descending="1" ref="E35:E58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88"/>
    <col customWidth="1" min="2" max="24" width="7.13"/>
    <col customWidth="1" min="25" max="25" width="6.5"/>
    <col customWidth="1" min="26" max="26" width="4.25"/>
  </cols>
  <sheetData>
    <row r="1">
      <c r="A1" s="13" t="s">
        <v>26</v>
      </c>
      <c r="B1" s="13" t="s">
        <v>21</v>
      </c>
      <c r="C1" s="13" t="s">
        <v>20</v>
      </c>
      <c r="D1" s="13" t="s">
        <v>17</v>
      </c>
      <c r="E1" s="13" t="s">
        <v>19</v>
      </c>
      <c r="F1" s="13" t="s">
        <v>12</v>
      </c>
      <c r="G1" s="13" t="s">
        <v>9</v>
      </c>
      <c r="H1" s="13" t="s">
        <v>4</v>
      </c>
      <c r="I1" s="13" t="s">
        <v>8</v>
      </c>
      <c r="J1" s="13" t="s">
        <v>14</v>
      </c>
      <c r="K1" s="13" t="s">
        <v>5</v>
      </c>
      <c r="L1" s="13" t="s">
        <v>13</v>
      </c>
      <c r="M1" s="13" t="s">
        <v>23</v>
      </c>
      <c r="N1" s="13" t="s">
        <v>10</v>
      </c>
      <c r="O1" s="13" t="s">
        <v>16</v>
      </c>
      <c r="P1" s="13" t="s">
        <v>6</v>
      </c>
      <c r="Q1" s="13" t="s">
        <v>18</v>
      </c>
      <c r="R1" s="13" t="s">
        <v>15</v>
      </c>
      <c r="S1" s="13" t="s">
        <v>22</v>
      </c>
      <c r="T1" s="13" t="s">
        <v>24</v>
      </c>
      <c r="U1" s="13" t="s">
        <v>25</v>
      </c>
      <c r="V1" s="13" t="s">
        <v>7</v>
      </c>
      <c r="W1" s="13" t="s">
        <v>2</v>
      </c>
      <c r="X1" s="13" t="s">
        <v>11</v>
      </c>
      <c r="Y1" s="14" t="s">
        <v>27</v>
      </c>
      <c r="Z1" s="15"/>
    </row>
    <row r="2">
      <c r="A2" s="13" t="s">
        <v>28</v>
      </c>
      <c r="B2" s="16">
        <v>1.0</v>
      </c>
      <c r="C2" s="13">
        <v>4.0</v>
      </c>
      <c r="D2" s="13">
        <v>3.0</v>
      </c>
      <c r="E2" s="13">
        <v>4.0</v>
      </c>
      <c r="F2" s="13">
        <v>4.0</v>
      </c>
      <c r="G2" s="13">
        <v>4.0</v>
      </c>
      <c r="H2" s="13">
        <v>5.0</v>
      </c>
      <c r="I2" s="13">
        <v>3.0</v>
      </c>
      <c r="J2" s="13">
        <v>4.0</v>
      </c>
      <c r="K2" s="13">
        <v>5.0</v>
      </c>
      <c r="L2" s="13">
        <v>4.0</v>
      </c>
      <c r="M2" s="13">
        <v>3.0</v>
      </c>
      <c r="N2" s="13">
        <v>5.0</v>
      </c>
      <c r="O2" s="13">
        <v>4.0</v>
      </c>
      <c r="P2" s="13">
        <v>5.0</v>
      </c>
      <c r="Q2" s="13">
        <v>5.0</v>
      </c>
      <c r="R2" s="13">
        <v>3.0</v>
      </c>
      <c r="S2" s="13">
        <v>3.0</v>
      </c>
      <c r="T2" s="13">
        <v>2.0</v>
      </c>
      <c r="U2" s="13">
        <v>3.0</v>
      </c>
      <c r="V2" s="13">
        <v>4.0</v>
      </c>
      <c r="W2" s="13">
        <v>5.0</v>
      </c>
      <c r="X2" s="13">
        <v>4.0</v>
      </c>
      <c r="Y2" s="17">
        <f t="shared" ref="Y2:Y26" si="1">SUM(B2:X2)</f>
        <v>87</v>
      </c>
      <c r="Z2" s="18">
        <f t="shared" ref="Z2:Z26" si="2">(Y2-$A$37)/$A$37</f>
        <v>0.05021728634</v>
      </c>
    </row>
    <row r="3">
      <c r="A3" s="13" t="s">
        <v>29</v>
      </c>
      <c r="B3" s="13">
        <v>3.0</v>
      </c>
      <c r="C3" s="16">
        <v>1.0</v>
      </c>
      <c r="D3" s="13">
        <v>4.0</v>
      </c>
      <c r="E3" s="13">
        <v>4.0</v>
      </c>
      <c r="F3" s="13">
        <v>4.0</v>
      </c>
      <c r="G3" s="13">
        <v>3.0</v>
      </c>
      <c r="H3" s="13">
        <v>5.0</v>
      </c>
      <c r="I3" s="13">
        <v>3.0</v>
      </c>
      <c r="J3" s="13">
        <v>4.0</v>
      </c>
      <c r="K3" s="13">
        <v>5.0</v>
      </c>
      <c r="L3" s="13">
        <v>4.0</v>
      </c>
      <c r="M3" s="13">
        <v>4.0</v>
      </c>
      <c r="N3" s="13">
        <v>5.0</v>
      </c>
      <c r="O3" s="13">
        <v>5.0</v>
      </c>
      <c r="P3" s="13">
        <v>4.0</v>
      </c>
      <c r="Q3" s="13">
        <v>3.0</v>
      </c>
      <c r="R3" s="13">
        <v>4.0</v>
      </c>
      <c r="S3" s="13">
        <v>3.0</v>
      </c>
      <c r="T3" s="13">
        <v>3.0</v>
      </c>
      <c r="U3" s="13">
        <v>3.0</v>
      </c>
      <c r="V3" s="13">
        <v>4.0</v>
      </c>
      <c r="W3" s="13">
        <v>5.0</v>
      </c>
      <c r="X3" s="13">
        <v>4.0</v>
      </c>
      <c r="Y3" s="17">
        <f t="shared" si="1"/>
        <v>87</v>
      </c>
      <c r="Z3" s="18">
        <f t="shared" si="2"/>
        <v>0.05021728634</v>
      </c>
    </row>
    <row r="4">
      <c r="A4" s="13" t="s">
        <v>30</v>
      </c>
      <c r="B4" s="13">
        <v>3.0</v>
      </c>
      <c r="C4" s="13">
        <v>3.0</v>
      </c>
      <c r="D4" s="16">
        <v>1.0</v>
      </c>
      <c r="E4" s="13">
        <v>3.0</v>
      </c>
      <c r="F4" s="13">
        <v>4.0</v>
      </c>
      <c r="G4" s="13">
        <v>3.0</v>
      </c>
      <c r="H4" s="13">
        <v>5.0</v>
      </c>
      <c r="I4" s="13">
        <v>4.0</v>
      </c>
      <c r="J4" s="13">
        <v>3.0</v>
      </c>
      <c r="K4" s="13">
        <v>5.0</v>
      </c>
      <c r="L4" s="13">
        <v>3.0</v>
      </c>
      <c r="M4" s="13">
        <v>2.0</v>
      </c>
      <c r="N4" s="13">
        <v>3.0</v>
      </c>
      <c r="O4" s="13">
        <v>3.0</v>
      </c>
      <c r="P4" s="13">
        <v>4.0</v>
      </c>
      <c r="Q4" s="13">
        <v>3.0</v>
      </c>
      <c r="R4" s="13">
        <v>3.0</v>
      </c>
      <c r="S4" s="13">
        <v>3.0</v>
      </c>
      <c r="T4" s="13">
        <v>2.0</v>
      </c>
      <c r="U4" s="13">
        <v>3.0</v>
      </c>
      <c r="V4" s="13">
        <v>4.0</v>
      </c>
      <c r="W4" s="13">
        <v>5.0</v>
      </c>
      <c r="X4" s="13">
        <v>3.0</v>
      </c>
      <c r="Y4" s="17">
        <f t="shared" si="1"/>
        <v>75</v>
      </c>
      <c r="Z4" s="18">
        <f t="shared" si="2"/>
        <v>-0.0946402704</v>
      </c>
    </row>
    <row r="5">
      <c r="A5" s="13" t="s">
        <v>31</v>
      </c>
      <c r="B5" s="13">
        <v>5.0</v>
      </c>
      <c r="C5" s="13">
        <v>3.0</v>
      </c>
      <c r="D5" s="13">
        <v>5.0</v>
      </c>
      <c r="E5" s="16">
        <v>1.0</v>
      </c>
      <c r="F5" s="13">
        <v>4.0</v>
      </c>
      <c r="G5" s="13">
        <v>5.0</v>
      </c>
      <c r="H5" s="13">
        <v>5.0</v>
      </c>
      <c r="I5" s="13">
        <v>5.0</v>
      </c>
      <c r="J5" s="13">
        <v>5.0</v>
      </c>
      <c r="K5" s="13">
        <v>5.0</v>
      </c>
      <c r="L5" s="13">
        <v>4.0</v>
      </c>
      <c r="M5" s="13">
        <v>3.0</v>
      </c>
      <c r="N5" s="13">
        <v>3.0</v>
      </c>
      <c r="O5" s="13">
        <v>5.0</v>
      </c>
      <c r="P5" s="13">
        <v>4.0</v>
      </c>
      <c r="Q5" s="13">
        <v>4.0</v>
      </c>
      <c r="R5" s="13">
        <v>5.0</v>
      </c>
      <c r="S5" s="13">
        <v>5.0</v>
      </c>
      <c r="T5" s="13">
        <v>3.0</v>
      </c>
      <c r="U5" s="13">
        <v>3.0</v>
      </c>
      <c r="V5" s="13">
        <v>5.0</v>
      </c>
      <c r="W5" s="13">
        <v>5.0</v>
      </c>
      <c r="X5" s="13">
        <v>5.0</v>
      </c>
      <c r="Y5" s="17">
        <f t="shared" si="1"/>
        <v>97</v>
      </c>
      <c r="Z5" s="18">
        <f t="shared" si="2"/>
        <v>0.1709319169</v>
      </c>
    </row>
    <row r="6">
      <c r="A6" s="13" t="s">
        <v>32</v>
      </c>
      <c r="B6" s="13">
        <v>3.0</v>
      </c>
      <c r="C6" s="13">
        <v>3.0</v>
      </c>
      <c r="D6" s="13">
        <v>3.0</v>
      </c>
      <c r="E6" s="13">
        <v>4.0</v>
      </c>
      <c r="F6" s="16">
        <v>1.0</v>
      </c>
      <c r="G6" s="13">
        <v>3.0</v>
      </c>
      <c r="H6" s="13">
        <v>5.0</v>
      </c>
      <c r="I6" s="13">
        <v>3.0</v>
      </c>
      <c r="J6" s="13">
        <v>5.0</v>
      </c>
      <c r="K6" s="13">
        <v>5.0</v>
      </c>
      <c r="L6" s="13">
        <v>3.0</v>
      </c>
      <c r="M6" s="13">
        <v>3.0</v>
      </c>
      <c r="N6" s="13">
        <v>4.0</v>
      </c>
      <c r="O6" s="13">
        <v>4.0</v>
      </c>
      <c r="P6" s="13">
        <v>3.0</v>
      </c>
      <c r="Q6" s="13">
        <v>3.0</v>
      </c>
      <c r="R6" s="13">
        <v>4.0</v>
      </c>
      <c r="S6" s="13">
        <v>3.0</v>
      </c>
      <c r="T6" s="13">
        <v>3.0</v>
      </c>
      <c r="U6" s="13">
        <v>2.0</v>
      </c>
      <c r="V6" s="13">
        <v>3.0</v>
      </c>
      <c r="W6" s="13">
        <v>5.0</v>
      </c>
      <c r="X6" s="13">
        <v>3.0</v>
      </c>
      <c r="Y6" s="17">
        <f t="shared" si="1"/>
        <v>78</v>
      </c>
      <c r="Z6" s="18">
        <f t="shared" si="2"/>
        <v>-0.05842588122</v>
      </c>
    </row>
    <row r="7">
      <c r="A7" s="13" t="s">
        <v>33</v>
      </c>
      <c r="B7" s="13">
        <v>4.0</v>
      </c>
      <c r="C7" s="13">
        <v>3.0</v>
      </c>
      <c r="D7" s="13">
        <v>5.0</v>
      </c>
      <c r="E7" s="13">
        <v>4.0</v>
      </c>
      <c r="F7" s="13">
        <v>4.0</v>
      </c>
      <c r="G7" s="16">
        <v>1.0</v>
      </c>
      <c r="H7" s="13">
        <v>5.0</v>
      </c>
      <c r="I7" s="13">
        <v>4.0</v>
      </c>
      <c r="J7" s="13">
        <v>3.0</v>
      </c>
      <c r="K7" s="13">
        <v>5.0</v>
      </c>
      <c r="L7" s="13">
        <v>5.0</v>
      </c>
      <c r="M7" s="13">
        <v>3.0</v>
      </c>
      <c r="N7" s="13">
        <v>3.0</v>
      </c>
      <c r="O7" s="13">
        <v>3.0</v>
      </c>
      <c r="P7" s="13">
        <v>5.0</v>
      </c>
      <c r="Q7" s="13">
        <v>5.0</v>
      </c>
      <c r="R7" s="13">
        <v>4.0</v>
      </c>
      <c r="S7" s="13">
        <v>4.0</v>
      </c>
      <c r="T7" s="13">
        <v>3.0</v>
      </c>
      <c r="U7" s="13">
        <v>2.0</v>
      </c>
      <c r="V7" s="13">
        <v>4.0</v>
      </c>
      <c r="W7" s="13">
        <v>5.0</v>
      </c>
      <c r="X7" s="13">
        <v>5.0</v>
      </c>
      <c r="Y7" s="17">
        <f t="shared" si="1"/>
        <v>89</v>
      </c>
      <c r="Z7" s="18">
        <f t="shared" si="2"/>
        <v>0.07436021246</v>
      </c>
    </row>
    <row r="8">
      <c r="A8" s="13" t="s">
        <v>34</v>
      </c>
      <c r="B8" s="13">
        <v>4.0</v>
      </c>
      <c r="C8" s="13">
        <v>4.0</v>
      </c>
      <c r="D8" s="13">
        <v>3.0</v>
      </c>
      <c r="E8" s="13">
        <v>4.0</v>
      </c>
      <c r="F8" s="13">
        <v>5.0</v>
      </c>
      <c r="G8" s="13">
        <v>3.0</v>
      </c>
      <c r="H8" s="16">
        <v>1.0</v>
      </c>
      <c r="I8" s="13">
        <v>4.0</v>
      </c>
      <c r="J8" s="13">
        <v>4.0</v>
      </c>
      <c r="K8" s="13">
        <v>5.0</v>
      </c>
      <c r="L8" s="13">
        <v>3.0</v>
      </c>
      <c r="M8" s="13">
        <v>3.0</v>
      </c>
      <c r="N8" s="13">
        <v>5.0</v>
      </c>
      <c r="O8" s="13">
        <v>5.0</v>
      </c>
      <c r="P8" s="13">
        <v>5.0</v>
      </c>
      <c r="Q8" s="13">
        <v>4.0</v>
      </c>
      <c r="R8" s="13">
        <v>4.0</v>
      </c>
      <c r="S8" s="13">
        <v>5.0</v>
      </c>
      <c r="T8" s="13">
        <v>2.0</v>
      </c>
      <c r="U8" s="13">
        <v>2.0</v>
      </c>
      <c r="V8" s="13">
        <v>5.0</v>
      </c>
      <c r="W8" s="13">
        <v>4.0</v>
      </c>
      <c r="X8" s="13">
        <v>4.0</v>
      </c>
      <c r="Y8" s="17">
        <f t="shared" si="1"/>
        <v>88</v>
      </c>
      <c r="Z8" s="18">
        <f t="shared" si="2"/>
        <v>0.0622887494</v>
      </c>
    </row>
    <row r="9">
      <c r="A9" s="13" t="s">
        <v>35</v>
      </c>
      <c r="B9" s="13">
        <v>3.0</v>
      </c>
      <c r="C9" s="13">
        <v>3.0</v>
      </c>
      <c r="D9" s="13">
        <v>3.0</v>
      </c>
      <c r="E9" s="13">
        <v>3.0</v>
      </c>
      <c r="F9" s="13">
        <v>3.0</v>
      </c>
      <c r="G9" s="13">
        <v>3.0</v>
      </c>
      <c r="H9" s="13">
        <v>5.0</v>
      </c>
      <c r="I9" s="16">
        <v>1.0</v>
      </c>
      <c r="J9" s="13">
        <v>4.0</v>
      </c>
      <c r="K9" s="13">
        <v>5.0</v>
      </c>
      <c r="L9" s="13">
        <v>2.0</v>
      </c>
      <c r="M9" s="13">
        <v>4.0</v>
      </c>
      <c r="N9" s="13">
        <v>3.0</v>
      </c>
      <c r="O9" s="13">
        <v>4.0</v>
      </c>
      <c r="P9" s="13">
        <v>4.0</v>
      </c>
      <c r="Q9" s="13">
        <v>1.0</v>
      </c>
      <c r="R9" s="13">
        <v>3.0</v>
      </c>
      <c r="S9" s="13">
        <v>3.0</v>
      </c>
      <c r="T9" s="13">
        <v>2.0</v>
      </c>
      <c r="U9" s="13">
        <v>1.0</v>
      </c>
      <c r="V9" s="13">
        <v>4.0</v>
      </c>
      <c r="W9" s="13">
        <v>5.0</v>
      </c>
      <c r="X9" s="13">
        <v>3.0</v>
      </c>
      <c r="Y9" s="17">
        <f t="shared" si="1"/>
        <v>72</v>
      </c>
      <c r="Z9" s="18">
        <f t="shared" si="2"/>
        <v>-0.1308546596</v>
      </c>
    </row>
    <row r="10">
      <c r="A10" s="13" t="s">
        <v>36</v>
      </c>
      <c r="B10" s="13">
        <v>4.0</v>
      </c>
      <c r="C10" s="13">
        <v>3.0</v>
      </c>
      <c r="D10" s="13">
        <v>3.0</v>
      </c>
      <c r="E10" s="13">
        <v>2.0</v>
      </c>
      <c r="F10" s="13">
        <v>3.0</v>
      </c>
      <c r="G10" s="13">
        <v>4.0</v>
      </c>
      <c r="H10" s="13">
        <v>5.0</v>
      </c>
      <c r="I10" s="13">
        <v>4.0</v>
      </c>
      <c r="J10" s="16">
        <v>1.0</v>
      </c>
      <c r="K10" s="13">
        <v>5.0</v>
      </c>
      <c r="L10" s="13">
        <v>3.0</v>
      </c>
      <c r="M10" s="13">
        <v>2.0</v>
      </c>
      <c r="N10" s="13">
        <v>3.0</v>
      </c>
      <c r="O10" s="13">
        <v>4.0</v>
      </c>
      <c r="P10" s="13">
        <v>4.0</v>
      </c>
      <c r="Q10" s="13">
        <v>2.0</v>
      </c>
      <c r="R10" s="13">
        <v>2.0</v>
      </c>
      <c r="S10" s="13">
        <v>2.0</v>
      </c>
      <c r="T10" s="13">
        <v>1.0</v>
      </c>
      <c r="U10" s="13">
        <v>1.0</v>
      </c>
      <c r="V10" s="13">
        <v>4.0</v>
      </c>
      <c r="W10" s="13">
        <v>5.0</v>
      </c>
      <c r="X10" s="13">
        <v>3.0</v>
      </c>
      <c r="Y10" s="17">
        <f t="shared" si="1"/>
        <v>70</v>
      </c>
      <c r="Z10" s="18">
        <f t="shared" si="2"/>
        <v>-0.1549975857</v>
      </c>
    </row>
    <row r="11">
      <c r="A11" s="19" t="s">
        <v>37</v>
      </c>
      <c r="B11" s="13">
        <v>4.0</v>
      </c>
      <c r="C11" s="13">
        <v>4.0</v>
      </c>
      <c r="D11" s="13">
        <v>5.0</v>
      </c>
      <c r="E11" s="13">
        <v>4.0</v>
      </c>
      <c r="F11" s="13">
        <v>5.0</v>
      </c>
      <c r="G11" s="13">
        <v>5.0</v>
      </c>
      <c r="H11" s="13">
        <v>5.0</v>
      </c>
      <c r="I11" s="13">
        <v>5.0</v>
      </c>
      <c r="J11" s="13">
        <v>4.0</v>
      </c>
      <c r="K11" s="13">
        <v>5.0</v>
      </c>
      <c r="L11" s="13">
        <v>4.0</v>
      </c>
      <c r="M11" s="13">
        <v>4.0</v>
      </c>
      <c r="N11" s="13">
        <v>5.0</v>
      </c>
      <c r="O11" s="13">
        <v>4.0</v>
      </c>
      <c r="P11" s="13">
        <v>5.0</v>
      </c>
      <c r="Q11" s="13">
        <v>4.0</v>
      </c>
      <c r="R11" s="13">
        <v>4.0</v>
      </c>
      <c r="S11" s="13">
        <v>5.0</v>
      </c>
      <c r="T11" s="13">
        <v>3.0</v>
      </c>
      <c r="U11" s="13">
        <v>3.0</v>
      </c>
      <c r="V11" s="13">
        <v>5.0</v>
      </c>
      <c r="W11" s="13">
        <v>5.0</v>
      </c>
      <c r="X11" s="13">
        <v>4.0</v>
      </c>
      <c r="Y11" s="17">
        <f t="shared" si="1"/>
        <v>101</v>
      </c>
      <c r="Z11" s="18">
        <f t="shared" si="2"/>
        <v>0.2192177692</v>
      </c>
    </row>
    <row r="12">
      <c r="A12" s="13" t="s">
        <v>38</v>
      </c>
      <c r="B12" s="13">
        <v>3.0</v>
      </c>
      <c r="C12" s="13">
        <v>4.0</v>
      </c>
      <c r="D12" s="13">
        <v>4.0</v>
      </c>
      <c r="E12" s="13">
        <v>3.0</v>
      </c>
      <c r="F12" s="13">
        <v>4.0</v>
      </c>
      <c r="G12" s="13">
        <v>3.0</v>
      </c>
      <c r="H12" s="13">
        <v>5.0</v>
      </c>
      <c r="I12" s="13">
        <v>3.0</v>
      </c>
      <c r="J12" s="13">
        <v>5.0</v>
      </c>
      <c r="K12" s="16">
        <v>1.0</v>
      </c>
      <c r="L12" s="13">
        <v>3.0</v>
      </c>
      <c r="M12" s="13">
        <v>3.0</v>
      </c>
      <c r="N12" s="13">
        <v>4.0</v>
      </c>
      <c r="O12" s="13">
        <v>3.0</v>
      </c>
      <c r="P12" s="13">
        <v>4.0</v>
      </c>
      <c r="Q12" s="13">
        <v>4.0</v>
      </c>
      <c r="R12" s="13">
        <v>4.0</v>
      </c>
      <c r="S12" s="13">
        <v>3.0</v>
      </c>
      <c r="T12" s="13">
        <v>3.0</v>
      </c>
      <c r="U12" s="13">
        <v>3.0</v>
      </c>
      <c r="V12" s="13">
        <v>4.0</v>
      </c>
      <c r="W12" s="13">
        <v>5.0</v>
      </c>
      <c r="X12" s="13">
        <v>3.0</v>
      </c>
      <c r="Y12" s="17">
        <f t="shared" si="1"/>
        <v>81</v>
      </c>
      <c r="Z12" s="18">
        <f t="shared" si="2"/>
        <v>-0.02221149203</v>
      </c>
    </row>
    <row r="13">
      <c r="A13" s="19" t="s">
        <v>39</v>
      </c>
      <c r="B13" s="13">
        <v>3.0</v>
      </c>
      <c r="C13" s="13">
        <v>4.0</v>
      </c>
      <c r="D13" s="13">
        <v>3.0</v>
      </c>
      <c r="E13" s="13">
        <v>5.0</v>
      </c>
      <c r="F13" s="13">
        <v>3.0</v>
      </c>
      <c r="G13" s="13">
        <v>4.0</v>
      </c>
      <c r="H13" s="13">
        <v>5.0</v>
      </c>
      <c r="I13" s="13">
        <v>3.0</v>
      </c>
      <c r="J13" s="13">
        <v>4.0</v>
      </c>
      <c r="K13" s="13">
        <v>5.0</v>
      </c>
      <c r="L13" s="13">
        <v>3.0</v>
      </c>
      <c r="M13" s="13">
        <v>3.0</v>
      </c>
      <c r="N13" s="13">
        <v>4.0</v>
      </c>
      <c r="O13" s="13">
        <v>4.0</v>
      </c>
      <c r="P13" s="13">
        <v>4.0</v>
      </c>
      <c r="Q13" s="13">
        <v>3.0</v>
      </c>
      <c r="R13" s="13">
        <v>5.0</v>
      </c>
      <c r="S13" s="13">
        <v>4.0</v>
      </c>
      <c r="T13" s="13">
        <v>2.0</v>
      </c>
      <c r="U13" s="13">
        <v>3.0</v>
      </c>
      <c r="V13" s="13">
        <v>4.0</v>
      </c>
      <c r="W13" s="13">
        <v>5.0</v>
      </c>
      <c r="X13" s="13">
        <v>4.0</v>
      </c>
      <c r="Y13" s="17">
        <f t="shared" si="1"/>
        <v>87</v>
      </c>
      <c r="Z13" s="18">
        <f t="shared" si="2"/>
        <v>0.05021728634</v>
      </c>
    </row>
    <row r="14">
      <c r="A14" s="13" t="s">
        <v>40</v>
      </c>
      <c r="B14" s="13">
        <v>4.0</v>
      </c>
      <c r="C14" s="13">
        <v>3.0</v>
      </c>
      <c r="D14" s="13">
        <v>4.0</v>
      </c>
      <c r="E14" s="13">
        <v>5.0</v>
      </c>
      <c r="F14" s="13">
        <v>3.0</v>
      </c>
      <c r="G14" s="13">
        <v>4.0</v>
      </c>
      <c r="H14" s="13">
        <v>5.0</v>
      </c>
      <c r="I14" s="13">
        <v>3.0</v>
      </c>
      <c r="J14" s="13">
        <v>3.0</v>
      </c>
      <c r="K14" s="13">
        <v>4.0</v>
      </c>
      <c r="L14" s="16">
        <v>1.0</v>
      </c>
      <c r="M14" s="13">
        <v>3.0</v>
      </c>
      <c r="N14" s="13">
        <v>3.0</v>
      </c>
      <c r="O14" s="13">
        <v>3.0</v>
      </c>
      <c r="P14" s="13">
        <v>4.0</v>
      </c>
      <c r="Q14" s="13">
        <v>4.0</v>
      </c>
      <c r="R14" s="13">
        <v>4.0</v>
      </c>
      <c r="S14" s="13">
        <v>3.0</v>
      </c>
      <c r="T14" s="13">
        <v>3.0</v>
      </c>
      <c r="U14" s="13">
        <v>4.0</v>
      </c>
      <c r="V14" s="13">
        <v>4.0</v>
      </c>
      <c r="W14" s="13">
        <v>5.0</v>
      </c>
      <c r="X14" s="13">
        <v>5.0</v>
      </c>
      <c r="Y14" s="17">
        <f t="shared" si="1"/>
        <v>84</v>
      </c>
      <c r="Z14" s="18">
        <f t="shared" si="2"/>
        <v>0.01400289715</v>
      </c>
    </row>
    <row r="15">
      <c r="A15" s="13" t="s">
        <v>41</v>
      </c>
      <c r="B15" s="13">
        <v>3.0</v>
      </c>
      <c r="C15" s="13">
        <v>3.0</v>
      </c>
      <c r="D15" s="13">
        <v>4.0</v>
      </c>
      <c r="E15" s="13">
        <v>4.0</v>
      </c>
      <c r="F15" s="13">
        <v>4.0</v>
      </c>
      <c r="G15" s="13">
        <v>4.0</v>
      </c>
      <c r="H15" s="13">
        <v>5.0</v>
      </c>
      <c r="I15" s="13">
        <v>4.0</v>
      </c>
      <c r="J15" s="13">
        <v>4.0</v>
      </c>
      <c r="K15" s="13">
        <v>5.0</v>
      </c>
      <c r="L15" s="13">
        <v>3.0</v>
      </c>
      <c r="M15" s="16">
        <v>1.0</v>
      </c>
      <c r="N15" s="13">
        <v>4.0</v>
      </c>
      <c r="O15" s="13">
        <v>3.0</v>
      </c>
      <c r="P15" s="13">
        <v>4.0</v>
      </c>
      <c r="Q15" s="13">
        <v>3.0</v>
      </c>
      <c r="R15" s="13">
        <v>4.0</v>
      </c>
      <c r="S15" s="13">
        <v>3.0</v>
      </c>
      <c r="T15" s="13">
        <v>3.0</v>
      </c>
      <c r="U15" s="13">
        <v>2.0</v>
      </c>
      <c r="V15" s="13">
        <v>4.0</v>
      </c>
      <c r="W15" s="13">
        <v>5.0</v>
      </c>
      <c r="X15" s="13">
        <v>4.0</v>
      </c>
      <c r="Y15" s="17">
        <f t="shared" si="1"/>
        <v>83</v>
      </c>
      <c r="Z15" s="18">
        <f t="shared" si="2"/>
        <v>0.00193143409</v>
      </c>
    </row>
    <row r="16">
      <c r="A16" s="13" t="s">
        <v>42</v>
      </c>
      <c r="B16" s="13">
        <v>3.0</v>
      </c>
      <c r="C16" s="13">
        <v>3.0</v>
      </c>
      <c r="D16" s="13">
        <v>4.0</v>
      </c>
      <c r="E16" s="13">
        <v>3.0</v>
      </c>
      <c r="F16" s="13">
        <v>4.0</v>
      </c>
      <c r="G16" s="13">
        <v>4.0</v>
      </c>
      <c r="H16" s="13">
        <v>4.0</v>
      </c>
      <c r="I16" s="13">
        <v>5.0</v>
      </c>
      <c r="J16" s="13">
        <v>3.0</v>
      </c>
      <c r="K16" s="13">
        <v>4.0</v>
      </c>
      <c r="L16" s="13">
        <v>3.0</v>
      </c>
      <c r="M16" s="13">
        <v>3.0</v>
      </c>
      <c r="N16" s="16">
        <v>1.0</v>
      </c>
      <c r="O16" s="13">
        <v>4.0</v>
      </c>
      <c r="P16" s="13">
        <v>4.0</v>
      </c>
      <c r="Q16" s="13">
        <v>3.0</v>
      </c>
      <c r="R16" s="13">
        <v>4.0</v>
      </c>
      <c r="S16" s="13">
        <v>4.0</v>
      </c>
      <c r="T16" s="13">
        <v>3.0</v>
      </c>
      <c r="U16" s="13">
        <v>3.0</v>
      </c>
      <c r="V16" s="13">
        <v>4.0</v>
      </c>
      <c r="W16" s="13">
        <v>5.0</v>
      </c>
      <c r="X16" s="13">
        <v>4.0</v>
      </c>
      <c r="Y16" s="17">
        <f t="shared" si="1"/>
        <v>82</v>
      </c>
      <c r="Z16" s="18">
        <f t="shared" si="2"/>
        <v>-0.01014002897</v>
      </c>
    </row>
    <row r="17">
      <c r="A17" s="13" t="s">
        <v>43</v>
      </c>
      <c r="B17" s="13">
        <v>3.0</v>
      </c>
      <c r="C17" s="13">
        <v>3.0</v>
      </c>
      <c r="D17" s="13">
        <v>4.0</v>
      </c>
      <c r="E17" s="13">
        <v>4.0</v>
      </c>
      <c r="F17" s="13">
        <v>3.0</v>
      </c>
      <c r="G17" s="13">
        <v>4.0</v>
      </c>
      <c r="H17" s="13">
        <v>5.0</v>
      </c>
      <c r="I17" s="13">
        <v>5.0</v>
      </c>
      <c r="J17" s="13">
        <v>5.0</v>
      </c>
      <c r="K17" s="13">
        <v>5.0</v>
      </c>
      <c r="L17" s="13">
        <v>4.0</v>
      </c>
      <c r="M17" s="13">
        <v>3.0</v>
      </c>
      <c r="N17" s="13">
        <v>5.0</v>
      </c>
      <c r="O17" s="16">
        <v>1.0</v>
      </c>
      <c r="P17" s="13">
        <v>4.0</v>
      </c>
      <c r="Q17" s="13">
        <v>4.0</v>
      </c>
      <c r="R17" s="13">
        <v>4.0</v>
      </c>
      <c r="S17" s="13">
        <v>4.0</v>
      </c>
      <c r="T17" s="13">
        <v>3.0</v>
      </c>
      <c r="U17" s="13">
        <v>2.0</v>
      </c>
      <c r="V17" s="13">
        <v>5.0</v>
      </c>
      <c r="W17" s="13">
        <v>5.0</v>
      </c>
      <c r="X17" s="13">
        <v>4.0</v>
      </c>
      <c r="Y17" s="17">
        <f t="shared" si="1"/>
        <v>89</v>
      </c>
      <c r="Z17" s="18">
        <f t="shared" si="2"/>
        <v>0.07436021246</v>
      </c>
    </row>
    <row r="18">
      <c r="A18" s="13" t="s">
        <v>44</v>
      </c>
      <c r="B18" s="13">
        <v>4.0</v>
      </c>
      <c r="C18" s="13">
        <v>2.0</v>
      </c>
      <c r="D18" s="13">
        <v>4.0</v>
      </c>
      <c r="E18" s="13">
        <v>4.0</v>
      </c>
      <c r="F18" s="13">
        <v>3.0</v>
      </c>
      <c r="G18" s="13">
        <v>4.0</v>
      </c>
      <c r="H18" s="13">
        <v>5.0</v>
      </c>
      <c r="I18" s="13">
        <v>3.0</v>
      </c>
      <c r="J18" s="13">
        <v>4.0</v>
      </c>
      <c r="K18" s="13">
        <v>5.0</v>
      </c>
      <c r="L18" s="13">
        <v>3.0</v>
      </c>
      <c r="M18" s="13">
        <v>3.0</v>
      </c>
      <c r="N18" s="13">
        <v>4.0</v>
      </c>
      <c r="O18" s="13">
        <v>3.0</v>
      </c>
      <c r="P18" s="16">
        <v>1.0</v>
      </c>
      <c r="Q18" s="13">
        <v>4.0</v>
      </c>
      <c r="R18" s="13">
        <v>4.0</v>
      </c>
      <c r="S18" s="13">
        <v>3.0</v>
      </c>
      <c r="T18" s="13">
        <v>2.0</v>
      </c>
      <c r="U18" s="13">
        <v>2.0</v>
      </c>
      <c r="V18" s="13">
        <v>5.0</v>
      </c>
      <c r="W18" s="13">
        <v>4.0</v>
      </c>
      <c r="X18" s="13">
        <v>3.0</v>
      </c>
      <c r="Y18" s="17">
        <f t="shared" si="1"/>
        <v>79</v>
      </c>
      <c r="Z18" s="18">
        <f t="shared" si="2"/>
        <v>-0.04635441816</v>
      </c>
    </row>
    <row r="19">
      <c r="A19" s="13" t="s">
        <v>45</v>
      </c>
      <c r="B19" s="13">
        <v>3.0</v>
      </c>
      <c r="C19" s="13">
        <v>3.0</v>
      </c>
      <c r="D19" s="13">
        <v>3.0</v>
      </c>
      <c r="E19" s="13">
        <v>4.0</v>
      </c>
      <c r="F19" s="13">
        <v>4.0</v>
      </c>
      <c r="G19" s="13">
        <v>5.0</v>
      </c>
      <c r="H19" s="13">
        <v>4.0</v>
      </c>
      <c r="I19" s="13">
        <v>3.0</v>
      </c>
      <c r="J19" s="13">
        <v>3.0</v>
      </c>
      <c r="K19" s="13">
        <v>5.0</v>
      </c>
      <c r="L19" s="13">
        <v>4.0</v>
      </c>
      <c r="M19" s="13">
        <v>3.0</v>
      </c>
      <c r="N19" s="13">
        <v>4.0</v>
      </c>
      <c r="O19" s="13">
        <v>3.0</v>
      </c>
      <c r="P19" s="13">
        <v>3.0</v>
      </c>
      <c r="Q19" s="16">
        <v>1.0</v>
      </c>
      <c r="R19" s="13">
        <v>4.0</v>
      </c>
      <c r="S19" s="13">
        <v>3.0</v>
      </c>
      <c r="T19" s="13">
        <v>3.0</v>
      </c>
      <c r="U19" s="13">
        <v>3.0</v>
      </c>
      <c r="V19" s="13">
        <v>4.0</v>
      </c>
      <c r="W19" s="13">
        <v>5.0</v>
      </c>
      <c r="X19" s="13">
        <v>4.0</v>
      </c>
      <c r="Y19" s="17">
        <f t="shared" si="1"/>
        <v>81</v>
      </c>
      <c r="Z19" s="18">
        <f t="shared" si="2"/>
        <v>-0.02221149203</v>
      </c>
    </row>
    <row r="20">
      <c r="A20" s="13" t="s">
        <v>46</v>
      </c>
      <c r="B20" s="13">
        <v>3.0</v>
      </c>
      <c r="C20" s="13">
        <v>3.0</v>
      </c>
      <c r="D20" s="13">
        <v>3.0</v>
      </c>
      <c r="E20" s="13">
        <v>3.0</v>
      </c>
      <c r="F20" s="13">
        <v>4.0</v>
      </c>
      <c r="G20" s="13">
        <v>3.0</v>
      </c>
      <c r="H20" s="13">
        <v>4.0</v>
      </c>
      <c r="I20" s="13">
        <v>3.0</v>
      </c>
      <c r="J20" s="13">
        <v>3.0</v>
      </c>
      <c r="K20" s="13">
        <v>4.0</v>
      </c>
      <c r="L20" s="13">
        <v>5.0</v>
      </c>
      <c r="M20" s="13">
        <v>4.0</v>
      </c>
      <c r="N20" s="13">
        <v>4.0</v>
      </c>
      <c r="O20" s="13">
        <v>4.0</v>
      </c>
      <c r="P20" s="13">
        <v>5.0</v>
      </c>
      <c r="Q20" s="13">
        <v>5.0</v>
      </c>
      <c r="R20" s="16">
        <v>1.0</v>
      </c>
      <c r="S20" s="13">
        <v>4.0</v>
      </c>
      <c r="T20" s="13">
        <v>3.0</v>
      </c>
      <c r="U20" s="13">
        <v>3.0</v>
      </c>
      <c r="V20" s="13">
        <v>4.0</v>
      </c>
      <c r="W20" s="13">
        <v>5.0</v>
      </c>
      <c r="X20" s="13">
        <v>4.0</v>
      </c>
      <c r="Y20" s="17">
        <f t="shared" si="1"/>
        <v>84</v>
      </c>
      <c r="Z20" s="18">
        <f t="shared" si="2"/>
        <v>0.01400289715</v>
      </c>
    </row>
    <row r="21">
      <c r="A21" s="13" t="s">
        <v>47</v>
      </c>
      <c r="B21" s="13">
        <v>3.0</v>
      </c>
      <c r="C21" s="13">
        <v>3.0</v>
      </c>
      <c r="D21" s="13">
        <v>4.0</v>
      </c>
      <c r="E21" s="13">
        <v>4.0</v>
      </c>
      <c r="F21" s="13">
        <v>5.0</v>
      </c>
      <c r="G21" s="13">
        <v>4.0</v>
      </c>
      <c r="H21" s="13">
        <v>5.0</v>
      </c>
      <c r="I21" s="13">
        <v>4.0</v>
      </c>
      <c r="J21" s="13">
        <v>3.0</v>
      </c>
      <c r="K21" s="13">
        <v>5.0</v>
      </c>
      <c r="L21" s="13">
        <v>4.0</v>
      </c>
      <c r="M21" s="13">
        <v>4.0</v>
      </c>
      <c r="N21" s="13">
        <v>3.0</v>
      </c>
      <c r="O21" s="13">
        <v>3.0</v>
      </c>
      <c r="P21" s="13">
        <v>5.0</v>
      </c>
      <c r="Q21" s="13">
        <v>5.0</v>
      </c>
      <c r="R21" s="13">
        <v>4.0</v>
      </c>
      <c r="S21" s="16">
        <v>1.0</v>
      </c>
      <c r="T21" s="13">
        <v>2.0</v>
      </c>
      <c r="U21" s="13">
        <v>2.0</v>
      </c>
      <c r="V21" s="13">
        <v>5.0</v>
      </c>
      <c r="W21" s="13">
        <v>5.0</v>
      </c>
      <c r="X21" s="13">
        <v>4.0</v>
      </c>
      <c r="Y21" s="17">
        <f t="shared" si="1"/>
        <v>87</v>
      </c>
      <c r="Z21" s="18">
        <f t="shared" si="2"/>
        <v>0.05021728634</v>
      </c>
    </row>
    <row r="22">
      <c r="A22" s="13" t="s">
        <v>48</v>
      </c>
      <c r="B22" s="13">
        <v>4.0</v>
      </c>
      <c r="C22" s="13">
        <v>5.0</v>
      </c>
      <c r="D22" s="13">
        <v>2.0</v>
      </c>
      <c r="E22" s="13">
        <v>3.0</v>
      </c>
      <c r="F22" s="13">
        <v>4.0</v>
      </c>
      <c r="G22" s="13">
        <v>4.0</v>
      </c>
      <c r="H22" s="13">
        <v>4.0</v>
      </c>
      <c r="I22" s="13">
        <v>5.0</v>
      </c>
      <c r="J22" s="13">
        <v>3.0</v>
      </c>
      <c r="K22" s="13">
        <v>4.0</v>
      </c>
      <c r="L22" s="13">
        <v>5.0</v>
      </c>
      <c r="M22" s="13">
        <v>2.0</v>
      </c>
      <c r="N22" s="13">
        <v>4.0</v>
      </c>
      <c r="O22" s="13">
        <v>3.0</v>
      </c>
      <c r="P22" s="13">
        <v>4.0</v>
      </c>
      <c r="Q22" s="13">
        <v>4.0</v>
      </c>
      <c r="R22" s="13">
        <v>2.0</v>
      </c>
      <c r="S22" s="13">
        <v>1.0</v>
      </c>
      <c r="T22" s="16">
        <v>1.0</v>
      </c>
      <c r="U22" s="13">
        <v>2.0</v>
      </c>
      <c r="V22" s="13">
        <v>1.0</v>
      </c>
      <c r="W22" s="13">
        <v>3.0</v>
      </c>
      <c r="X22" s="13">
        <v>3.0</v>
      </c>
      <c r="Y22" s="17">
        <f t="shared" si="1"/>
        <v>73</v>
      </c>
      <c r="Z22" s="18">
        <f t="shared" si="2"/>
        <v>-0.1187831965</v>
      </c>
    </row>
    <row r="23">
      <c r="A23" s="13" t="s">
        <v>49</v>
      </c>
      <c r="B23" s="13">
        <v>4.0</v>
      </c>
      <c r="C23" s="13">
        <v>4.0</v>
      </c>
      <c r="D23" s="13">
        <v>4.0</v>
      </c>
      <c r="E23" s="13">
        <v>3.0</v>
      </c>
      <c r="F23" s="13">
        <v>4.0</v>
      </c>
      <c r="G23" s="13">
        <v>5.0</v>
      </c>
      <c r="H23" s="13">
        <v>3.0</v>
      </c>
      <c r="I23" s="13">
        <v>5.0</v>
      </c>
      <c r="J23" s="13">
        <v>2.0</v>
      </c>
      <c r="K23" s="13">
        <v>3.0</v>
      </c>
      <c r="L23" s="13">
        <v>5.0</v>
      </c>
      <c r="M23" s="13">
        <v>3.0</v>
      </c>
      <c r="N23" s="13">
        <v>2.0</v>
      </c>
      <c r="O23" s="13">
        <v>4.0</v>
      </c>
      <c r="P23" s="13">
        <v>5.0</v>
      </c>
      <c r="Q23" s="13">
        <v>2.0</v>
      </c>
      <c r="R23" s="13">
        <v>2.0</v>
      </c>
      <c r="S23" s="13">
        <v>2.0</v>
      </c>
      <c r="T23" s="13">
        <v>5.0</v>
      </c>
      <c r="U23" s="16">
        <v>1.0</v>
      </c>
      <c r="V23" s="13">
        <v>4.0</v>
      </c>
      <c r="W23" s="13">
        <v>4.0</v>
      </c>
      <c r="X23" s="13">
        <v>5.0</v>
      </c>
      <c r="Y23" s="17">
        <f t="shared" si="1"/>
        <v>81</v>
      </c>
      <c r="Z23" s="18">
        <f t="shared" si="2"/>
        <v>-0.02221149203</v>
      </c>
    </row>
    <row r="24">
      <c r="A24" s="13" t="s">
        <v>50</v>
      </c>
      <c r="B24" s="13">
        <v>3.0</v>
      </c>
      <c r="C24" s="13">
        <v>4.0</v>
      </c>
      <c r="D24" s="13">
        <v>4.0</v>
      </c>
      <c r="E24" s="13">
        <v>3.0</v>
      </c>
      <c r="F24" s="13">
        <v>3.0</v>
      </c>
      <c r="G24" s="13">
        <v>4.0</v>
      </c>
      <c r="H24" s="13">
        <v>5.0</v>
      </c>
      <c r="I24" s="13">
        <v>5.0</v>
      </c>
      <c r="J24" s="13">
        <v>4.0</v>
      </c>
      <c r="K24" s="13">
        <v>5.0</v>
      </c>
      <c r="L24" s="13">
        <v>4.0</v>
      </c>
      <c r="M24" s="13">
        <v>3.0</v>
      </c>
      <c r="N24" s="13">
        <v>4.0</v>
      </c>
      <c r="O24" s="13">
        <v>3.0</v>
      </c>
      <c r="P24" s="13">
        <v>4.0</v>
      </c>
      <c r="Q24" s="13">
        <v>2.0</v>
      </c>
      <c r="R24" s="13">
        <v>4.0</v>
      </c>
      <c r="S24" s="13">
        <v>3.0</v>
      </c>
      <c r="T24" s="13">
        <v>2.0</v>
      </c>
      <c r="U24" s="13">
        <v>2.0</v>
      </c>
      <c r="V24" s="16">
        <v>1.0</v>
      </c>
      <c r="W24" s="13">
        <v>5.0</v>
      </c>
      <c r="X24" s="13">
        <v>3.0</v>
      </c>
      <c r="Y24" s="17">
        <f t="shared" si="1"/>
        <v>80</v>
      </c>
      <c r="Z24" s="18">
        <f t="shared" si="2"/>
        <v>-0.03428295509</v>
      </c>
    </row>
    <row r="25">
      <c r="A25" s="13" t="s">
        <v>51</v>
      </c>
      <c r="B25" s="13">
        <v>3.0</v>
      </c>
      <c r="C25" s="13">
        <v>4.0</v>
      </c>
      <c r="D25" s="13">
        <v>2.0</v>
      </c>
      <c r="E25" s="13">
        <v>3.0</v>
      </c>
      <c r="F25" s="13">
        <v>3.0</v>
      </c>
      <c r="G25" s="13">
        <v>4.0</v>
      </c>
      <c r="H25" s="13">
        <v>4.0</v>
      </c>
      <c r="I25" s="13">
        <v>4.0</v>
      </c>
      <c r="J25" s="13">
        <v>4.0</v>
      </c>
      <c r="K25" s="13">
        <v>4.0</v>
      </c>
      <c r="L25" s="13">
        <v>5.0</v>
      </c>
      <c r="M25" s="13">
        <v>3.0</v>
      </c>
      <c r="N25" s="13">
        <v>4.0</v>
      </c>
      <c r="O25" s="13">
        <v>3.0</v>
      </c>
      <c r="P25" s="13">
        <v>5.0</v>
      </c>
      <c r="Q25" s="13">
        <v>4.0</v>
      </c>
      <c r="R25" s="13">
        <v>5.0</v>
      </c>
      <c r="S25" s="13">
        <v>3.0</v>
      </c>
      <c r="T25" s="13">
        <v>2.0</v>
      </c>
      <c r="U25" s="13">
        <v>2.0</v>
      </c>
      <c r="V25" s="13">
        <v>4.0</v>
      </c>
      <c r="W25" s="16">
        <v>1.0</v>
      </c>
      <c r="X25" s="13">
        <v>3.0</v>
      </c>
      <c r="Y25" s="17">
        <f t="shared" si="1"/>
        <v>79</v>
      </c>
      <c r="Z25" s="18">
        <f t="shared" si="2"/>
        <v>-0.04635441816</v>
      </c>
    </row>
    <row r="26">
      <c r="A26" s="13" t="s">
        <v>52</v>
      </c>
      <c r="B26" s="13">
        <v>2.0</v>
      </c>
      <c r="C26" s="13">
        <v>4.0</v>
      </c>
      <c r="D26" s="13">
        <v>3.0</v>
      </c>
      <c r="E26" s="13">
        <v>2.0</v>
      </c>
      <c r="F26" s="13">
        <v>4.0</v>
      </c>
      <c r="G26" s="13">
        <v>4.0</v>
      </c>
      <c r="H26" s="13">
        <v>5.0</v>
      </c>
      <c r="I26" s="13">
        <v>3.0</v>
      </c>
      <c r="J26" s="13">
        <v>4.0</v>
      </c>
      <c r="K26" s="13">
        <v>5.0</v>
      </c>
      <c r="L26" s="13">
        <v>4.0</v>
      </c>
      <c r="M26" s="13">
        <v>3.0</v>
      </c>
      <c r="N26" s="13">
        <v>3.0</v>
      </c>
      <c r="O26" s="13">
        <v>4.0</v>
      </c>
      <c r="P26" s="13">
        <v>3.0</v>
      </c>
      <c r="Q26" s="13">
        <v>4.0</v>
      </c>
      <c r="R26" s="13">
        <v>3.0</v>
      </c>
      <c r="S26" s="13">
        <v>3.0</v>
      </c>
      <c r="T26" s="13">
        <v>2.0</v>
      </c>
      <c r="U26" s="13">
        <v>2.0</v>
      </c>
      <c r="V26" s="13">
        <v>4.0</v>
      </c>
      <c r="W26" s="13">
        <v>5.0</v>
      </c>
      <c r="X26" s="16">
        <v>1.0</v>
      </c>
      <c r="Y26" s="17">
        <f t="shared" si="1"/>
        <v>77</v>
      </c>
      <c r="Z26" s="18">
        <f t="shared" si="2"/>
        <v>-0.07049734428</v>
      </c>
    </row>
    <row r="27">
      <c r="A27" s="20" t="s">
        <v>1</v>
      </c>
      <c r="B27" s="21">
        <f t="shared" ref="B27:X27" si="3">SUM(B2:B26)</f>
        <v>82</v>
      </c>
      <c r="C27" s="21">
        <f t="shared" si="3"/>
        <v>83</v>
      </c>
      <c r="D27" s="21">
        <f t="shared" si="3"/>
        <v>87</v>
      </c>
      <c r="E27" s="21">
        <f t="shared" si="3"/>
        <v>86</v>
      </c>
      <c r="F27" s="21">
        <f t="shared" si="3"/>
        <v>92</v>
      </c>
      <c r="G27" s="21">
        <f t="shared" si="3"/>
        <v>94</v>
      </c>
      <c r="H27" s="21">
        <f t="shared" si="3"/>
        <v>114</v>
      </c>
      <c r="I27" s="21">
        <f t="shared" si="3"/>
        <v>94</v>
      </c>
      <c r="J27" s="21">
        <f t="shared" si="3"/>
        <v>91</v>
      </c>
      <c r="K27" s="21">
        <f t="shared" si="3"/>
        <v>114</v>
      </c>
      <c r="L27" s="21">
        <f t="shared" si="3"/>
        <v>91</v>
      </c>
      <c r="M27" s="21">
        <f t="shared" si="3"/>
        <v>75</v>
      </c>
      <c r="N27" s="21">
        <f t="shared" si="3"/>
        <v>92</v>
      </c>
      <c r="O27" s="21">
        <f t="shared" si="3"/>
        <v>89</v>
      </c>
      <c r="P27" s="21">
        <f t="shared" si="3"/>
        <v>102</v>
      </c>
      <c r="Q27" s="21">
        <f t="shared" si="3"/>
        <v>86</v>
      </c>
      <c r="R27" s="21">
        <f t="shared" si="3"/>
        <v>90</v>
      </c>
      <c r="S27" s="21">
        <f t="shared" si="3"/>
        <v>80</v>
      </c>
      <c r="T27" s="21">
        <f t="shared" si="3"/>
        <v>63</v>
      </c>
      <c r="U27" s="21">
        <f t="shared" si="3"/>
        <v>59</v>
      </c>
      <c r="V27" s="21">
        <f t="shared" si="3"/>
        <v>99</v>
      </c>
      <c r="W27" s="21">
        <f t="shared" si="3"/>
        <v>116</v>
      </c>
      <c r="X27" s="21">
        <f t="shared" si="3"/>
        <v>92</v>
      </c>
      <c r="Y27" s="22" t="s">
        <v>53</v>
      </c>
    </row>
    <row r="28">
      <c r="A28" s="23" t="s">
        <v>54</v>
      </c>
      <c r="B28" s="24">
        <f t="shared" ref="B28:X28" si="4">COUNTIF(B2:B26,5)</f>
        <v>1</v>
      </c>
      <c r="C28" s="24">
        <f t="shared" si="4"/>
        <v>1</v>
      </c>
      <c r="D28" s="24">
        <f t="shared" si="4"/>
        <v>3</v>
      </c>
      <c r="E28" s="24">
        <f t="shared" si="4"/>
        <v>2</v>
      </c>
      <c r="F28" s="24">
        <f t="shared" si="4"/>
        <v>3</v>
      </c>
      <c r="G28" s="24">
        <f t="shared" si="4"/>
        <v>4</v>
      </c>
      <c r="H28" s="24">
        <f t="shared" si="4"/>
        <v>18</v>
      </c>
      <c r="I28" s="24">
        <f t="shared" si="4"/>
        <v>7</v>
      </c>
      <c r="J28" s="24">
        <f t="shared" si="4"/>
        <v>4</v>
      </c>
      <c r="K28" s="24">
        <f t="shared" si="4"/>
        <v>18</v>
      </c>
      <c r="L28" s="24">
        <f t="shared" si="4"/>
        <v>5</v>
      </c>
      <c r="M28" s="24">
        <f t="shared" si="4"/>
        <v>0</v>
      </c>
      <c r="N28" s="24">
        <f t="shared" si="4"/>
        <v>5</v>
      </c>
      <c r="O28" s="24">
        <f t="shared" si="4"/>
        <v>3</v>
      </c>
      <c r="P28" s="24">
        <f t="shared" si="4"/>
        <v>8</v>
      </c>
      <c r="Q28" s="24">
        <f t="shared" si="4"/>
        <v>4</v>
      </c>
      <c r="R28" s="24">
        <f t="shared" si="4"/>
        <v>3</v>
      </c>
      <c r="S28" s="24">
        <f t="shared" si="4"/>
        <v>3</v>
      </c>
      <c r="T28" s="24">
        <f t="shared" si="4"/>
        <v>1</v>
      </c>
      <c r="U28" s="24">
        <f t="shared" si="4"/>
        <v>0</v>
      </c>
      <c r="V28" s="24">
        <f t="shared" si="4"/>
        <v>6</v>
      </c>
      <c r="W28" s="24">
        <f t="shared" si="4"/>
        <v>20</v>
      </c>
      <c r="X28" s="24">
        <f t="shared" si="4"/>
        <v>4</v>
      </c>
      <c r="Y28" s="17">
        <f t="shared" ref="Y28:Y32" si="6">SUM(B28:X28)</f>
        <v>123</v>
      </c>
      <c r="Z28" s="25">
        <f t="shared" ref="Z28:Z33" si="7">Y28/$Y$33</f>
        <v>0.2139130435</v>
      </c>
    </row>
    <row r="29">
      <c r="A29" s="23" t="s">
        <v>55</v>
      </c>
      <c r="B29" s="24">
        <f t="shared" ref="B29:X29" si="5">COUNTIF(B2:B26,4)</f>
        <v>8</v>
      </c>
      <c r="C29" s="24">
        <f t="shared" si="5"/>
        <v>9</v>
      </c>
      <c r="D29" s="24">
        <f t="shared" si="5"/>
        <v>10</v>
      </c>
      <c r="E29" s="24">
        <f t="shared" si="5"/>
        <v>11</v>
      </c>
      <c r="F29" s="24">
        <f t="shared" si="5"/>
        <v>13</v>
      </c>
      <c r="G29" s="24">
        <f t="shared" si="5"/>
        <v>13</v>
      </c>
      <c r="H29" s="24">
        <f t="shared" si="5"/>
        <v>5</v>
      </c>
      <c r="I29" s="24">
        <f t="shared" si="5"/>
        <v>7</v>
      </c>
      <c r="J29" s="24">
        <f t="shared" si="5"/>
        <v>11</v>
      </c>
      <c r="K29" s="24">
        <f t="shared" si="5"/>
        <v>5</v>
      </c>
      <c r="L29" s="24">
        <f t="shared" si="5"/>
        <v>9</v>
      </c>
      <c r="M29" s="24">
        <f t="shared" si="5"/>
        <v>5</v>
      </c>
      <c r="N29" s="24">
        <f t="shared" si="5"/>
        <v>10</v>
      </c>
      <c r="O29" s="24">
        <f t="shared" si="5"/>
        <v>10</v>
      </c>
      <c r="P29" s="24">
        <f t="shared" si="5"/>
        <v>13</v>
      </c>
      <c r="Q29" s="24">
        <f t="shared" si="5"/>
        <v>10</v>
      </c>
      <c r="R29" s="24">
        <f t="shared" si="5"/>
        <v>14</v>
      </c>
      <c r="S29" s="24">
        <f t="shared" si="5"/>
        <v>5</v>
      </c>
      <c r="T29" s="24">
        <f t="shared" si="5"/>
        <v>0</v>
      </c>
      <c r="U29" s="24">
        <f t="shared" si="5"/>
        <v>1</v>
      </c>
      <c r="V29" s="24">
        <f t="shared" si="5"/>
        <v>16</v>
      </c>
      <c r="W29" s="24">
        <f t="shared" si="5"/>
        <v>3</v>
      </c>
      <c r="X29" s="24">
        <f t="shared" si="5"/>
        <v>11</v>
      </c>
      <c r="Y29" s="17">
        <f t="shared" si="6"/>
        <v>199</v>
      </c>
      <c r="Z29" s="25">
        <f t="shared" si="7"/>
        <v>0.3460869565</v>
      </c>
    </row>
    <row r="30">
      <c r="A30" s="23" t="s">
        <v>56</v>
      </c>
      <c r="B30" s="24">
        <f t="shared" ref="B30:X30" si="8">COUNTIF(B2:B26,3)</f>
        <v>14</v>
      </c>
      <c r="C30" s="24">
        <f t="shared" si="8"/>
        <v>13</v>
      </c>
      <c r="D30" s="24">
        <f t="shared" si="8"/>
        <v>9</v>
      </c>
      <c r="E30" s="24">
        <f t="shared" si="8"/>
        <v>9</v>
      </c>
      <c r="F30" s="24">
        <f t="shared" si="8"/>
        <v>8</v>
      </c>
      <c r="G30" s="24">
        <f t="shared" si="8"/>
        <v>7</v>
      </c>
      <c r="H30" s="24">
        <f t="shared" si="8"/>
        <v>1</v>
      </c>
      <c r="I30" s="24">
        <f t="shared" si="8"/>
        <v>10</v>
      </c>
      <c r="J30" s="24">
        <f t="shared" si="8"/>
        <v>8</v>
      </c>
      <c r="K30" s="24">
        <f t="shared" si="8"/>
        <v>1</v>
      </c>
      <c r="L30" s="24">
        <f t="shared" si="8"/>
        <v>9</v>
      </c>
      <c r="M30" s="24">
        <f t="shared" si="8"/>
        <v>16</v>
      </c>
      <c r="N30" s="24">
        <f t="shared" si="8"/>
        <v>8</v>
      </c>
      <c r="O30" s="24">
        <f t="shared" si="8"/>
        <v>11</v>
      </c>
      <c r="P30" s="24">
        <f t="shared" si="8"/>
        <v>3</v>
      </c>
      <c r="Q30" s="24">
        <f t="shared" si="8"/>
        <v>6</v>
      </c>
      <c r="R30" s="24">
        <f t="shared" si="8"/>
        <v>4</v>
      </c>
      <c r="S30" s="24">
        <f t="shared" si="8"/>
        <v>13</v>
      </c>
      <c r="T30" s="24">
        <f t="shared" si="8"/>
        <v>12</v>
      </c>
      <c r="U30" s="24">
        <f t="shared" si="8"/>
        <v>10</v>
      </c>
      <c r="V30" s="24">
        <f t="shared" si="8"/>
        <v>1</v>
      </c>
      <c r="W30" s="24">
        <f t="shared" si="8"/>
        <v>1</v>
      </c>
      <c r="X30" s="24">
        <f t="shared" si="8"/>
        <v>9</v>
      </c>
      <c r="Y30" s="17">
        <f t="shared" si="6"/>
        <v>183</v>
      </c>
      <c r="Z30" s="25">
        <f t="shared" si="7"/>
        <v>0.3182608696</v>
      </c>
    </row>
    <row r="31">
      <c r="A31" s="23" t="s">
        <v>57</v>
      </c>
      <c r="B31" s="24">
        <f t="shared" ref="B31:X31" si="9">COUNTIF(B2:B26,2)</f>
        <v>1</v>
      </c>
      <c r="C31" s="24">
        <f t="shared" si="9"/>
        <v>1</v>
      </c>
      <c r="D31" s="24">
        <f t="shared" si="9"/>
        <v>2</v>
      </c>
      <c r="E31" s="24">
        <f t="shared" si="9"/>
        <v>2</v>
      </c>
      <c r="F31" s="24">
        <f t="shared" si="9"/>
        <v>0</v>
      </c>
      <c r="G31" s="24">
        <f t="shared" si="9"/>
        <v>0</v>
      </c>
      <c r="H31" s="24">
        <f t="shared" si="9"/>
        <v>0</v>
      </c>
      <c r="I31" s="24">
        <f t="shared" si="9"/>
        <v>0</v>
      </c>
      <c r="J31" s="24">
        <f t="shared" si="9"/>
        <v>1</v>
      </c>
      <c r="K31" s="24">
        <f t="shared" si="9"/>
        <v>0</v>
      </c>
      <c r="L31" s="24">
        <f t="shared" si="9"/>
        <v>1</v>
      </c>
      <c r="M31" s="24">
        <f t="shared" si="9"/>
        <v>3</v>
      </c>
      <c r="N31" s="24">
        <f t="shared" si="9"/>
        <v>1</v>
      </c>
      <c r="O31" s="24">
        <f t="shared" si="9"/>
        <v>0</v>
      </c>
      <c r="P31" s="24">
        <f t="shared" si="9"/>
        <v>0</v>
      </c>
      <c r="Q31" s="24">
        <f t="shared" si="9"/>
        <v>3</v>
      </c>
      <c r="R31" s="24">
        <f t="shared" si="9"/>
        <v>3</v>
      </c>
      <c r="S31" s="24">
        <f t="shared" si="9"/>
        <v>2</v>
      </c>
      <c r="T31" s="24">
        <f t="shared" si="9"/>
        <v>10</v>
      </c>
      <c r="U31" s="24">
        <f t="shared" si="9"/>
        <v>11</v>
      </c>
      <c r="V31" s="24">
        <f t="shared" si="9"/>
        <v>0</v>
      </c>
      <c r="W31" s="24">
        <f t="shared" si="9"/>
        <v>0</v>
      </c>
      <c r="X31" s="24">
        <f t="shared" si="9"/>
        <v>0</v>
      </c>
      <c r="Y31" s="17">
        <f t="shared" si="6"/>
        <v>41</v>
      </c>
      <c r="Z31" s="25">
        <f t="shared" si="7"/>
        <v>0.07130434783</v>
      </c>
    </row>
    <row r="32">
      <c r="A32" s="23" t="s">
        <v>58</v>
      </c>
      <c r="B32" s="24">
        <f t="shared" ref="B32:X32" si="10">COUNTIF(B2:B26,1)</f>
        <v>1</v>
      </c>
      <c r="C32" s="24">
        <f t="shared" si="10"/>
        <v>1</v>
      </c>
      <c r="D32" s="24">
        <f t="shared" si="10"/>
        <v>1</v>
      </c>
      <c r="E32" s="24">
        <f t="shared" si="10"/>
        <v>1</v>
      </c>
      <c r="F32" s="24">
        <f t="shared" si="10"/>
        <v>1</v>
      </c>
      <c r="G32" s="24">
        <f t="shared" si="10"/>
        <v>1</v>
      </c>
      <c r="H32" s="24">
        <f t="shared" si="10"/>
        <v>1</v>
      </c>
      <c r="I32" s="24">
        <f t="shared" si="10"/>
        <v>1</v>
      </c>
      <c r="J32" s="24">
        <f t="shared" si="10"/>
        <v>1</v>
      </c>
      <c r="K32" s="24">
        <f t="shared" si="10"/>
        <v>1</v>
      </c>
      <c r="L32" s="24">
        <f t="shared" si="10"/>
        <v>1</v>
      </c>
      <c r="M32" s="24">
        <f t="shared" si="10"/>
        <v>1</v>
      </c>
      <c r="N32" s="24">
        <f t="shared" si="10"/>
        <v>1</v>
      </c>
      <c r="O32" s="24">
        <f t="shared" si="10"/>
        <v>1</v>
      </c>
      <c r="P32" s="24">
        <f t="shared" si="10"/>
        <v>1</v>
      </c>
      <c r="Q32" s="24">
        <f t="shared" si="10"/>
        <v>2</v>
      </c>
      <c r="R32" s="24">
        <f t="shared" si="10"/>
        <v>1</v>
      </c>
      <c r="S32" s="24">
        <f t="shared" si="10"/>
        <v>2</v>
      </c>
      <c r="T32" s="24">
        <f t="shared" si="10"/>
        <v>2</v>
      </c>
      <c r="U32" s="24">
        <f t="shared" si="10"/>
        <v>3</v>
      </c>
      <c r="V32" s="24">
        <f t="shared" si="10"/>
        <v>2</v>
      </c>
      <c r="W32" s="24">
        <f t="shared" si="10"/>
        <v>1</v>
      </c>
      <c r="X32" s="24">
        <f t="shared" si="10"/>
        <v>1</v>
      </c>
      <c r="Y32" s="17">
        <f t="shared" si="6"/>
        <v>29</v>
      </c>
      <c r="Z32" s="25">
        <f t="shared" si="7"/>
        <v>0.05043478261</v>
      </c>
    </row>
    <row r="33">
      <c r="A33" s="1"/>
      <c r="B33" s="1"/>
      <c r="P33" s="1"/>
      <c r="Y33" s="17">
        <f>SUM(Y28:Y32)</f>
        <v>575</v>
      </c>
      <c r="Z33" s="25">
        <f t="shared" si="7"/>
        <v>1</v>
      </c>
    </row>
    <row r="34">
      <c r="A34" s="1"/>
      <c r="B34" s="1"/>
      <c r="P34" s="1"/>
    </row>
    <row r="35">
      <c r="A35" s="14" t="s">
        <v>59</v>
      </c>
      <c r="B35" s="1"/>
      <c r="P35" s="1"/>
    </row>
    <row r="36">
      <c r="A36" s="26" t="s">
        <v>60</v>
      </c>
      <c r="B36" s="1"/>
    </row>
    <row r="37">
      <c r="A37" s="27">
        <f>AVERAGE(Y2:Y26)</f>
        <v>82.84</v>
      </c>
      <c r="B37" s="1"/>
      <c r="D37" s="28"/>
      <c r="E37" s="28"/>
      <c r="F37" s="28"/>
      <c r="G37" s="28"/>
      <c r="P37" s="1"/>
    </row>
    <row r="38">
      <c r="A38" s="1"/>
      <c r="B38" s="1"/>
      <c r="D38" s="28"/>
      <c r="E38" s="28"/>
      <c r="F38" s="28"/>
      <c r="G38" s="28"/>
      <c r="P38" s="1"/>
    </row>
    <row r="39">
      <c r="A39" s="1"/>
      <c r="B39" s="1"/>
      <c r="D39" s="28"/>
      <c r="E39" s="28"/>
      <c r="F39" s="28"/>
      <c r="G39" s="28"/>
      <c r="P39" s="1"/>
    </row>
    <row r="40">
      <c r="A40" s="1"/>
      <c r="B40" s="1"/>
      <c r="D40" s="28"/>
      <c r="E40" s="28"/>
      <c r="F40" s="28"/>
      <c r="G40" s="28"/>
      <c r="P40" s="1"/>
    </row>
    <row r="41">
      <c r="A41" s="1"/>
      <c r="B41" s="1"/>
      <c r="D41" s="28"/>
      <c r="E41" s="28"/>
      <c r="F41" s="28"/>
      <c r="G41" s="28"/>
      <c r="H41" s="28"/>
      <c r="P41" s="1"/>
    </row>
    <row r="42">
      <c r="A42" s="1"/>
      <c r="B42" s="1"/>
      <c r="D42" s="28"/>
      <c r="E42" s="28"/>
      <c r="F42" s="28"/>
      <c r="G42" s="28"/>
      <c r="H42" s="28"/>
      <c r="P42" s="1"/>
    </row>
    <row r="43">
      <c r="A43" s="1"/>
      <c r="B43" s="1"/>
      <c r="D43" s="28"/>
      <c r="E43" s="28"/>
      <c r="F43" s="28"/>
      <c r="G43" s="28"/>
      <c r="H43" s="28"/>
      <c r="P43" s="1"/>
    </row>
    <row r="44">
      <c r="A44" s="1"/>
      <c r="B44" s="1"/>
      <c r="D44" s="28"/>
      <c r="E44" s="28"/>
      <c r="F44" s="28"/>
      <c r="G44" s="28"/>
      <c r="H44" s="28"/>
      <c r="P44" s="1"/>
    </row>
    <row r="45">
      <c r="A45" s="1"/>
      <c r="B45" s="1"/>
      <c r="D45" s="28"/>
      <c r="E45" s="28"/>
      <c r="F45" s="28"/>
      <c r="G45" s="28"/>
      <c r="H45" s="28"/>
      <c r="P45" s="1"/>
    </row>
    <row r="46">
      <c r="A46" s="1"/>
      <c r="B46" s="1"/>
      <c r="D46" s="28"/>
      <c r="E46" s="28"/>
      <c r="F46" s="28"/>
      <c r="G46" s="28"/>
      <c r="H46" s="28"/>
      <c r="P46" s="1"/>
    </row>
    <row r="47">
      <c r="A47" s="1"/>
      <c r="B47" s="1"/>
      <c r="E47" s="28"/>
      <c r="F47" s="28"/>
      <c r="G47" s="28"/>
      <c r="H47" s="28"/>
      <c r="P47" s="1"/>
    </row>
    <row r="48">
      <c r="A48" s="1"/>
      <c r="B48" s="1"/>
      <c r="E48" s="28"/>
      <c r="F48" s="28"/>
      <c r="G48" s="28"/>
      <c r="H48" s="28"/>
      <c r="P48" s="1"/>
    </row>
    <row r="49">
      <c r="A49" s="1"/>
      <c r="B49" s="1"/>
      <c r="E49" s="28"/>
      <c r="F49" s="28"/>
      <c r="G49" s="28"/>
      <c r="H49" s="28"/>
      <c r="P49" s="1"/>
    </row>
  </sheetData>
  <mergeCells count="1">
    <mergeCell ref="Y27:Z27"/>
  </mergeCells>
  <conditionalFormatting sqref="B2:X26">
    <cfRule type="expression" dxfId="0" priority="1">
      <formula>AND(B2&lt;&gt;1,B2&lt;&gt;2, B2&lt;&gt;3,B2&lt;&gt;4,B2&lt;&gt;5)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  <col customWidth="1" min="3" max="3" width="13.75"/>
  </cols>
  <sheetData>
    <row r="1">
      <c r="A1" s="29" t="s">
        <v>61</v>
      </c>
      <c r="B1" s="30" t="s">
        <v>62</v>
      </c>
      <c r="C1" s="30" t="s">
        <v>63</v>
      </c>
      <c r="D1" s="30" t="s">
        <v>64</v>
      </c>
      <c r="E1" s="30" t="s">
        <v>65</v>
      </c>
    </row>
    <row r="2">
      <c r="A2" s="4">
        <v>1.0</v>
      </c>
      <c r="B2" s="5" t="s">
        <v>2</v>
      </c>
      <c r="C2" s="31" t="s">
        <v>66</v>
      </c>
      <c r="D2" s="1"/>
      <c r="E2" s="31" t="s">
        <v>67</v>
      </c>
    </row>
    <row r="3">
      <c r="A3" s="4">
        <v>2.0</v>
      </c>
      <c r="B3" s="5" t="s">
        <v>4</v>
      </c>
      <c r="C3" s="32" t="s">
        <v>68</v>
      </c>
      <c r="D3" s="1"/>
      <c r="E3" s="31" t="s">
        <v>69</v>
      </c>
    </row>
    <row r="4">
      <c r="A4" s="4">
        <v>3.0</v>
      </c>
      <c r="B4" s="5" t="s">
        <v>5</v>
      </c>
      <c r="C4" s="31" t="s">
        <v>70</v>
      </c>
      <c r="D4" s="1"/>
      <c r="E4" s="31" t="s">
        <v>71</v>
      </c>
    </row>
    <row r="5">
      <c r="A5" s="4">
        <v>4.0</v>
      </c>
      <c r="B5" s="5" t="s">
        <v>6</v>
      </c>
      <c r="C5" s="31" t="s">
        <v>68</v>
      </c>
      <c r="D5" s="1"/>
      <c r="E5" s="31" t="s">
        <v>69</v>
      </c>
    </row>
    <row r="6">
      <c r="A6" s="4">
        <v>5.0</v>
      </c>
      <c r="B6" s="5" t="s">
        <v>7</v>
      </c>
      <c r="C6" s="31" t="s">
        <v>72</v>
      </c>
      <c r="D6" s="1"/>
      <c r="E6" s="31" t="s">
        <v>73</v>
      </c>
    </row>
  </sheetData>
  <drawing r:id="rId1"/>
</worksheet>
</file>
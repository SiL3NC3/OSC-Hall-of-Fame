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Data" sheetId="2" r:id="rId6"/>
    <sheet state="visible" name="Prizes" sheetId="3" r:id="rId7"/>
  </sheets>
  <definedNames>
    <definedName hidden="1" localSheetId="0" name="_xlnm._FilterDatabase">Results!$A$1:$K$46</definedName>
  </definedNames>
  <calcPr/>
</workbook>
</file>

<file path=xl/sharedStrings.xml><?xml version="1.0" encoding="utf-8"?>
<sst xmlns="http://schemas.openxmlformats.org/spreadsheetml/2006/main" count="206" uniqueCount="108">
  <si>
    <t>Track</t>
  </si>
  <si>
    <t>Score</t>
  </si>
  <si>
    <t>5's</t>
  </si>
  <si>
    <t>4's</t>
  </si>
  <si>
    <t>3's</t>
  </si>
  <si>
    <t>2's</t>
  </si>
  <si>
    <t>1's</t>
  </si>
  <si>
    <t>Notes</t>
  </si>
  <si>
    <t>Collab</t>
  </si>
  <si>
    <t>ZioMau - jasf2 (not so stupid)</t>
  </si>
  <si>
    <t>pts</t>
  </si>
  <si>
    <t>Taron - Stealing the Ragnarök</t>
  </si>
  <si>
    <t>ELEX - Bouquet de Fleurs</t>
  </si>
  <si>
    <t>silverpants - Stuntik Velpern</t>
  </si>
  <si>
    <t>] Peter:H [ - ømph</t>
  </si>
  <si>
    <t>johnkhf - Happy</t>
  </si>
  <si>
    <t>Tachman - The joyful 90's</t>
  </si>
  <si>
    <t>z.prime - Boom Boom Tss</t>
  </si>
  <si>
    <t>bzz - Overtime</t>
  </si>
  <si>
    <t>Viroo - The untold story</t>
  </si>
  <si>
    <t>Impedance Music - Sounds like a Plan</t>
  </si>
  <si>
    <t>VCA-089 - Jungle Assault</t>
  </si>
  <si>
    <t>kraftraum - Rotation 36 (Kometentanz mit Philae)</t>
  </si>
  <si>
    <t>h.s.j.e. - This is the Place</t>
  </si>
  <si>
    <t>seap - Völusp</t>
  </si>
  <si>
    <t>The Sound Of Merlin - The Day After</t>
  </si>
  <si>
    <t>eraze the borders - The Orbit Space Conundrum</t>
  </si>
  <si>
    <t>ontrackp - A Stroll Thru the Woods At Night2</t>
  </si>
  <si>
    <t>Leonard Bowman - 22 steps back</t>
  </si>
  <si>
    <t>SIL3NC3_SWX - Cosmic Dive</t>
  </si>
  <si>
    <t>doctorbob - Ragnarock</t>
  </si>
  <si>
    <t>MadMcMan - Kiltarlity</t>
  </si>
  <si>
    <t>whassup - Nok Nok Ragnarok</t>
  </si>
  <si>
    <t>dq</t>
  </si>
  <si>
    <t>Neptune - A New Beginning</t>
  </si>
  <si>
    <t>phankiejankie303 - My Right Hand</t>
  </si>
  <si>
    <t>toadhjo - Valhalla Beach</t>
  </si>
  <si>
    <t>PeterBPL - En Último Lugar</t>
  </si>
  <si>
    <t>Single Instance</t>
  </si>
  <si>
    <t>acid42 - The Storm Is Upon Us3</t>
  </si>
  <si>
    <t>hennessey - mint</t>
  </si>
  <si>
    <t>kennu - viper</t>
  </si>
  <si>
    <t>empphryio - Saneville</t>
  </si>
  <si>
    <t>Juergen - Ambient2</t>
  </si>
  <si>
    <t>Jorah - The Maze</t>
  </si>
  <si>
    <t>GeneralQ - Ragnarök</t>
  </si>
  <si>
    <t>Negoba - Warm Fusion</t>
  </si>
  <si>
    <t>1980-F - Körangar</t>
  </si>
  <si>
    <t>m30li200 - changes</t>
  </si>
  <si>
    <t>BrainBeatMusic - Recovery Anthem</t>
  </si>
  <si>
    <t>violator_alba - Unrelated Reflections</t>
  </si>
  <si>
    <t>Starsickle - HARMONI-ROK</t>
  </si>
  <si>
    <t>misc007 - Don't Cry For Me</t>
  </si>
  <si>
    <t>Voter Name (KVR nick)</t>
  </si>
  <si>
    <t>Gen. Score *</t>
  </si>
  <si>
    <t>1980-F</t>
  </si>
  <si>
    <t>BrainBeatMusic</t>
  </si>
  <si>
    <t>bzz</t>
  </si>
  <si>
    <t>doctorbob</t>
  </si>
  <si>
    <t>ELEX</t>
  </si>
  <si>
    <t>empphryio</t>
  </si>
  <si>
    <t>eraze the borders</t>
  </si>
  <si>
    <t>GeneralQ</t>
  </si>
  <si>
    <t>hennessey</t>
  </si>
  <si>
    <t>h.s.j.e.</t>
  </si>
  <si>
    <t>Impedance Music</t>
  </si>
  <si>
    <t>johnkhf</t>
  </si>
  <si>
    <t>Juergen</t>
  </si>
  <si>
    <t>kennu</t>
  </si>
  <si>
    <t>Kraftraum</t>
  </si>
  <si>
    <t>Leonard Bowman</t>
  </si>
  <si>
    <t>m30li200</t>
  </si>
  <si>
    <t>MadMcMan</t>
  </si>
  <si>
    <t>Negoba</t>
  </si>
  <si>
    <t>ontrackp</t>
  </si>
  <si>
    <t>] Peter:H [</t>
  </si>
  <si>
    <t>PeterBPL_</t>
  </si>
  <si>
    <t>phankiejankie303</t>
  </si>
  <si>
    <t>seap</t>
  </si>
  <si>
    <t>SiL3NC3_SWX</t>
  </si>
  <si>
    <t>silverpants</t>
  </si>
  <si>
    <t>Starsickle</t>
  </si>
  <si>
    <t>Tachman</t>
  </si>
  <si>
    <t>Taron</t>
  </si>
  <si>
    <t>The Sound Of Merlin</t>
  </si>
  <si>
    <t>toadhjo</t>
  </si>
  <si>
    <t>VCA-089</t>
  </si>
  <si>
    <t>violator_alba</t>
  </si>
  <si>
    <t>Viroo</t>
  </si>
  <si>
    <t>whassup</t>
  </si>
  <si>
    <t>ZioMau</t>
  </si>
  <si>
    <t>z.prime</t>
  </si>
  <si>
    <t>Distribution:</t>
  </si>
  <si>
    <t>* Notes on 'Generosity Score'</t>
  </si>
  <si>
    <t>Average fairness is</t>
  </si>
  <si>
    <t>Legend</t>
  </si>
  <si>
    <t>Voter Name</t>
  </si>
  <si>
    <t>is a dq (late, etc)</t>
  </si>
  <si>
    <t>is outside voter (must have &gt; 40 kvr posts)</t>
  </si>
  <si>
    <t>is a self vote</t>
  </si>
  <si>
    <t>#</t>
  </si>
  <si>
    <t>Prize</t>
  </si>
  <si>
    <t>Secondary Prize</t>
  </si>
  <si>
    <t>Status</t>
  </si>
  <si>
    <t>Pass</t>
  </si>
  <si>
    <t>N/A</t>
  </si>
  <si>
    <t>Dawsome Myth</t>
  </si>
  <si>
    <t>SENT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</si>
</sst>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b/>
      <i/>
      <color rgb="FF999999"/>
      <name val="Arial"/>
    </font>
    <font>
      <color theme="1"/>
      <name val="Arial"/>
      <scheme val="minor"/>
    </font>
    <font>
      <b/>
      <sz val="10.0"/>
      <color rgb="FF666666"/>
      <name val="Arial"/>
    </font>
    <font>
      <sz val="11.0"/>
      <color rgb="FFA61D4C"/>
      <name val="Inconsolata"/>
    </font>
    <font>
      <sz val="11.0"/>
      <color theme="1"/>
      <name val="Inconsolata"/>
    </font>
    <font>
      <u/>
      <color rgb="FF1155CC"/>
      <name val="Arial"/>
    </font>
    <font>
      <b/>
      <color theme="1"/>
      <name val="Arial"/>
      <scheme val="minor"/>
    </font>
    <font>
      <b/>
      <color rgb="FF999999"/>
      <name val="Arial"/>
    </font>
    <font>
      <color rgb="FF999999"/>
      <name val="Arial"/>
    </font>
    <font>
      <b/>
      <i/>
      <sz val="11.0"/>
      <color rgb="FF666666"/>
      <name val="Arial"/>
    </font>
    <font>
      <b/>
      <i/>
      <sz val="8.0"/>
      <color rgb="FF666666"/>
      <name val="Arial"/>
    </font>
    <font>
      <sz val="8.0"/>
      <color rgb="FF666666"/>
      <name val="Calibri"/>
    </font>
    <font>
      <color rgb="FF666666"/>
      <name val="Arial"/>
    </font>
    <font>
      <b/>
      <color rgb="FF666666"/>
      <name val="Arial"/>
    </font>
    <font>
      <b/>
      <color theme="1"/>
      <name val="Arial"/>
    </font>
    <font>
      <b/>
      <sz val="12.0"/>
      <color rgb="FF666666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7EEF8"/>
        <bgColor rgb="FFE7EEF8"/>
      </patternFill>
    </fill>
    <fill>
      <patternFill patternType="solid">
        <fgColor rgb="FFCFE2F3"/>
        <bgColor rgb="FFCFE2F3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4" numFmtId="3" xfId="0" applyFont="1" applyNumberFormat="1"/>
    <xf borderId="0" fillId="0" fontId="1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1" numFmtId="0" xfId="0" applyAlignment="1" applyFont="1">
      <alignment horizontal="center" readingOrder="0" vertical="bottom"/>
    </xf>
    <xf borderId="0" fillId="0" fontId="4" numFmtId="0" xfId="0" applyAlignment="1" applyFont="1">
      <alignment horizontal="center"/>
    </xf>
    <xf borderId="1" fillId="2" fontId="6" numFmtId="0" xfId="0" applyAlignment="1" applyBorder="1" applyFill="1" applyFont="1">
      <alignment vertical="bottom"/>
    </xf>
    <xf borderId="0" fillId="0" fontId="4" numFmtId="3" xfId="0" applyAlignment="1" applyFont="1" applyNumberFormat="1">
      <alignment horizontal="center"/>
    </xf>
    <xf borderId="1" fillId="2" fontId="6" numFmtId="3" xfId="0" applyAlignment="1" applyBorder="1" applyFont="1" applyNumberFormat="1">
      <alignment vertical="bottom"/>
    </xf>
    <xf borderId="1" fillId="2" fontId="7" numFmtId="0" xfId="0" applyAlignment="1" applyBorder="1" applyFont="1">
      <alignment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readingOrder="0"/>
    </xf>
    <xf borderId="0" fillId="3" fontId="9" numFmtId="0" xfId="0" applyAlignment="1" applyFill="1" applyFont="1">
      <alignment readingOrder="0"/>
    </xf>
    <xf borderId="0" fillId="0" fontId="10" numFmtId="0" xfId="0" applyAlignment="1" applyFont="1">
      <alignment vertical="bottom"/>
    </xf>
    <xf borderId="0" fillId="0" fontId="1" numFmtId="10" xfId="0" applyAlignment="1" applyFont="1" applyNumberFormat="1">
      <alignment vertical="bottom"/>
    </xf>
    <xf borderId="0" fillId="4" fontId="1" numFmtId="0" xfId="0" applyAlignment="1" applyFill="1" applyFont="1">
      <alignment horizontal="center" vertical="bottom"/>
    </xf>
    <xf borderId="0" fillId="0" fontId="1" numFmtId="3" xfId="0" applyAlignment="1" applyFont="1" applyNumberFormat="1">
      <alignment horizontal="center" vertical="bottom"/>
    </xf>
    <xf borderId="0" fillId="0" fontId="11" numFmtId="10" xfId="0" applyAlignment="1" applyFont="1" applyNumberFormat="1">
      <alignment horizontal="right" vertical="bottom"/>
    </xf>
    <xf borderId="0" fillId="0" fontId="12" numFmtId="49" xfId="0" applyAlignment="1" applyFont="1" applyNumberFormat="1">
      <alignment vertical="bottom"/>
    </xf>
    <xf borderId="0" fillId="0" fontId="10" numFmtId="49" xfId="0" applyAlignment="1" applyFont="1" applyNumberFormat="1">
      <alignment vertical="bottom"/>
    </xf>
    <xf borderId="0" fillId="0" fontId="13" numFmtId="49" xfId="0" applyAlignment="1" applyFont="1" applyNumberFormat="1">
      <alignment vertical="bottom"/>
    </xf>
    <xf borderId="0" fillId="0" fontId="14" numFmtId="0" xfId="0" applyAlignment="1" applyFont="1">
      <alignment horizontal="center" vertical="bottom"/>
    </xf>
    <xf borderId="0" fillId="0" fontId="15" numFmtId="49" xfId="0" applyAlignment="1" applyFont="1" applyNumberFormat="1">
      <alignment horizontal="right" vertical="bottom"/>
    </xf>
    <xf borderId="0" fillId="0" fontId="15" numFmtId="10" xfId="0" applyAlignment="1" applyFont="1" applyNumberFormat="1">
      <alignment horizontal="right" vertical="bottom"/>
    </xf>
    <xf borderId="0" fillId="0" fontId="1" numFmtId="49" xfId="0" applyAlignment="1" applyFont="1" applyNumberFormat="1">
      <alignment vertical="bottom"/>
    </xf>
    <xf borderId="0" fillId="0" fontId="16" numFmtId="49" xfId="0" applyAlignment="1" applyFont="1" applyNumberFormat="1">
      <alignment vertical="bottom"/>
    </xf>
    <xf borderId="0" fillId="0" fontId="15" numFmtId="4" xfId="0" applyAlignment="1" applyFont="1" applyNumberFormat="1">
      <alignment horizontal="right" vertical="bottom"/>
    </xf>
    <xf borderId="0" fillId="0" fontId="17" numFmtId="0" xfId="0" applyAlignment="1" applyFont="1">
      <alignment vertical="bottom"/>
    </xf>
    <xf borderId="0" fillId="3" fontId="1" numFmtId="49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5" fontId="1" numFmtId="49" xfId="0" applyAlignment="1" applyFill="1" applyFont="1" applyNumberFormat="1">
      <alignment vertical="bottom"/>
    </xf>
    <xf borderId="0" fillId="4" fontId="1" numFmtId="0" xfId="0" applyAlignment="1" applyFont="1">
      <alignment horizontal="center" vertical="bottom"/>
    </xf>
    <xf borderId="0" fillId="0" fontId="18" numFmtId="0" xfId="0" applyAlignment="1" applyFont="1">
      <alignment horizontal="center" vertical="bottom"/>
    </xf>
    <xf borderId="0" fillId="0" fontId="18" numFmtId="0" xfId="0" applyAlignment="1" applyFont="1">
      <alignment vertical="bottom"/>
    </xf>
    <xf borderId="0" fillId="0" fontId="17" numFmtId="0" xfId="0" applyAlignment="1" applyFont="1">
      <alignment horizontal="center"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22</xdr:col>
      <xdr:colOff>171450</xdr:colOff>
      <xdr:row>46</xdr:row>
      <xdr:rowOff>171450</xdr:rowOff>
    </xdr:from>
    <xdr:ext cx="2533650" cy="2533650"/>
    <xdr:pic>
      <xdr:nvPicPr>
        <xdr:cNvPr id="1636360317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40.38"/>
    <col customWidth="1" min="3" max="3" width="7.25"/>
    <col customWidth="1" min="4" max="4" width="9.25"/>
    <col customWidth="1" min="5" max="9" width="4.75"/>
  </cols>
  <sheetData>
    <row r="1">
      <c r="A1" s="1"/>
      <c r="B1" s="2" t="s">
        <v>0</v>
      </c>
      <c r="C1" s="3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</row>
    <row r="2">
      <c r="A2" s="5">
        <v>1.0</v>
      </c>
      <c r="B2" s="6" t="s">
        <v>9</v>
      </c>
      <c r="C2" s="7">
        <v>167.0</v>
      </c>
      <c r="D2" s="8" t="s">
        <v>10</v>
      </c>
      <c r="E2" s="9">
        <v>22.0</v>
      </c>
      <c r="F2" s="9">
        <v>14.0</v>
      </c>
      <c r="G2" s="9">
        <v>0.0</v>
      </c>
      <c r="H2" s="9">
        <v>0.0</v>
      </c>
      <c r="I2" s="9">
        <v>1.0</v>
      </c>
    </row>
    <row r="3">
      <c r="A3" s="5">
        <v>2.0</v>
      </c>
      <c r="B3" s="6" t="s">
        <v>11</v>
      </c>
      <c r="C3" s="7">
        <v>163.0</v>
      </c>
      <c r="D3" s="8" t="s">
        <v>10</v>
      </c>
      <c r="E3" s="9">
        <v>22.0</v>
      </c>
      <c r="F3" s="9">
        <v>11.0</v>
      </c>
      <c r="G3" s="9">
        <v>2.0</v>
      </c>
      <c r="H3" s="9">
        <v>1.0</v>
      </c>
      <c r="I3" s="9">
        <v>1.0</v>
      </c>
    </row>
    <row r="4">
      <c r="A4" s="5">
        <v>3.0</v>
      </c>
      <c r="B4" s="6" t="s">
        <v>12</v>
      </c>
      <c r="C4" s="7">
        <v>162.0</v>
      </c>
      <c r="D4" s="8" t="s">
        <v>10</v>
      </c>
      <c r="E4" s="9">
        <v>21.0</v>
      </c>
      <c r="F4" s="9">
        <v>11.0</v>
      </c>
      <c r="G4" s="9">
        <v>4.0</v>
      </c>
      <c r="H4" s="9">
        <v>0.0</v>
      </c>
      <c r="I4" s="9">
        <v>1.0</v>
      </c>
    </row>
    <row r="5">
      <c r="A5" s="5">
        <v>4.0</v>
      </c>
      <c r="B5" s="6" t="s">
        <v>13</v>
      </c>
      <c r="C5" s="7">
        <v>160.0</v>
      </c>
      <c r="D5" s="8" t="s">
        <v>10</v>
      </c>
      <c r="E5" s="9">
        <v>21.0</v>
      </c>
      <c r="F5" s="9">
        <v>11.0</v>
      </c>
      <c r="G5" s="9">
        <v>2.0</v>
      </c>
      <c r="H5" s="9">
        <v>2.0</v>
      </c>
      <c r="I5" s="9">
        <v>1.0</v>
      </c>
    </row>
    <row r="6">
      <c r="A6" s="5">
        <v>5.0</v>
      </c>
      <c r="B6" s="6" t="s">
        <v>14</v>
      </c>
      <c r="C6" s="7">
        <v>157.0</v>
      </c>
      <c r="D6" s="8" t="s">
        <v>10</v>
      </c>
      <c r="E6" s="9">
        <v>18.0</v>
      </c>
      <c r="F6" s="9">
        <v>14.0</v>
      </c>
      <c r="G6" s="9">
        <v>3.0</v>
      </c>
      <c r="H6" s="9">
        <v>0.0</v>
      </c>
      <c r="I6" s="9">
        <v>2.0</v>
      </c>
    </row>
    <row r="7">
      <c r="A7" s="5">
        <v>6.0</v>
      </c>
      <c r="B7" s="6" t="s">
        <v>15</v>
      </c>
      <c r="C7" s="7">
        <v>157.0</v>
      </c>
      <c r="D7" s="8" t="s">
        <v>10</v>
      </c>
      <c r="E7" s="9">
        <v>16.0</v>
      </c>
      <c r="F7" s="9">
        <v>17.0</v>
      </c>
      <c r="G7" s="9">
        <v>2.0</v>
      </c>
      <c r="H7" s="9">
        <v>1.0</v>
      </c>
      <c r="I7" s="9">
        <v>1.0</v>
      </c>
    </row>
    <row r="8">
      <c r="A8" s="5">
        <v>7.0</v>
      </c>
      <c r="B8" s="6" t="s">
        <v>16</v>
      </c>
      <c r="C8" s="7">
        <v>153.0</v>
      </c>
      <c r="D8" s="8" t="s">
        <v>10</v>
      </c>
      <c r="E8" s="9">
        <v>14.0</v>
      </c>
      <c r="F8" s="9">
        <v>18.0</v>
      </c>
      <c r="G8" s="9">
        <v>3.0</v>
      </c>
      <c r="H8" s="9">
        <v>0.0</v>
      </c>
      <c r="I8" s="9">
        <v>2.0</v>
      </c>
    </row>
    <row r="9">
      <c r="A9" s="5">
        <v>8.0</v>
      </c>
      <c r="B9" s="6" t="s">
        <v>17</v>
      </c>
      <c r="C9" s="7">
        <v>152.0</v>
      </c>
      <c r="D9" s="8" t="s">
        <v>10</v>
      </c>
      <c r="E9" s="9">
        <v>12.0</v>
      </c>
      <c r="F9" s="9">
        <v>19.0</v>
      </c>
      <c r="G9" s="9">
        <v>5.0</v>
      </c>
      <c r="H9" s="9">
        <v>0.0</v>
      </c>
      <c r="I9" s="9">
        <v>1.0</v>
      </c>
    </row>
    <row r="10">
      <c r="A10" s="5">
        <v>9.0</v>
      </c>
      <c r="B10" s="6" t="s">
        <v>18</v>
      </c>
      <c r="C10" s="7">
        <v>149.0</v>
      </c>
      <c r="D10" s="8" t="s">
        <v>10</v>
      </c>
      <c r="E10" s="9">
        <v>11.0</v>
      </c>
      <c r="F10" s="9">
        <v>18.0</v>
      </c>
      <c r="G10" s="9">
        <v>7.0</v>
      </c>
      <c r="H10" s="9">
        <v>0.0</v>
      </c>
      <c r="I10" s="9">
        <v>1.0</v>
      </c>
    </row>
    <row r="11">
      <c r="A11" s="5">
        <v>10.0</v>
      </c>
      <c r="B11" s="6" t="s">
        <v>19</v>
      </c>
      <c r="C11" s="7">
        <v>149.0</v>
      </c>
      <c r="D11" s="8" t="s">
        <v>10</v>
      </c>
      <c r="E11" s="9">
        <v>9.0</v>
      </c>
      <c r="F11" s="9">
        <v>22.0</v>
      </c>
      <c r="G11" s="9">
        <v>5.0</v>
      </c>
      <c r="H11" s="9">
        <v>0.0</v>
      </c>
      <c r="I11" s="9">
        <v>1.0</v>
      </c>
    </row>
    <row r="12">
      <c r="A12" s="5">
        <v>11.0</v>
      </c>
      <c r="B12" s="6" t="s">
        <v>20</v>
      </c>
      <c r="C12" s="7">
        <v>147.0</v>
      </c>
      <c r="D12" s="8" t="s">
        <v>10</v>
      </c>
      <c r="E12" s="9">
        <v>10.0</v>
      </c>
      <c r="F12" s="9">
        <v>18.0</v>
      </c>
      <c r="G12" s="9">
        <v>8.0</v>
      </c>
      <c r="H12" s="9">
        <v>0.0</v>
      </c>
      <c r="I12" s="9">
        <v>1.0</v>
      </c>
    </row>
    <row r="13">
      <c r="A13" s="5">
        <v>12.0</v>
      </c>
      <c r="B13" s="6" t="s">
        <v>21</v>
      </c>
      <c r="C13" s="7">
        <v>146.0</v>
      </c>
      <c r="D13" s="8" t="s">
        <v>10</v>
      </c>
      <c r="E13" s="9">
        <v>10.0</v>
      </c>
      <c r="F13" s="9">
        <v>17.0</v>
      </c>
      <c r="G13" s="9">
        <v>9.0</v>
      </c>
      <c r="H13" s="9">
        <v>0.0</v>
      </c>
      <c r="I13" s="9">
        <v>1.0</v>
      </c>
    </row>
    <row r="14">
      <c r="A14" s="5">
        <v>13.0</v>
      </c>
      <c r="B14" s="6" t="s">
        <v>22</v>
      </c>
      <c r="C14" s="7">
        <v>145.0</v>
      </c>
      <c r="D14" s="8" t="s">
        <v>10</v>
      </c>
      <c r="E14" s="9">
        <v>6.0</v>
      </c>
      <c r="F14" s="9">
        <v>24.0</v>
      </c>
      <c r="G14" s="9">
        <v>6.0</v>
      </c>
      <c r="H14" s="9">
        <v>0.0</v>
      </c>
      <c r="I14" s="9">
        <v>1.0</v>
      </c>
    </row>
    <row r="15">
      <c r="A15" s="5">
        <v>14.0</v>
      </c>
      <c r="B15" s="6" t="s">
        <v>23</v>
      </c>
      <c r="C15" s="7">
        <v>143.0</v>
      </c>
      <c r="D15" s="8" t="s">
        <v>10</v>
      </c>
      <c r="E15" s="9">
        <v>10.0</v>
      </c>
      <c r="F15" s="9">
        <v>16.0</v>
      </c>
      <c r="G15" s="9">
        <v>8.0</v>
      </c>
      <c r="H15" s="9">
        <v>2.0</v>
      </c>
      <c r="I15" s="9">
        <v>1.0</v>
      </c>
    </row>
    <row r="16">
      <c r="A16" s="5">
        <v>15.0</v>
      </c>
      <c r="B16" s="6" t="s">
        <v>24</v>
      </c>
      <c r="C16" s="7">
        <v>142.0</v>
      </c>
      <c r="D16" s="8" t="s">
        <v>10</v>
      </c>
      <c r="E16" s="9">
        <v>7.0</v>
      </c>
      <c r="F16" s="9">
        <v>19.0</v>
      </c>
      <c r="G16" s="9">
        <v>10.0</v>
      </c>
      <c r="H16" s="9">
        <v>0.0</v>
      </c>
      <c r="I16" s="9">
        <v>1.0</v>
      </c>
    </row>
    <row r="17">
      <c r="A17" s="5">
        <v>16.0</v>
      </c>
      <c r="B17" s="6" t="s">
        <v>25</v>
      </c>
      <c r="C17" s="7">
        <v>141.0</v>
      </c>
      <c r="D17" s="8" t="s">
        <v>10</v>
      </c>
      <c r="E17" s="9">
        <v>8.0</v>
      </c>
      <c r="F17" s="9">
        <v>18.0</v>
      </c>
      <c r="G17" s="9">
        <v>9.0</v>
      </c>
      <c r="H17" s="9">
        <v>0.0</v>
      </c>
      <c r="I17" s="9">
        <v>2.0</v>
      </c>
    </row>
    <row r="18">
      <c r="A18" s="5">
        <v>17.0</v>
      </c>
      <c r="B18" s="6" t="s">
        <v>26</v>
      </c>
      <c r="C18" s="7">
        <v>140.0</v>
      </c>
      <c r="D18" s="8" t="s">
        <v>10</v>
      </c>
      <c r="E18" s="9">
        <v>9.0</v>
      </c>
      <c r="F18" s="9">
        <v>18.0</v>
      </c>
      <c r="G18" s="9">
        <v>6.0</v>
      </c>
      <c r="H18" s="9">
        <v>1.0</v>
      </c>
      <c r="I18" s="9">
        <v>3.0</v>
      </c>
    </row>
    <row r="19">
      <c r="A19" s="5">
        <v>18.0</v>
      </c>
      <c r="B19" s="6" t="s">
        <v>27</v>
      </c>
      <c r="C19" s="7">
        <v>139.0</v>
      </c>
      <c r="D19" s="8" t="s">
        <v>10</v>
      </c>
      <c r="E19" s="9">
        <v>7.0</v>
      </c>
      <c r="F19" s="9">
        <v>17.0</v>
      </c>
      <c r="G19" s="9">
        <v>11.0</v>
      </c>
      <c r="H19" s="9">
        <v>1.0</v>
      </c>
      <c r="I19" s="9">
        <v>1.0</v>
      </c>
    </row>
    <row r="20">
      <c r="A20" s="5">
        <v>19.0</v>
      </c>
      <c r="B20" s="6" t="s">
        <v>28</v>
      </c>
      <c r="C20" s="7">
        <v>138.0</v>
      </c>
      <c r="D20" s="8" t="s">
        <v>10</v>
      </c>
      <c r="E20" s="9">
        <v>6.0</v>
      </c>
      <c r="F20" s="9">
        <v>19.0</v>
      </c>
      <c r="G20" s="9">
        <v>10.0</v>
      </c>
      <c r="H20" s="9">
        <v>0.0</v>
      </c>
      <c r="I20" s="9">
        <v>2.0</v>
      </c>
    </row>
    <row r="21">
      <c r="A21" s="5">
        <v>20.0</v>
      </c>
      <c r="B21" s="6" t="s">
        <v>29</v>
      </c>
      <c r="C21" s="7">
        <v>136.0</v>
      </c>
      <c r="D21" s="8" t="s">
        <v>10</v>
      </c>
      <c r="E21" s="9">
        <v>7.0</v>
      </c>
      <c r="F21" s="9">
        <v>15.0</v>
      </c>
      <c r="G21" s="9">
        <v>12.0</v>
      </c>
      <c r="H21" s="9">
        <v>2.0</v>
      </c>
      <c r="I21" s="9">
        <v>1.0</v>
      </c>
    </row>
    <row r="22">
      <c r="A22" s="5">
        <v>21.0</v>
      </c>
      <c r="B22" s="6" t="s">
        <v>30</v>
      </c>
      <c r="C22" s="7">
        <v>136.0</v>
      </c>
      <c r="D22" s="8" t="s">
        <v>10</v>
      </c>
      <c r="E22" s="9">
        <v>5.0</v>
      </c>
      <c r="F22" s="9">
        <v>20.0</v>
      </c>
      <c r="G22" s="9">
        <v>9.0</v>
      </c>
      <c r="H22" s="9">
        <v>1.0</v>
      </c>
      <c r="I22" s="9">
        <v>2.0</v>
      </c>
    </row>
    <row r="23">
      <c r="A23" s="5">
        <v>22.0</v>
      </c>
      <c r="B23" s="6" t="s">
        <v>31</v>
      </c>
      <c r="C23" s="7">
        <v>135.0</v>
      </c>
      <c r="D23" s="8" t="s">
        <v>10</v>
      </c>
      <c r="E23" s="9">
        <v>5.0</v>
      </c>
      <c r="F23" s="9">
        <v>17.0</v>
      </c>
      <c r="G23" s="9">
        <v>13.0</v>
      </c>
      <c r="H23" s="9">
        <v>1.0</v>
      </c>
      <c r="I23" s="9">
        <v>1.0</v>
      </c>
    </row>
    <row r="24">
      <c r="A24" s="5">
        <v>23.0</v>
      </c>
      <c r="B24" s="6" t="s">
        <v>32</v>
      </c>
      <c r="C24" s="7">
        <v>135.0</v>
      </c>
      <c r="D24" s="8" t="s">
        <v>10</v>
      </c>
      <c r="E24" s="9">
        <v>4.0</v>
      </c>
      <c r="F24" s="9">
        <v>18.0</v>
      </c>
      <c r="G24" s="9">
        <v>14.0</v>
      </c>
      <c r="H24" s="9">
        <v>0.0</v>
      </c>
      <c r="I24" s="9">
        <v>1.0</v>
      </c>
    </row>
    <row r="25">
      <c r="A25" s="5" t="s">
        <v>33</v>
      </c>
      <c r="B25" s="6" t="s">
        <v>34</v>
      </c>
      <c r="C25" s="7">
        <v>135.0</v>
      </c>
      <c r="D25" s="8" t="s">
        <v>10</v>
      </c>
      <c r="E25" s="9">
        <v>4.0</v>
      </c>
      <c r="F25" s="9">
        <v>16.0</v>
      </c>
      <c r="G25" s="9">
        <v>17.0</v>
      </c>
      <c r="H25" s="9">
        <v>0.0</v>
      </c>
      <c r="I25" s="9">
        <v>0.0</v>
      </c>
    </row>
    <row r="26">
      <c r="A26" s="5">
        <v>24.0</v>
      </c>
      <c r="B26" s="6" t="s">
        <v>35</v>
      </c>
      <c r="C26" s="7">
        <v>133.0</v>
      </c>
      <c r="D26" s="8" t="s">
        <v>10</v>
      </c>
      <c r="E26" s="9">
        <v>5.0</v>
      </c>
      <c r="F26" s="9">
        <v>17.0</v>
      </c>
      <c r="G26" s="9">
        <v>11.0</v>
      </c>
      <c r="H26" s="9">
        <v>3.0</v>
      </c>
      <c r="I26" s="9">
        <v>1.0</v>
      </c>
    </row>
    <row r="27">
      <c r="A27" s="5">
        <v>25.0</v>
      </c>
      <c r="B27" s="6" t="s">
        <v>36</v>
      </c>
      <c r="C27" s="7">
        <v>132.0</v>
      </c>
      <c r="D27" s="8" t="s">
        <v>10</v>
      </c>
      <c r="E27" s="9">
        <v>3.0</v>
      </c>
      <c r="F27" s="9">
        <v>18.0</v>
      </c>
      <c r="G27" s="9">
        <v>14.0</v>
      </c>
      <c r="H27" s="9">
        <v>1.0</v>
      </c>
      <c r="I27" s="9">
        <v>1.0</v>
      </c>
    </row>
    <row r="28">
      <c r="A28" s="5">
        <v>26.0</v>
      </c>
      <c r="B28" s="6" t="s">
        <v>37</v>
      </c>
      <c r="C28" s="7">
        <v>131.0</v>
      </c>
      <c r="D28" s="8" t="s">
        <v>10</v>
      </c>
      <c r="E28" s="9">
        <v>5.0</v>
      </c>
      <c r="F28" s="9">
        <v>14.0</v>
      </c>
      <c r="G28" s="9">
        <v>16.0</v>
      </c>
      <c r="H28" s="9">
        <v>0.0</v>
      </c>
      <c r="I28" s="9">
        <v>2.0</v>
      </c>
      <c r="J28" s="6" t="s">
        <v>38</v>
      </c>
    </row>
    <row r="29">
      <c r="A29" s="10" t="s">
        <v>33</v>
      </c>
      <c r="B29" s="6" t="s">
        <v>39</v>
      </c>
      <c r="C29" s="7">
        <v>128.0</v>
      </c>
      <c r="D29" s="8" t="s">
        <v>10</v>
      </c>
      <c r="E29" s="9">
        <v>2.0</v>
      </c>
      <c r="F29" s="9">
        <v>14.0</v>
      </c>
      <c r="G29" s="9">
        <v>20.0</v>
      </c>
      <c r="H29" s="9">
        <v>1.0</v>
      </c>
      <c r="I29" s="9">
        <v>0.0</v>
      </c>
    </row>
    <row r="30">
      <c r="A30" s="5">
        <v>27.0</v>
      </c>
      <c r="B30" s="6" t="s">
        <v>40</v>
      </c>
      <c r="C30" s="7">
        <v>127.0</v>
      </c>
      <c r="D30" s="8" t="s">
        <v>10</v>
      </c>
      <c r="E30" s="9">
        <v>5.0</v>
      </c>
      <c r="F30" s="9">
        <v>10.0</v>
      </c>
      <c r="G30" s="9">
        <v>19.0</v>
      </c>
      <c r="H30" s="9">
        <v>2.0</v>
      </c>
      <c r="I30" s="9">
        <v>1.0</v>
      </c>
    </row>
    <row r="31">
      <c r="A31" s="5">
        <v>28.0</v>
      </c>
      <c r="B31" s="6" t="s">
        <v>41</v>
      </c>
      <c r="C31" s="7">
        <v>126.0</v>
      </c>
      <c r="D31" s="8" t="s">
        <v>10</v>
      </c>
      <c r="E31" s="9">
        <v>2.0</v>
      </c>
      <c r="F31" s="9">
        <v>15.0</v>
      </c>
      <c r="G31" s="9">
        <v>18.0</v>
      </c>
      <c r="H31" s="9">
        <v>0.0</v>
      </c>
      <c r="I31" s="9">
        <v>2.0</v>
      </c>
    </row>
    <row r="32">
      <c r="A32" s="5">
        <v>29.0</v>
      </c>
      <c r="B32" s="6" t="s">
        <v>42</v>
      </c>
      <c r="C32" s="7">
        <v>121.0</v>
      </c>
      <c r="D32" s="8" t="s">
        <v>10</v>
      </c>
      <c r="E32" s="9">
        <v>0.0</v>
      </c>
      <c r="F32" s="9">
        <v>15.0</v>
      </c>
      <c r="G32" s="9">
        <v>18.0</v>
      </c>
      <c r="H32" s="9">
        <v>3.0</v>
      </c>
      <c r="I32" s="9">
        <v>1.0</v>
      </c>
    </row>
    <row r="33">
      <c r="A33" s="5">
        <v>30.0</v>
      </c>
      <c r="B33" s="6" t="s">
        <v>43</v>
      </c>
      <c r="C33" s="7">
        <v>119.0</v>
      </c>
      <c r="D33" s="8" t="s">
        <v>10</v>
      </c>
      <c r="E33" s="9">
        <v>4.0</v>
      </c>
      <c r="F33" s="9">
        <v>9.0</v>
      </c>
      <c r="G33" s="9">
        <v>16.0</v>
      </c>
      <c r="H33" s="9">
        <v>7.0</v>
      </c>
      <c r="I33" s="9">
        <v>1.0</v>
      </c>
    </row>
    <row r="34">
      <c r="A34" s="5" t="s">
        <v>33</v>
      </c>
      <c r="B34" s="6" t="s">
        <v>44</v>
      </c>
      <c r="C34" s="7">
        <v>115.0</v>
      </c>
      <c r="D34" s="8" t="s">
        <v>10</v>
      </c>
      <c r="E34" s="9">
        <v>0.0</v>
      </c>
      <c r="F34" s="9">
        <v>8.0</v>
      </c>
      <c r="G34" s="9">
        <v>25.0</v>
      </c>
      <c r="H34" s="9">
        <v>4.0</v>
      </c>
      <c r="I34" s="9">
        <v>0.0</v>
      </c>
    </row>
    <row r="35">
      <c r="A35" s="5">
        <v>31.0</v>
      </c>
      <c r="B35" s="6" t="s">
        <v>45</v>
      </c>
      <c r="C35" s="7">
        <v>113.0</v>
      </c>
      <c r="D35" s="8" t="s">
        <v>10</v>
      </c>
      <c r="E35" s="9">
        <v>0.0</v>
      </c>
      <c r="F35" s="9">
        <v>12.0</v>
      </c>
      <c r="G35" s="9">
        <v>18.0</v>
      </c>
      <c r="H35" s="9">
        <v>4.0</v>
      </c>
      <c r="I35" s="9">
        <v>3.0</v>
      </c>
    </row>
    <row r="36">
      <c r="A36" s="5">
        <v>32.0</v>
      </c>
      <c r="B36" s="6" t="s">
        <v>46</v>
      </c>
      <c r="C36" s="7">
        <v>113.0</v>
      </c>
      <c r="D36" s="8" t="s">
        <v>10</v>
      </c>
      <c r="E36" s="9">
        <v>0.0</v>
      </c>
      <c r="F36" s="9">
        <v>10.0</v>
      </c>
      <c r="G36" s="9">
        <v>20.0</v>
      </c>
      <c r="H36" s="9">
        <v>6.0</v>
      </c>
      <c r="I36" s="9">
        <v>1.0</v>
      </c>
    </row>
    <row r="37">
      <c r="A37" s="10">
        <v>33.0</v>
      </c>
      <c r="B37" s="6" t="s">
        <v>47</v>
      </c>
      <c r="C37" s="7">
        <v>113.0</v>
      </c>
      <c r="D37" s="8" t="s">
        <v>10</v>
      </c>
      <c r="E37" s="9">
        <v>0.0</v>
      </c>
      <c r="F37" s="9">
        <v>8.0</v>
      </c>
      <c r="G37" s="9">
        <v>24.0</v>
      </c>
      <c r="H37" s="9">
        <v>4.0</v>
      </c>
      <c r="I37" s="9">
        <v>1.0</v>
      </c>
    </row>
    <row r="38">
      <c r="A38" s="5">
        <v>34.0</v>
      </c>
      <c r="B38" s="6" t="s">
        <v>48</v>
      </c>
      <c r="C38" s="7">
        <v>112.0</v>
      </c>
      <c r="D38" s="8" t="s">
        <v>10</v>
      </c>
      <c r="E38" s="9">
        <v>0.0</v>
      </c>
      <c r="F38" s="9">
        <v>7.0</v>
      </c>
      <c r="G38" s="9">
        <v>25.0</v>
      </c>
      <c r="H38" s="9">
        <v>4.0</v>
      </c>
      <c r="I38" s="9">
        <v>1.0</v>
      </c>
    </row>
    <row r="39">
      <c r="A39" s="10">
        <v>35.0</v>
      </c>
      <c r="B39" s="6" t="s">
        <v>49</v>
      </c>
      <c r="C39" s="7">
        <v>110.0</v>
      </c>
      <c r="D39" s="8" t="s">
        <v>10</v>
      </c>
      <c r="E39" s="9">
        <v>1.0</v>
      </c>
      <c r="F39" s="9">
        <v>6.0</v>
      </c>
      <c r="G39" s="9">
        <v>23.0</v>
      </c>
      <c r="H39" s="9">
        <v>5.0</v>
      </c>
      <c r="I39" s="9">
        <v>2.0</v>
      </c>
    </row>
    <row r="40">
      <c r="A40" s="5">
        <v>36.0</v>
      </c>
      <c r="B40" s="6" t="s">
        <v>50</v>
      </c>
      <c r="C40" s="7">
        <v>108.0</v>
      </c>
      <c r="D40" s="8" t="s">
        <v>10</v>
      </c>
      <c r="E40" s="9">
        <v>0.0</v>
      </c>
      <c r="F40" s="9">
        <v>7.0</v>
      </c>
      <c r="G40" s="9">
        <v>22.0</v>
      </c>
      <c r="H40" s="9">
        <v>6.0</v>
      </c>
      <c r="I40" s="9">
        <v>2.0</v>
      </c>
    </row>
    <row r="41">
      <c r="A41" s="5">
        <v>37.0</v>
      </c>
      <c r="B41" s="6" t="s">
        <v>51</v>
      </c>
      <c r="C41" s="7">
        <v>105.0</v>
      </c>
      <c r="D41" s="8" t="s">
        <v>10</v>
      </c>
      <c r="E41" s="9">
        <v>0.0</v>
      </c>
      <c r="F41" s="9">
        <v>1.0</v>
      </c>
      <c r="G41" s="9">
        <v>30.0</v>
      </c>
      <c r="H41" s="9">
        <v>5.0</v>
      </c>
      <c r="I41" s="9">
        <v>1.0</v>
      </c>
    </row>
    <row r="42">
      <c r="A42" s="5" t="s">
        <v>33</v>
      </c>
      <c r="B42" s="6" t="s">
        <v>52</v>
      </c>
      <c r="C42" s="7">
        <v>42.0</v>
      </c>
      <c r="D42" s="8" t="s">
        <v>10</v>
      </c>
      <c r="E42" s="9">
        <v>0.0</v>
      </c>
      <c r="F42" s="9">
        <v>0.0</v>
      </c>
      <c r="G42" s="9">
        <v>2.0</v>
      </c>
      <c r="H42" s="9">
        <v>1.0</v>
      </c>
      <c r="I42" s="9">
        <v>34.0</v>
      </c>
    </row>
    <row r="43">
      <c r="A43" s="11"/>
    </row>
    <row r="44">
      <c r="A44" s="11"/>
    </row>
    <row r="45">
      <c r="A45" s="11"/>
    </row>
    <row r="46">
      <c r="A46" s="11"/>
    </row>
    <row r="47">
      <c r="A47" s="11"/>
    </row>
    <row r="48">
      <c r="A48" s="11"/>
    </row>
    <row r="49">
      <c r="A49" s="11"/>
    </row>
    <row r="50">
      <c r="A50" s="11"/>
    </row>
    <row r="51">
      <c r="A51" s="11"/>
    </row>
    <row r="52">
      <c r="A52" s="11"/>
    </row>
    <row r="53">
      <c r="A53" s="11"/>
    </row>
    <row r="54">
      <c r="A54" s="11"/>
    </row>
    <row r="55">
      <c r="A55" s="11"/>
    </row>
    <row r="56">
      <c r="A56" s="11"/>
    </row>
    <row r="57">
      <c r="A57" s="11"/>
    </row>
    <row r="58">
      <c r="A58" s="11"/>
    </row>
    <row r="59">
      <c r="A59" s="11"/>
    </row>
    <row r="60">
      <c r="A60" s="11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  <c r="F80" s="8"/>
    </row>
    <row r="81">
      <c r="A81" s="11"/>
      <c r="F81" s="8"/>
    </row>
    <row r="82">
      <c r="A82" s="11"/>
      <c r="F82" s="8"/>
    </row>
    <row r="83">
      <c r="A83" s="11"/>
      <c r="F83" s="8"/>
    </row>
    <row r="84">
      <c r="A84" s="11"/>
      <c r="F84" s="8"/>
    </row>
    <row r="85">
      <c r="A85" s="11"/>
      <c r="F85" s="8"/>
    </row>
    <row r="86">
      <c r="A86" s="11"/>
      <c r="F86" s="8"/>
    </row>
    <row r="87">
      <c r="A87" s="11"/>
      <c r="F87" s="8"/>
    </row>
    <row r="88">
      <c r="A88" s="11"/>
      <c r="F88" s="12"/>
    </row>
    <row r="89">
      <c r="A89" s="11"/>
      <c r="F89" s="12"/>
    </row>
    <row r="90">
      <c r="A90" s="13"/>
      <c r="B90" s="7"/>
      <c r="C90" s="7"/>
      <c r="D90" s="7"/>
      <c r="E90" s="7"/>
      <c r="F90" s="14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</row>
    <row r="91">
      <c r="A91" s="11"/>
      <c r="F91" s="12"/>
    </row>
    <row r="92">
      <c r="A92" s="11"/>
      <c r="F92" s="12"/>
    </row>
    <row r="93">
      <c r="A93" s="11"/>
      <c r="F93" s="12"/>
    </row>
    <row r="94">
      <c r="A94" s="11"/>
      <c r="F94" s="12"/>
    </row>
    <row r="95">
      <c r="A95" s="11"/>
      <c r="F95" s="12"/>
    </row>
    <row r="96">
      <c r="A96" s="11"/>
      <c r="F96" s="12"/>
    </row>
    <row r="97">
      <c r="A97" s="11"/>
      <c r="F97" s="12"/>
    </row>
    <row r="98">
      <c r="A98" s="11"/>
      <c r="F98" s="12"/>
    </row>
    <row r="99">
      <c r="A99" s="11"/>
      <c r="F99" s="12"/>
    </row>
    <row r="100">
      <c r="A100" s="11"/>
      <c r="F100" s="12"/>
    </row>
    <row r="101">
      <c r="A101" s="11"/>
      <c r="F101" s="12"/>
    </row>
    <row r="102">
      <c r="A102" s="11"/>
      <c r="F102" s="12"/>
    </row>
    <row r="103">
      <c r="A103" s="11"/>
      <c r="F103" s="12"/>
    </row>
    <row r="104">
      <c r="A104" s="11"/>
      <c r="F104" s="12"/>
    </row>
    <row r="105">
      <c r="A105" s="11"/>
      <c r="F105" s="12"/>
    </row>
    <row r="106">
      <c r="A106" s="11"/>
      <c r="F106" s="12"/>
    </row>
    <row r="107">
      <c r="A107" s="11"/>
      <c r="F107" s="12"/>
    </row>
    <row r="108">
      <c r="A108" s="11"/>
      <c r="F108" s="12"/>
    </row>
    <row r="109">
      <c r="A109" s="11"/>
      <c r="F109" s="12"/>
    </row>
    <row r="110">
      <c r="A110" s="11"/>
      <c r="F110" s="12"/>
    </row>
    <row r="111">
      <c r="A111" s="11"/>
      <c r="F111" s="12"/>
    </row>
    <row r="112">
      <c r="A112" s="11"/>
      <c r="F112" s="12"/>
    </row>
    <row r="113">
      <c r="A113" s="11"/>
      <c r="F113" s="12"/>
    </row>
    <row r="114">
      <c r="A114" s="11"/>
      <c r="F114" s="12"/>
    </row>
    <row r="115">
      <c r="A115" s="11"/>
      <c r="F115" s="12"/>
    </row>
    <row r="116">
      <c r="A116" s="11"/>
      <c r="F116" s="12"/>
    </row>
    <row r="117">
      <c r="A117" s="11"/>
      <c r="F117" s="12"/>
    </row>
    <row r="118">
      <c r="A118" s="11"/>
      <c r="F118" s="12"/>
    </row>
    <row r="119">
      <c r="A119" s="11"/>
      <c r="F119" s="12"/>
    </row>
    <row r="120">
      <c r="A120" s="11"/>
      <c r="F120" s="12"/>
    </row>
    <row r="121">
      <c r="A121" s="11"/>
      <c r="F121" s="12"/>
    </row>
    <row r="122">
      <c r="A122" s="11"/>
      <c r="F122" s="12"/>
    </row>
    <row r="123">
      <c r="A123" s="11"/>
      <c r="F123" s="12"/>
    </row>
    <row r="124">
      <c r="A124" s="11"/>
      <c r="F124" s="8"/>
    </row>
    <row r="125">
      <c r="A125" s="11"/>
      <c r="F125" s="8"/>
    </row>
    <row r="126">
      <c r="A126" s="11"/>
      <c r="F126" s="8"/>
    </row>
    <row r="127">
      <c r="A127" s="11"/>
      <c r="F127" s="8"/>
    </row>
    <row r="128">
      <c r="A128" s="11"/>
      <c r="F128" s="8"/>
    </row>
    <row r="129">
      <c r="A129" s="11"/>
      <c r="F129" s="8"/>
    </row>
    <row r="130">
      <c r="A130" s="11"/>
      <c r="F130" s="15"/>
    </row>
    <row r="131">
      <c r="A131" s="11"/>
      <c r="F131" s="16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</sheetData>
  <autoFilter ref="$A$1:$K$46">
    <sortState ref="A1:K46">
      <sortCondition descending="1" ref="C1:C46"/>
      <sortCondition descending="1" ref="E1:E46"/>
      <sortCondition descending="1" ref="F1:F46"/>
      <sortCondition descending="1" ref="G1:G46"/>
      <sortCondition descending="1" ref="H1:H46"/>
      <sortCondition descending="1" ref="I1:I46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6.38"/>
    <col customWidth="1" min="2" max="45" width="4.5"/>
  </cols>
  <sheetData>
    <row r="1">
      <c r="A1" s="17" t="s">
        <v>53</v>
      </c>
      <c r="B1" s="17" t="s">
        <v>47</v>
      </c>
      <c r="C1" s="18" t="s">
        <v>39</v>
      </c>
      <c r="D1" s="17" t="s">
        <v>49</v>
      </c>
      <c r="E1" s="17" t="s">
        <v>18</v>
      </c>
      <c r="F1" s="17" t="s">
        <v>30</v>
      </c>
      <c r="G1" s="17" t="s">
        <v>12</v>
      </c>
      <c r="H1" s="17" t="s">
        <v>42</v>
      </c>
      <c r="I1" s="17" t="s">
        <v>26</v>
      </c>
      <c r="J1" s="17" t="s">
        <v>45</v>
      </c>
      <c r="K1" s="17" t="s">
        <v>40</v>
      </c>
      <c r="L1" s="17" t="s">
        <v>23</v>
      </c>
      <c r="M1" s="17" t="s">
        <v>20</v>
      </c>
      <c r="N1" s="17" t="s">
        <v>15</v>
      </c>
      <c r="O1" s="18" t="s">
        <v>44</v>
      </c>
      <c r="P1" s="17" t="s">
        <v>43</v>
      </c>
      <c r="Q1" s="17" t="s">
        <v>41</v>
      </c>
      <c r="R1" s="17" t="s">
        <v>22</v>
      </c>
      <c r="S1" s="17" t="s">
        <v>28</v>
      </c>
      <c r="T1" s="17" t="s">
        <v>48</v>
      </c>
      <c r="U1" s="17" t="s">
        <v>31</v>
      </c>
      <c r="V1" s="18" t="s">
        <v>52</v>
      </c>
      <c r="W1" s="17" t="s">
        <v>46</v>
      </c>
      <c r="X1" s="18" t="s">
        <v>34</v>
      </c>
      <c r="Y1" s="17" t="s">
        <v>27</v>
      </c>
      <c r="Z1" s="17" t="s">
        <v>37</v>
      </c>
      <c r="AA1" s="17" t="s">
        <v>14</v>
      </c>
      <c r="AB1" s="17" t="s">
        <v>35</v>
      </c>
      <c r="AC1" s="17" t="s">
        <v>24</v>
      </c>
      <c r="AD1" s="17" t="s">
        <v>29</v>
      </c>
      <c r="AE1" s="17" t="s">
        <v>13</v>
      </c>
      <c r="AF1" s="17" t="s">
        <v>51</v>
      </c>
      <c r="AG1" s="17" t="s">
        <v>16</v>
      </c>
      <c r="AH1" s="17" t="s">
        <v>11</v>
      </c>
      <c r="AI1" s="17" t="s">
        <v>25</v>
      </c>
      <c r="AJ1" s="17" t="s">
        <v>36</v>
      </c>
      <c r="AK1" s="17" t="s">
        <v>21</v>
      </c>
      <c r="AL1" s="17" t="s">
        <v>50</v>
      </c>
      <c r="AM1" s="17" t="s">
        <v>19</v>
      </c>
      <c r="AN1" s="17" t="s">
        <v>32</v>
      </c>
      <c r="AO1" s="17" t="s">
        <v>9</v>
      </c>
      <c r="AP1" s="17" t="s">
        <v>17</v>
      </c>
      <c r="AQ1" s="19" t="s">
        <v>54</v>
      </c>
      <c r="AR1" s="20"/>
      <c r="AS1" s="5"/>
    </row>
    <row r="2">
      <c r="A2" s="6" t="s">
        <v>55</v>
      </c>
      <c r="B2" s="21">
        <v>1.0</v>
      </c>
      <c r="C2" s="5">
        <v>3.0</v>
      </c>
      <c r="D2" s="5">
        <v>3.0</v>
      </c>
      <c r="E2" s="5">
        <v>4.0</v>
      </c>
      <c r="F2" s="5">
        <v>2.0</v>
      </c>
      <c r="G2" s="5">
        <v>3.0</v>
      </c>
      <c r="H2" s="5">
        <v>3.0</v>
      </c>
      <c r="I2" s="5">
        <v>4.0</v>
      </c>
      <c r="J2" s="5">
        <v>3.0</v>
      </c>
      <c r="K2" s="5">
        <v>3.0</v>
      </c>
      <c r="L2" s="5">
        <v>3.0</v>
      </c>
      <c r="M2" s="5">
        <v>4.0</v>
      </c>
      <c r="N2" s="5">
        <v>4.0</v>
      </c>
      <c r="O2" s="5">
        <v>4.0</v>
      </c>
      <c r="P2" s="5">
        <v>2.0</v>
      </c>
      <c r="Q2" s="5">
        <v>4.0</v>
      </c>
      <c r="R2" s="5">
        <v>4.0</v>
      </c>
      <c r="S2" s="5">
        <v>3.0</v>
      </c>
      <c r="T2" s="5">
        <v>4.0</v>
      </c>
      <c r="U2" s="5">
        <v>3.0</v>
      </c>
      <c r="V2" s="5">
        <v>1.0</v>
      </c>
      <c r="W2" s="5">
        <v>2.0</v>
      </c>
      <c r="X2" s="5">
        <v>4.0</v>
      </c>
      <c r="Y2" s="5">
        <v>3.0</v>
      </c>
      <c r="Z2" s="5">
        <v>3.0</v>
      </c>
      <c r="AA2" s="5">
        <v>4.0</v>
      </c>
      <c r="AB2" s="5">
        <v>4.0</v>
      </c>
      <c r="AC2" s="5">
        <v>5.0</v>
      </c>
      <c r="AD2" s="5">
        <v>4.0</v>
      </c>
      <c r="AE2" s="5">
        <v>5.0</v>
      </c>
      <c r="AF2" s="5">
        <v>3.0</v>
      </c>
      <c r="AG2" s="5">
        <v>4.0</v>
      </c>
      <c r="AH2" s="5">
        <v>5.0</v>
      </c>
      <c r="AI2" s="5">
        <v>4.0</v>
      </c>
      <c r="AJ2" s="5">
        <v>4.0</v>
      </c>
      <c r="AK2" s="5">
        <v>5.0</v>
      </c>
      <c r="AL2" s="5">
        <v>3.0</v>
      </c>
      <c r="AM2" s="5">
        <v>5.0</v>
      </c>
      <c r="AN2" s="5">
        <v>4.0</v>
      </c>
      <c r="AO2" s="5">
        <v>5.0</v>
      </c>
      <c r="AP2" s="5">
        <v>4.0</v>
      </c>
      <c r="AQ2" s="22">
        <f t="shared" ref="AQ2:AQ38" si="1">SUM(B2:AP2)</f>
        <v>145</v>
      </c>
      <c r="AR2" s="23">
        <f t="shared" ref="AR2:AR38" si="2">(AQ2-$B$51)/$B$51</f>
        <v>-0.0200913242</v>
      </c>
      <c r="AS2" s="5"/>
    </row>
    <row r="3">
      <c r="A3" s="6" t="s">
        <v>56</v>
      </c>
      <c r="B3" s="5">
        <v>4.0</v>
      </c>
      <c r="C3" s="5">
        <v>4.0</v>
      </c>
      <c r="D3" s="21">
        <v>1.0</v>
      </c>
      <c r="E3" s="5">
        <v>5.0</v>
      </c>
      <c r="F3" s="5">
        <v>3.0</v>
      </c>
      <c r="G3" s="5">
        <v>3.0</v>
      </c>
      <c r="H3" s="5">
        <v>4.0</v>
      </c>
      <c r="I3" s="5">
        <v>5.0</v>
      </c>
      <c r="J3" s="5">
        <v>4.0</v>
      </c>
      <c r="K3" s="5">
        <v>4.0</v>
      </c>
      <c r="L3" s="5">
        <v>4.0</v>
      </c>
      <c r="M3" s="5">
        <v>4.0</v>
      </c>
      <c r="N3" s="5">
        <v>4.0</v>
      </c>
      <c r="O3" s="5">
        <v>3.0</v>
      </c>
      <c r="P3" s="5">
        <v>3.0</v>
      </c>
      <c r="Q3" s="5">
        <v>4.0</v>
      </c>
      <c r="R3" s="5">
        <v>4.0</v>
      </c>
      <c r="S3" s="5">
        <v>5.0</v>
      </c>
      <c r="T3" s="5">
        <v>4.0</v>
      </c>
      <c r="U3" s="5">
        <v>4.0</v>
      </c>
      <c r="V3" s="5">
        <v>1.0</v>
      </c>
      <c r="W3" s="5">
        <v>4.0</v>
      </c>
      <c r="X3" s="5">
        <v>5.0</v>
      </c>
      <c r="Y3" s="5">
        <v>5.0</v>
      </c>
      <c r="Z3" s="5">
        <v>3.0</v>
      </c>
      <c r="AA3" s="5">
        <v>5.0</v>
      </c>
      <c r="AB3" s="5">
        <v>4.0</v>
      </c>
      <c r="AC3" s="5">
        <v>4.0</v>
      </c>
      <c r="AD3" s="5">
        <v>4.0</v>
      </c>
      <c r="AE3" s="5">
        <v>4.0</v>
      </c>
      <c r="AF3" s="5">
        <v>4.0</v>
      </c>
      <c r="AG3" s="5">
        <v>4.0</v>
      </c>
      <c r="AH3" s="5">
        <v>4.0</v>
      </c>
      <c r="AI3" s="5">
        <v>4.0</v>
      </c>
      <c r="AJ3" s="5">
        <v>4.0</v>
      </c>
      <c r="AK3" s="5">
        <v>4.0</v>
      </c>
      <c r="AL3" s="5">
        <v>2.0</v>
      </c>
      <c r="AM3" s="5">
        <v>4.0</v>
      </c>
      <c r="AN3" s="5">
        <v>5.0</v>
      </c>
      <c r="AO3" s="5">
        <v>4.0</v>
      </c>
      <c r="AP3" s="5">
        <v>4.0</v>
      </c>
      <c r="AQ3" s="22">
        <f t="shared" si="1"/>
        <v>158</v>
      </c>
      <c r="AR3" s="23">
        <f t="shared" si="2"/>
        <v>0.06776255708</v>
      </c>
      <c r="AS3" s="5"/>
    </row>
    <row r="4">
      <c r="A4" s="6" t="s">
        <v>57</v>
      </c>
      <c r="B4" s="5">
        <v>2.0</v>
      </c>
      <c r="C4" s="5">
        <v>2.0</v>
      </c>
      <c r="D4" s="5">
        <v>2.0</v>
      </c>
      <c r="E4" s="21">
        <v>1.0</v>
      </c>
      <c r="F4" s="5">
        <v>3.0</v>
      </c>
      <c r="G4" s="5">
        <v>5.0</v>
      </c>
      <c r="H4" s="5">
        <v>2.0</v>
      </c>
      <c r="I4" s="5">
        <v>4.0</v>
      </c>
      <c r="J4" s="5">
        <v>2.0</v>
      </c>
      <c r="K4" s="5">
        <v>3.0</v>
      </c>
      <c r="L4" s="5">
        <v>4.0</v>
      </c>
      <c r="M4" s="5">
        <v>3.0</v>
      </c>
      <c r="N4" s="5">
        <v>4.0</v>
      </c>
      <c r="O4" s="5">
        <v>2.0</v>
      </c>
      <c r="P4" s="5">
        <v>3.0</v>
      </c>
      <c r="Q4" s="5">
        <v>3.0</v>
      </c>
      <c r="R4" s="5">
        <v>3.0</v>
      </c>
      <c r="S4" s="5">
        <v>3.0</v>
      </c>
      <c r="T4" s="5">
        <v>2.0</v>
      </c>
      <c r="U4" s="5">
        <v>3.0</v>
      </c>
      <c r="V4" s="5">
        <v>1.0</v>
      </c>
      <c r="W4" s="5">
        <v>2.0</v>
      </c>
      <c r="X4" s="5">
        <v>3.0</v>
      </c>
      <c r="Y4" s="5">
        <v>3.0</v>
      </c>
      <c r="Z4" s="5">
        <v>3.0</v>
      </c>
      <c r="AA4" s="5">
        <v>3.0</v>
      </c>
      <c r="AB4" s="5">
        <v>2.0</v>
      </c>
      <c r="AC4" s="5">
        <v>4.0</v>
      </c>
      <c r="AD4" s="5">
        <v>3.0</v>
      </c>
      <c r="AE4" s="5">
        <v>4.0</v>
      </c>
      <c r="AF4" s="5">
        <v>2.0</v>
      </c>
      <c r="AG4" s="5">
        <v>5.0</v>
      </c>
      <c r="AH4" s="5">
        <v>5.0</v>
      </c>
      <c r="AI4" s="5">
        <v>4.0</v>
      </c>
      <c r="AJ4" s="5">
        <v>3.0</v>
      </c>
      <c r="AK4" s="5">
        <v>3.0</v>
      </c>
      <c r="AL4" s="5">
        <v>2.0</v>
      </c>
      <c r="AM4" s="5">
        <v>4.0</v>
      </c>
      <c r="AN4" s="5">
        <v>3.0</v>
      </c>
      <c r="AO4" s="5">
        <v>5.0</v>
      </c>
      <c r="AP4" s="5">
        <v>3.0</v>
      </c>
      <c r="AQ4" s="22">
        <f t="shared" si="1"/>
        <v>123</v>
      </c>
      <c r="AR4" s="23">
        <f t="shared" si="2"/>
        <v>-0.1687671233</v>
      </c>
      <c r="AS4" s="5"/>
    </row>
    <row r="5">
      <c r="A5" s="6" t="s">
        <v>58</v>
      </c>
      <c r="B5" s="5">
        <v>3.0</v>
      </c>
      <c r="C5" s="5">
        <v>3.0</v>
      </c>
      <c r="D5" s="5">
        <v>4.0</v>
      </c>
      <c r="E5" s="5">
        <v>5.0</v>
      </c>
      <c r="F5" s="21">
        <v>1.0</v>
      </c>
      <c r="G5" s="5">
        <v>4.0</v>
      </c>
      <c r="H5" s="5">
        <v>4.0</v>
      </c>
      <c r="I5" s="5">
        <v>3.0</v>
      </c>
      <c r="J5" s="5">
        <v>3.0</v>
      </c>
      <c r="K5" s="5">
        <v>3.0</v>
      </c>
      <c r="L5" s="5">
        <v>4.0</v>
      </c>
      <c r="M5" s="5">
        <v>3.0</v>
      </c>
      <c r="N5" s="5">
        <v>4.0</v>
      </c>
      <c r="O5" s="5">
        <v>3.0</v>
      </c>
      <c r="P5" s="5">
        <v>3.0</v>
      </c>
      <c r="Q5" s="5">
        <v>3.0</v>
      </c>
      <c r="R5" s="5">
        <v>3.0</v>
      </c>
      <c r="S5" s="5">
        <v>3.0</v>
      </c>
      <c r="T5" s="5">
        <v>3.0</v>
      </c>
      <c r="U5" s="5">
        <v>4.0</v>
      </c>
      <c r="V5" s="5">
        <v>1.0</v>
      </c>
      <c r="W5" s="5">
        <v>3.0</v>
      </c>
      <c r="X5" s="5">
        <v>4.0</v>
      </c>
      <c r="Y5" s="5">
        <v>4.0</v>
      </c>
      <c r="Z5" s="5">
        <v>4.0</v>
      </c>
      <c r="AA5" s="5">
        <v>4.0</v>
      </c>
      <c r="AB5" s="5">
        <v>4.0</v>
      </c>
      <c r="AC5" s="5">
        <v>4.0</v>
      </c>
      <c r="AD5" s="5">
        <v>3.0</v>
      </c>
      <c r="AE5" s="5">
        <v>5.0</v>
      </c>
      <c r="AF5" s="5">
        <v>3.0</v>
      </c>
      <c r="AG5" s="5">
        <v>5.0</v>
      </c>
      <c r="AH5" s="5">
        <v>5.0</v>
      </c>
      <c r="AI5" s="5">
        <v>3.0</v>
      </c>
      <c r="AJ5" s="5">
        <v>3.0</v>
      </c>
      <c r="AK5" s="5">
        <v>3.0</v>
      </c>
      <c r="AL5" s="5">
        <v>3.0</v>
      </c>
      <c r="AM5" s="5">
        <v>3.0</v>
      </c>
      <c r="AN5" s="5">
        <v>4.0</v>
      </c>
      <c r="AO5" s="5">
        <v>5.0</v>
      </c>
      <c r="AP5" s="5">
        <v>5.0</v>
      </c>
      <c r="AQ5" s="22">
        <f t="shared" si="1"/>
        <v>144</v>
      </c>
      <c r="AR5" s="23">
        <f t="shared" si="2"/>
        <v>-0.02684931507</v>
      </c>
      <c r="AS5" s="5"/>
    </row>
    <row r="6">
      <c r="A6" s="6" t="s">
        <v>59</v>
      </c>
      <c r="B6" s="5">
        <v>3.0</v>
      </c>
      <c r="C6" s="5">
        <v>4.0</v>
      </c>
      <c r="D6" s="5">
        <v>4.0</v>
      </c>
      <c r="E6" s="5">
        <v>5.0</v>
      </c>
      <c r="F6" s="5">
        <v>5.0</v>
      </c>
      <c r="G6" s="21">
        <v>1.0</v>
      </c>
      <c r="H6" s="5">
        <v>4.0</v>
      </c>
      <c r="I6" s="5">
        <v>4.0</v>
      </c>
      <c r="J6" s="5">
        <v>3.0</v>
      </c>
      <c r="K6" s="5">
        <v>5.0</v>
      </c>
      <c r="L6" s="5">
        <v>5.0</v>
      </c>
      <c r="M6" s="5">
        <v>4.0</v>
      </c>
      <c r="N6" s="5">
        <v>5.0</v>
      </c>
      <c r="O6" s="5">
        <v>3.0</v>
      </c>
      <c r="P6" s="5">
        <v>5.0</v>
      </c>
      <c r="Q6" s="5">
        <v>4.0</v>
      </c>
      <c r="R6" s="5">
        <v>5.0</v>
      </c>
      <c r="S6" s="5">
        <v>4.0</v>
      </c>
      <c r="T6" s="5">
        <v>3.0</v>
      </c>
      <c r="U6" s="5">
        <v>4.0</v>
      </c>
      <c r="V6" s="5">
        <v>1.0</v>
      </c>
      <c r="W6" s="5">
        <v>3.0</v>
      </c>
      <c r="X6" s="5">
        <v>4.0</v>
      </c>
      <c r="Y6" s="5">
        <v>5.0</v>
      </c>
      <c r="Z6" s="5">
        <v>4.0</v>
      </c>
      <c r="AA6" s="5">
        <v>5.0</v>
      </c>
      <c r="AB6" s="5">
        <v>5.0</v>
      </c>
      <c r="AC6" s="5">
        <v>4.0</v>
      </c>
      <c r="AD6" s="5">
        <v>3.0</v>
      </c>
      <c r="AE6" s="5">
        <v>5.0</v>
      </c>
      <c r="AF6" s="5">
        <v>3.0</v>
      </c>
      <c r="AG6" s="5">
        <v>5.0</v>
      </c>
      <c r="AH6" s="5">
        <v>5.0</v>
      </c>
      <c r="AI6" s="5">
        <v>5.0</v>
      </c>
      <c r="AJ6" s="5">
        <v>5.0</v>
      </c>
      <c r="AK6" s="5">
        <v>4.0</v>
      </c>
      <c r="AL6" s="5">
        <v>4.0</v>
      </c>
      <c r="AM6" s="5">
        <v>4.0</v>
      </c>
      <c r="AN6" s="5">
        <v>3.0</v>
      </c>
      <c r="AO6" s="5">
        <v>5.0</v>
      </c>
      <c r="AP6" s="5">
        <v>5.0</v>
      </c>
      <c r="AQ6" s="22">
        <f t="shared" si="1"/>
        <v>167</v>
      </c>
      <c r="AR6" s="23">
        <f t="shared" si="2"/>
        <v>0.1285844749</v>
      </c>
      <c r="AS6" s="5"/>
    </row>
    <row r="7">
      <c r="A7" s="6" t="s">
        <v>60</v>
      </c>
      <c r="B7" s="5">
        <v>3.0</v>
      </c>
      <c r="C7" s="5">
        <v>3.0</v>
      </c>
      <c r="D7" s="5">
        <v>3.0</v>
      </c>
      <c r="E7" s="5">
        <v>4.0</v>
      </c>
      <c r="F7" s="5">
        <v>5.0</v>
      </c>
      <c r="G7" s="5">
        <v>5.0</v>
      </c>
      <c r="H7" s="21">
        <v>1.0</v>
      </c>
      <c r="I7" s="5">
        <v>4.0</v>
      </c>
      <c r="J7" s="5">
        <v>4.0</v>
      </c>
      <c r="K7" s="5">
        <v>4.0</v>
      </c>
      <c r="L7" s="5">
        <v>4.0</v>
      </c>
      <c r="M7" s="5">
        <v>4.0</v>
      </c>
      <c r="N7" s="5">
        <v>4.0</v>
      </c>
      <c r="O7" s="5">
        <v>3.0</v>
      </c>
      <c r="P7" s="5">
        <v>3.0</v>
      </c>
      <c r="Q7" s="5">
        <v>4.0</v>
      </c>
      <c r="R7" s="5">
        <v>4.0</v>
      </c>
      <c r="S7" s="5">
        <v>5.0</v>
      </c>
      <c r="T7" s="5">
        <v>3.0</v>
      </c>
      <c r="U7" s="5">
        <v>4.0</v>
      </c>
      <c r="V7" s="5">
        <v>1.0</v>
      </c>
      <c r="W7" s="5">
        <v>3.0</v>
      </c>
      <c r="X7" s="5">
        <v>4.0</v>
      </c>
      <c r="Y7" s="5">
        <v>4.0</v>
      </c>
      <c r="Z7" s="5">
        <v>4.0</v>
      </c>
      <c r="AA7" s="5">
        <v>5.0</v>
      </c>
      <c r="AB7" s="5">
        <v>5.0</v>
      </c>
      <c r="AC7" s="5">
        <v>3.0</v>
      </c>
      <c r="AD7" s="5">
        <v>4.0</v>
      </c>
      <c r="AE7" s="5">
        <v>4.0</v>
      </c>
      <c r="AF7" s="5">
        <v>3.0</v>
      </c>
      <c r="AG7" s="5">
        <v>4.0</v>
      </c>
      <c r="AH7" s="5">
        <v>4.0</v>
      </c>
      <c r="AI7" s="5">
        <v>3.0</v>
      </c>
      <c r="AJ7" s="5">
        <v>5.0</v>
      </c>
      <c r="AK7" s="5">
        <v>4.0</v>
      </c>
      <c r="AL7" s="5">
        <v>3.0</v>
      </c>
      <c r="AM7" s="5">
        <v>4.0</v>
      </c>
      <c r="AN7" s="5">
        <v>4.0</v>
      </c>
      <c r="AO7" s="5">
        <v>4.0</v>
      </c>
      <c r="AP7" s="5">
        <v>3.0</v>
      </c>
      <c r="AQ7" s="22">
        <f t="shared" si="1"/>
        <v>152</v>
      </c>
      <c r="AR7" s="23">
        <f t="shared" si="2"/>
        <v>0.02721461187</v>
      </c>
      <c r="AS7" s="5"/>
    </row>
    <row r="8">
      <c r="A8" s="6" t="s">
        <v>61</v>
      </c>
      <c r="B8" s="5">
        <v>3.0</v>
      </c>
      <c r="C8" s="5">
        <v>3.0</v>
      </c>
      <c r="D8" s="5">
        <v>3.0</v>
      </c>
      <c r="E8" s="5">
        <v>4.0</v>
      </c>
      <c r="F8" s="5">
        <v>4.0</v>
      </c>
      <c r="G8" s="5">
        <v>5.0</v>
      </c>
      <c r="H8" s="5">
        <v>3.0</v>
      </c>
      <c r="I8" s="21">
        <v>1.0</v>
      </c>
      <c r="J8" s="5">
        <v>3.0</v>
      </c>
      <c r="K8" s="5">
        <v>4.0</v>
      </c>
      <c r="L8" s="5">
        <v>4.0</v>
      </c>
      <c r="M8" s="5">
        <v>5.0</v>
      </c>
      <c r="N8" s="5">
        <v>5.0</v>
      </c>
      <c r="O8" s="5">
        <v>3.0</v>
      </c>
      <c r="P8" s="5">
        <v>2.0</v>
      </c>
      <c r="Q8" s="5">
        <v>3.0</v>
      </c>
      <c r="R8" s="5">
        <v>4.0</v>
      </c>
      <c r="S8" s="5">
        <v>4.0</v>
      </c>
      <c r="T8" s="5">
        <v>3.0</v>
      </c>
      <c r="U8" s="5">
        <v>3.0</v>
      </c>
      <c r="V8" s="5">
        <v>1.0</v>
      </c>
      <c r="W8" s="5">
        <v>3.0</v>
      </c>
      <c r="X8" s="5">
        <v>3.0</v>
      </c>
      <c r="Y8" s="5">
        <v>3.0</v>
      </c>
      <c r="Z8" s="5">
        <v>3.0</v>
      </c>
      <c r="AA8" s="5">
        <v>5.0</v>
      </c>
      <c r="AB8" s="5">
        <v>3.0</v>
      </c>
      <c r="AC8" s="5">
        <v>4.0</v>
      </c>
      <c r="AD8" s="5">
        <v>4.0</v>
      </c>
      <c r="AE8" s="5">
        <v>5.0</v>
      </c>
      <c r="AF8" s="5">
        <v>2.0</v>
      </c>
      <c r="AG8" s="5">
        <v>4.0</v>
      </c>
      <c r="AH8" s="5">
        <v>5.0</v>
      </c>
      <c r="AI8" s="5">
        <v>4.0</v>
      </c>
      <c r="AJ8" s="5">
        <v>4.0</v>
      </c>
      <c r="AK8" s="5">
        <v>4.0</v>
      </c>
      <c r="AL8" s="5">
        <v>3.0</v>
      </c>
      <c r="AM8" s="5">
        <v>5.0</v>
      </c>
      <c r="AN8" s="5">
        <v>3.0</v>
      </c>
      <c r="AO8" s="5">
        <v>5.0</v>
      </c>
      <c r="AP8" s="5">
        <v>5.0</v>
      </c>
      <c r="AQ8" s="22">
        <f t="shared" si="1"/>
        <v>147</v>
      </c>
      <c r="AR8" s="23">
        <f t="shared" si="2"/>
        <v>-0.006575342466</v>
      </c>
      <c r="AS8" s="5"/>
    </row>
    <row r="9">
      <c r="A9" s="6" t="s">
        <v>62</v>
      </c>
      <c r="B9" s="5">
        <v>3.0</v>
      </c>
      <c r="C9" s="5">
        <v>3.0</v>
      </c>
      <c r="D9" s="5">
        <v>3.0</v>
      </c>
      <c r="E9" s="5">
        <v>3.0</v>
      </c>
      <c r="F9" s="5">
        <v>4.0</v>
      </c>
      <c r="G9" s="5">
        <v>4.0</v>
      </c>
      <c r="H9" s="5">
        <v>3.0</v>
      </c>
      <c r="I9" s="5">
        <v>5.0</v>
      </c>
      <c r="J9" s="21">
        <v>1.0</v>
      </c>
      <c r="K9" s="5">
        <v>2.0</v>
      </c>
      <c r="L9" s="5">
        <v>5.0</v>
      </c>
      <c r="M9" s="5">
        <v>5.0</v>
      </c>
      <c r="N9" s="5">
        <v>5.0</v>
      </c>
      <c r="O9" s="5">
        <v>3.0</v>
      </c>
      <c r="P9" s="5">
        <v>2.0</v>
      </c>
      <c r="Q9" s="5">
        <v>3.0</v>
      </c>
      <c r="R9" s="5">
        <v>3.0</v>
      </c>
      <c r="S9" s="5">
        <v>3.0</v>
      </c>
      <c r="T9" s="5">
        <v>3.0</v>
      </c>
      <c r="U9" s="5">
        <v>3.0</v>
      </c>
      <c r="V9" s="5">
        <v>1.0</v>
      </c>
      <c r="W9" s="5">
        <v>2.0</v>
      </c>
      <c r="X9" s="5">
        <v>3.0</v>
      </c>
      <c r="Y9" s="5">
        <v>4.0</v>
      </c>
      <c r="Z9" s="5">
        <v>4.0</v>
      </c>
      <c r="AA9" s="5">
        <v>5.0</v>
      </c>
      <c r="AB9" s="5">
        <v>3.0</v>
      </c>
      <c r="AC9" s="5">
        <v>4.0</v>
      </c>
      <c r="AD9" s="5">
        <v>2.0</v>
      </c>
      <c r="AE9" s="5">
        <v>3.0</v>
      </c>
      <c r="AF9" s="5">
        <v>3.0</v>
      </c>
      <c r="AG9" s="5">
        <v>3.0</v>
      </c>
      <c r="AH9" s="5">
        <v>3.0</v>
      </c>
      <c r="AI9" s="5">
        <v>3.0</v>
      </c>
      <c r="AJ9" s="5">
        <v>3.0</v>
      </c>
      <c r="AK9" s="5">
        <v>3.0</v>
      </c>
      <c r="AL9" s="5">
        <v>2.0</v>
      </c>
      <c r="AM9" s="5">
        <v>4.0</v>
      </c>
      <c r="AN9" s="5">
        <v>3.0</v>
      </c>
      <c r="AO9" s="5">
        <v>4.0</v>
      </c>
      <c r="AP9" s="5">
        <v>4.0</v>
      </c>
      <c r="AQ9" s="22">
        <f t="shared" si="1"/>
        <v>132</v>
      </c>
      <c r="AR9" s="23">
        <f t="shared" si="2"/>
        <v>-0.1079452055</v>
      </c>
      <c r="AS9" s="5"/>
    </row>
    <row r="10">
      <c r="A10" s="6" t="s">
        <v>63</v>
      </c>
      <c r="B10" s="5">
        <v>3.0</v>
      </c>
      <c r="C10" s="5">
        <v>3.0</v>
      </c>
      <c r="D10" s="5">
        <v>3.0</v>
      </c>
      <c r="E10" s="5">
        <v>4.0</v>
      </c>
      <c r="F10" s="5">
        <v>4.0</v>
      </c>
      <c r="G10" s="5">
        <v>4.0</v>
      </c>
      <c r="H10" s="5">
        <v>4.0</v>
      </c>
      <c r="I10" s="5">
        <v>4.0</v>
      </c>
      <c r="J10" s="5">
        <v>3.0</v>
      </c>
      <c r="K10" s="21">
        <v>1.0</v>
      </c>
      <c r="L10" s="5">
        <v>4.0</v>
      </c>
      <c r="M10" s="5">
        <v>3.0</v>
      </c>
      <c r="N10" s="5">
        <v>4.0</v>
      </c>
      <c r="O10" s="5">
        <v>4.0</v>
      </c>
      <c r="P10" s="5">
        <v>5.0</v>
      </c>
      <c r="Q10" s="5">
        <v>4.0</v>
      </c>
      <c r="R10" s="5">
        <v>3.0</v>
      </c>
      <c r="S10" s="5">
        <v>4.0</v>
      </c>
      <c r="T10" s="5">
        <v>4.0</v>
      </c>
      <c r="U10" s="5">
        <v>5.0</v>
      </c>
      <c r="V10" s="5">
        <v>1.0</v>
      </c>
      <c r="W10" s="5">
        <v>3.0</v>
      </c>
      <c r="X10" s="5">
        <v>4.0</v>
      </c>
      <c r="Y10" s="5">
        <v>4.0</v>
      </c>
      <c r="Z10" s="5">
        <v>5.0</v>
      </c>
      <c r="AA10" s="5">
        <v>5.0</v>
      </c>
      <c r="AB10" s="5">
        <v>3.0</v>
      </c>
      <c r="AC10" s="5">
        <v>3.0</v>
      </c>
      <c r="AD10" s="5">
        <v>3.0</v>
      </c>
      <c r="AE10" s="5">
        <v>5.0</v>
      </c>
      <c r="AF10" s="5">
        <v>3.0</v>
      </c>
      <c r="AG10" s="5">
        <v>4.0</v>
      </c>
      <c r="AH10" s="5">
        <v>3.0</v>
      </c>
      <c r="AI10" s="5">
        <v>3.0</v>
      </c>
      <c r="AJ10" s="5">
        <v>3.0</v>
      </c>
      <c r="AK10" s="5">
        <v>3.0</v>
      </c>
      <c r="AL10" s="5">
        <v>3.0</v>
      </c>
      <c r="AM10" s="5">
        <v>4.0</v>
      </c>
      <c r="AN10" s="5">
        <v>4.0</v>
      </c>
      <c r="AO10" s="5">
        <v>4.0</v>
      </c>
      <c r="AP10" s="5">
        <v>5.0</v>
      </c>
      <c r="AQ10" s="22">
        <f t="shared" si="1"/>
        <v>148</v>
      </c>
      <c r="AR10" s="23">
        <f t="shared" si="2"/>
        <v>0.0001826484018</v>
      </c>
      <c r="AS10" s="5"/>
    </row>
    <row r="11">
      <c r="A11" s="6" t="s">
        <v>64</v>
      </c>
      <c r="B11" s="5">
        <v>3.0</v>
      </c>
      <c r="C11" s="5">
        <v>5.0</v>
      </c>
      <c r="D11" s="5">
        <v>4.0</v>
      </c>
      <c r="E11" s="5">
        <v>4.0</v>
      </c>
      <c r="F11" s="5">
        <v>3.0</v>
      </c>
      <c r="G11" s="5">
        <v>5.0</v>
      </c>
      <c r="H11" s="5">
        <v>4.0</v>
      </c>
      <c r="I11" s="5">
        <v>5.0</v>
      </c>
      <c r="J11" s="5">
        <v>3.0</v>
      </c>
      <c r="K11" s="5">
        <v>5.0</v>
      </c>
      <c r="L11" s="21">
        <v>1.0</v>
      </c>
      <c r="M11" s="5">
        <v>4.0</v>
      </c>
      <c r="N11" s="5">
        <v>5.0</v>
      </c>
      <c r="O11" s="5">
        <v>3.0</v>
      </c>
      <c r="P11" s="5">
        <v>4.0</v>
      </c>
      <c r="Q11" s="5">
        <v>3.0</v>
      </c>
      <c r="R11" s="5">
        <v>3.0</v>
      </c>
      <c r="S11" s="5">
        <v>4.0</v>
      </c>
      <c r="T11" s="5">
        <v>2.0</v>
      </c>
      <c r="U11" s="5">
        <v>4.0</v>
      </c>
      <c r="V11" s="5">
        <v>1.0</v>
      </c>
      <c r="W11" s="5">
        <v>2.0</v>
      </c>
      <c r="X11" s="5">
        <v>3.0</v>
      </c>
      <c r="Y11" s="5">
        <v>5.0</v>
      </c>
      <c r="Z11" s="5">
        <v>3.0</v>
      </c>
      <c r="AA11" s="5">
        <v>4.0</v>
      </c>
      <c r="AB11" s="5">
        <v>2.0</v>
      </c>
      <c r="AC11" s="5">
        <v>3.0</v>
      </c>
      <c r="AD11" s="5">
        <v>4.0</v>
      </c>
      <c r="AE11" s="5">
        <v>4.0</v>
      </c>
      <c r="AF11" s="5">
        <v>2.0</v>
      </c>
      <c r="AG11" s="5">
        <v>5.0</v>
      </c>
      <c r="AH11" s="5">
        <v>4.0</v>
      </c>
      <c r="AI11" s="5">
        <v>4.0</v>
      </c>
      <c r="AJ11" s="5">
        <v>3.0</v>
      </c>
      <c r="AK11" s="5">
        <v>5.0</v>
      </c>
      <c r="AL11" s="5">
        <v>3.0</v>
      </c>
      <c r="AM11" s="5">
        <v>3.0</v>
      </c>
      <c r="AN11" s="5">
        <v>3.0</v>
      </c>
      <c r="AO11" s="5">
        <v>4.0</v>
      </c>
      <c r="AP11" s="5">
        <v>4.0</v>
      </c>
      <c r="AQ11" s="22">
        <f t="shared" si="1"/>
        <v>145</v>
      </c>
      <c r="AR11" s="23">
        <f t="shared" si="2"/>
        <v>-0.0200913242</v>
      </c>
      <c r="AS11" s="5"/>
    </row>
    <row r="12">
      <c r="A12" s="6" t="s">
        <v>65</v>
      </c>
      <c r="B12" s="5">
        <v>4.0</v>
      </c>
      <c r="C12" s="5">
        <v>4.0</v>
      </c>
      <c r="D12" s="5">
        <v>3.0</v>
      </c>
      <c r="E12" s="5">
        <v>3.0</v>
      </c>
      <c r="F12" s="5">
        <v>4.0</v>
      </c>
      <c r="G12" s="5">
        <v>5.0</v>
      </c>
      <c r="H12" s="5">
        <v>4.0</v>
      </c>
      <c r="I12" s="5">
        <v>3.0</v>
      </c>
      <c r="J12" s="5">
        <v>4.0</v>
      </c>
      <c r="K12" s="5">
        <v>3.0</v>
      </c>
      <c r="L12" s="5">
        <v>3.0</v>
      </c>
      <c r="M12" s="21">
        <v>1.0</v>
      </c>
      <c r="N12" s="5">
        <v>4.0</v>
      </c>
      <c r="O12" s="5">
        <v>3.0</v>
      </c>
      <c r="P12" s="5">
        <v>2.0</v>
      </c>
      <c r="Q12" s="5">
        <v>3.0</v>
      </c>
      <c r="R12" s="5">
        <v>4.0</v>
      </c>
      <c r="S12" s="5">
        <v>5.0</v>
      </c>
      <c r="T12" s="5">
        <v>3.0</v>
      </c>
      <c r="U12" s="5">
        <v>4.0</v>
      </c>
      <c r="V12" s="5">
        <v>3.0</v>
      </c>
      <c r="W12" s="5">
        <v>3.0</v>
      </c>
      <c r="X12" s="5">
        <v>3.0</v>
      </c>
      <c r="Y12" s="5">
        <v>5.0</v>
      </c>
      <c r="Z12" s="5">
        <v>3.0</v>
      </c>
      <c r="AA12" s="5">
        <v>5.0</v>
      </c>
      <c r="AB12" s="5">
        <v>3.0</v>
      </c>
      <c r="AC12" s="5">
        <v>3.0</v>
      </c>
      <c r="AD12" s="5">
        <v>3.0</v>
      </c>
      <c r="AE12" s="5">
        <v>5.0</v>
      </c>
      <c r="AF12" s="5">
        <v>3.0</v>
      </c>
      <c r="AG12" s="5">
        <v>4.0</v>
      </c>
      <c r="AH12" s="5">
        <v>5.0</v>
      </c>
      <c r="AI12" s="5">
        <v>5.0</v>
      </c>
      <c r="AJ12" s="5">
        <v>3.0</v>
      </c>
      <c r="AK12" s="5">
        <v>5.0</v>
      </c>
      <c r="AL12" s="5">
        <v>4.0</v>
      </c>
      <c r="AM12" s="5">
        <v>5.0</v>
      </c>
      <c r="AN12" s="5">
        <v>5.0</v>
      </c>
      <c r="AO12" s="5">
        <v>5.0</v>
      </c>
      <c r="AP12" s="5">
        <v>5.0</v>
      </c>
      <c r="AQ12" s="22">
        <f t="shared" si="1"/>
        <v>154</v>
      </c>
      <c r="AR12" s="23">
        <f t="shared" si="2"/>
        <v>0.04073059361</v>
      </c>
      <c r="AS12" s="5"/>
    </row>
    <row r="13">
      <c r="A13" s="6" t="s">
        <v>66</v>
      </c>
      <c r="B13" s="5">
        <v>3.0</v>
      </c>
      <c r="C13" s="5">
        <v>4.0</v>
      </c>
      <c r="D13" s="5">
        <v>4.0</v>
      </c>
      <c r="E13" s="5">
        <v>4.0</v>
      </c>
      <c r="F13" s="5">
        <v>4.0</v>
      </c>
      <c r="G13" s="5">
        <v>5.0</v>
      </c>
      <c r="H13" s="5">
        <v>4.0</v>
      </c>
      <c r="I13" s="5">
        <v>5.0</v>
      </c>
      <c r="J13" s="5">
        <v>4.0</v>
      </c>
      <c r="K13" s="5">
        <v>4.0</v>
      </c>
      <c r="L13" s="5">
        <v>5.0</v>
      </c>
      <c r="M13" s="5">
        <v>4.0</v>
      </c>
      <c r="N13" s="21">
        <v>1.0</v>
      </c>
      <c r="O13" s="5">
        <v>3.0</v>
      </c>
      <c r="P13" s="5">
        <v>4.0</v>
      </c>
      <c r="Q13" s="5">
        <v>4.0</v>
      </c>
      <c r="R13" s="5">
        <v>4.0</v>
      </c>
      <c r="S13" s="5">
        <v>4.0</v>
      </c>
      <c r="T13" s="5">
        <v>4.0</v>
      </c>
      <c r="U13" s="5">
        <v>5.0</v>
      </c>
      <c r="V13" s="5">
        <v>1.0</v>
      </c>
      <c r="W13" s="5">
        <v>4.0</v>
      </c>
      <c r="X13" s="5">
        <v>4.0</v>
      </c>
      <c r="Y13" s="5">
        <v>4.0</v>
      </c>
      <c r="Z13" s="5">
        <v>5.0</v>
      </c>
      <c r="AA13" s="5">
        <v>5.0</v>
      </c>
      <c r="AB13" s="5">
        <v>4.0</v>
      </c>
      <c r="AC13" s="5">
        <v>4.0</v>
      </c>
      <c r="AD13" s="5">
        <v>5.0</v>
      </c>
      <c r="AE13" s="5">
        <v>5.0</v>
      </c>
      <c r="AF13" s="5">
        <v>3.0</v>
      </c>
      <c r="AG13" s="5">
        <v>4.0</v>
      </c>
      <c r="AH13" s="5">
        <v>5.0</v>
      </c>
      <c r="AI13" s="5">
        <v>4.0</v>
      </c>
      <c r="AJ13" s="5">
        <v>4.0</v>
      </c>
      <c r="AK13" s="5">
        <v>4.0</v>
      </c>
      <c r="AL13" s="5">
        <v>3.0</v>
      </c>
      <c r="AM13" s="5">
        <v>5.0</v>
      </c>
      <c r="AN13" s="5">
        <v>4.0</v>
      </c>
      <c r="AO13" s="5">
        <v>4.0</v>
      </c>
      <c r="AP13" s="5">
        <v>4.0</v>
      </c>
      <c r="AQ13" s="22">
        <f t="shared" si="1"/>
        <v>164</v>
      </c>
      <c r="AR13" s="23">
        <f t="shared" si="2"/>
        <v>0.1083105023</v>
      </c>
      <c r="AS13" s="5"/>
    </row>
    <row r="14">
      <c r="A14" s="6" t="s">
        <v>67</v>
      </c>
      <c r="B14" s="5">
        <v>3.0</v>
      </c>
      <c r="C14" s="5">
        <v>3.0</v>
      </c>
      <c r="D14" s="5">
        <v>3.0</v>
      </c>
      <c r="E14" s="5">
        <v>3.0</v>
      </c>
      <c r="F14" s="5">
        <v>4.0</v>
      </c>
      <c r="G14" s="5">
        <v>5.0</v>
      </c>
      <c r="H14" s="5">
        <v>3.0</v>
      </c>
      <c r="I14" s="5">
        <v>3.0</v>
      </c>
      <c r="J14" s="5">
        <v>4.0</v>
      </c>
      <c r="K14" s="5">
        <v>3.0</v>
      </c>
      <c r="L14" s="5">
        <v>5.0</v>
      </c>
      <c r="M14" s="5">
        <v>5.0</v>
      </c>
      <c r="N14" s="5">
        <v>4.0</v>
      </c>
      <c r="O14" s="5">
        <v>3.0</v>
      </c>
      <c r="P14" s="21">
        <v>1.0</v>
      </c>
      <c r="Q14" s="5">
        <v>3.0</v>
      </c>
      <c r="R14" s="5">
        <v>4.0</v>
      </c>
      <c r="S14" s="5">
        <v>3.0</v>
      </c>
      <c r="T14" s="5">
        <v>3.0</v>
      </c>
      <c r="U14" s="5">
        <v>3.0</v>
      </c>
      <c r="V14" s="5">
        <v>1.0</v>
      </c>
      <c r="W14" s="5">
        <v>3.0</v>
      </c>
      <c r="X14" s="5">
        <v>3.0</v>
      </c>
      <c r="Y14" s="5">
        <v>4.0</v>
      </c>
      <c r="Z14" s="5">
        <v>3.0</v>
      </c>
      <c r="AA14" s="5">
        <v>4.0</v>
      </c>
      <c r="AB14" s="5">
        <v>4.0</v>
      </c>
      <c r="AC14" s="5">
        <v>5.0</v>
      </c>
      <c r="AD14" s="5">
        <v>3.0</v>
      </c>
      <c r="AE14" s="5">
        <v>5.0</v>
      </c>
      <c r="AF14" s="5">
        <v>3.0</v>
      </c>
      <c r="AG14" s="5">
        <v>3.0</v>
      </c>
      <c r="AH14" s="5">
        <v>5.0</v>
      </c>
      <c r="AI14" s="5">
        <v>4.0</v>
      </c>
      <c r="AJ14" s="5">
        <v>3.0</v>
      </c>
      <c r="AK14" s="5">
        <v>4.0</v>
      </c>
      <c r="AL14" s="5">
        <v>3.0</v>
      </c>
      <c r="AM14" s="5">
        <v>4.0</v>
      </c>
      <c r="AN14" s="5">
        <v>3.0</v>
      </c>
      <c r="AO14" s="5">
        <v>5.0</v>
      </c>
      <c r="AP14" s="5">
        <v>4.0</v>
      </c>
      <c r="AQ14" s="22">
        <f t="shared" si="1"/>
        <v>144</v>
      </c>
      <c r="AR14" s="23">
        <f t="shared" si="2"/>
        <v>-0.02684931507</v>
      </c>
      <c r="AS14" s="5"/>
    </row>
    <row r="15">
      <c r="A15" s="6" t="s">
        <v>68</v>
      </c>
      <c r="B15" s="5">
        <v>4.0</v>
      </c>
      <c r="C15" s="5">
        <v>3.0</v>
      </c>
      <c r="D15" s="5">
        <v>4.0</v>
      </c>
      <c r="E15" s="5">
        <v>5.0</v>
      </c>
      <c r="F15" s="5">
        <v>3.0</v>
      </c>
      <c r="G15" s="5">
        <v>3.0</v>
      </c>
      <c r="H15" s="5">
        <v>4.0</v>
      </c>
      <c r="I15" s="5">
        <v>4.0</v>
      </c>
      <c r="J15" s="5">
        <v>4.0</v>
      </c>
      <c r="K15" s="5">
        <v>5.0</v>
      </c>
      <c r="L15" s="5">
        <v>5.0</v>
      </c>
      <c r="M15" s="5">
        <v>5.0</v>
      </c>
      <c r="N15" s="5">
        <v>4.0</v>
      </c>
      <c r="O15" s="5">
        <v>4.0</v>
      </c>
      <c r="P15" s="5">
        <v>5.0</v>
      </c>
      <c r="Q15" s="21">
        <v>1.0</v>
      </c>
      <c r="R15" s="5">
        <v>4.0</v>
      </c>
      <c r="S15" s="5">
        <v>4.0</v>
      </c>
      <c r="T15" s="5">
        <v>3.0</v>
      </c>
      <c r="U15" s="5">
        <v>4.0</v>
      </c>
      <c r="V15" s="5">
        <v>1.0</v>
      </c>
      <c r="W15" s="5">
        <v>4.0</v>
      </c>
      <c r="X15" s="5">
        <v>4.0</v>
      </c>
      <c r="Y15" s="5">
        <v>5.0</v>
      </c>
      <c r="Z15" s="5">
        <v>4.0</v>
      </c>
      <c r="AA15" s="5">
        <v>5.0</v>
      </c>
      <c r="AB15" s="5">
        <v>4.0</v>
      </c>
      <c r="AC15" s="5">
        <v>4.0</v>
      </c>
      <c r="AD15" s="5">
        <v>5.0</v>
      </c>
      <c r="AE15" s="5">
        <v>5.0</v>
      </c>
      <c r="AF15" s="5">
        <v>3.0</v>
      </c>
      <c r="AG15" s="5">
        <v>5.0</v>
      </c>
      <c r="AH15" s="5">
        <v>4.0</v>
      </c>
      <c r="AI15" s="5">
        <v>4.0</v>
      </c>
      <c r="AJ15" s="5">
        <v>3.0</v>
      </c>
      <c r="AK15" s="5">
        <v>5.0</v>
      </c>
      <c r="AL15" s="5">
        <v>3.0</v>
      </c>
      <c r="AM15" s="5">
        <v>4.0</v>
      </c>
      <c r="AN15" s="5">
        <v>4.0</v>
      </c>
      <c r="AO15" s="5">
        <v>4.0</v>
      </c>
      <c r="AP15" s="5">
        <v>4.0</v>
      </c>
      <c r="AQ15" s="22">
        <f t="shared" si="1"/>
        <v>162</v>
      </c>
      <c r="AR15" s="23">
        <f t="shared" si="2"/>
        <v>0.09479452055</v>
      </c>
      <c r="AS15" s="5"/>
    </row>
    <row r="16">
      <c r="A16" s="6" t="s">
        <v>69</v>
      </c>
      <c r="B16" s="5">
        <v>3.0</v>
      </c>
      <c r="C16" s="5">
        <v>4.0</v>
      </c>
      <c r="D16" s="5">
        <v>3.0</v>
      </c>
      <c r="E16" s="5">
        <v>5.0</v>
      </c>
      <c r="F16" s="5">
        <v>5.0</v>
      </c>
      <c r="G16" s="5">
        <v>4.0</v>
      </c>
      <c r="H16" s="5">
        <v>4.0</v>
      </c>
      <c r="I16" s="5">
        <v>4.0</v>
      </c>
      <c r="J16" s="5">
        <v>3.0</v>
      </c>
      <c r="K16" s="5">
        <v>5.0</v>
      </c>
      <c r="L16" s="5">
        <v>3.0</v>
      </c>
      <c r="M16" s="5">
        <v>4.0</v>
      </c>
      <c r="N16" s="5">
        <v>4.0</v>
      </c>
      <c r="O16" s="5">
        <v>3.0</v>
      </c>
      <c r="P16" s="5">
        <v>3.0</v>
      </c>
      <c r="Q16" s="5">
        <v>4.0</v>
      </c>
      <c r="R16" s="21">
        <v>1.0</v>
      </c>
      <c r="S16" s="5">
        <v>3.0</v>
      </c>
      <c r="T16" s="5">
        <v>3.0</v>
      </c>
      <c r="U16" s="5">
        <v>3.0</v>
      </c>
      <c r="V16" s="5">
        <v>1.0</v>
      </c>
      <c r="W16" s="5">
        <v>3.0</v>
      </c>
      <c r="X16" s="5">
        <v>4.0</v>
      </c>
      <c r="Y16" s="5">
        <v>4.0</v>
      </c>
      <c r="Z16" s="5">
        <v>3.0</v>
      </c>
      <c r="AA16" s="5">
        <v>5.0</v>
      </c>
      <c r="AB16" s="5">
        <v>4.0</v>
      </c>
      <c r="AC16" s="5">
        <v>4.0</v>
      </c>
      <c r="AD16" s="5">
        <v>4.0</v>
      </c>
      <c r="AE16" s="5">
        <v>4.0</v>
      </c>
      <c r="AF16" s="5">
        <v>3.0</v>
      </c>
      <c r="AG16" s="5">
        <v>5.0</v>
      </c>
      <c r="AH16" s="5">
        <v>5.0</v>
      </c>
      <c r="AI16" s="5">
        <v>4.0</v>
      </c>
      <c r="AJ16" s="5">
        <v>4.0</v>
      </c>
      <c r="AK16" s="5">
        <v>5.0</v>
      </c>
      <c r="AL16" s="5">
        <v>3.0</v>
      </c>
      <c r="AM16" s="5">
        <v>4.0</v>
      </c>
      <c r="AN16" s="5">
        <v>4.0</v>
      </c>
      <c r="AO16" s="5">
        <v>5.0</v>
      </c>
      <c r="AP16" s="5">
        <v>5.0</v>
      </c>
      <c r="AQ16" s="22">
        <f t="shared" si="1"/>
        <v>154</v>
      </c>
      <c r="AR16" s="23">
        <f t="shared" si="2"/>
        <v>0.04073059361</v>
      </c>
      <c r="AS16" s="5"/>
    </row>
    <row r="17">
      <c r="A17" s="6" t="s">
        <v>70</v>
      </c>
      <c r="B17" s="5">
        <v>4.0</v>
      </c>
      <c r="C17" s="5">
        <v>5.0</v>
      </c>
      <c r="D17" s="5">
        <v>5.0</v>
      </c>
      <c r="E17" s="5">
        <v>4.0</v>
      </c>
      <c r="F17" s="5">
        <v>3.0</v>
      </c>
      <c r="G17" s="5">
        <v>5.0</v>
      </c>
      <c r="H17" s="5">
        <v>3.0</v>
      </c>
      <c r="I17" s="5">
        <v>5.0</v>
      </c>
      <c r="J17" s="5">
        <v>3.0</v>
      </c>
      <c r="K17" s="5">
        <v>3.0</v>
      </c>
      <c r="L17" s="5">
        <v>4.0</v>
      </c>
      <c r="M17" s="5">
        <v>5.0</v>
      </c>
      <c r="N17" s="5">
        <v>5.0</v>
      </c>
      <c r="O17" s="5">
        <v>4.0</v>
      </c>
      <c r="P17" s="5">
        <v>3.0</v>
      </c>
      <c r="Q17" s="5">
        <v>5.0</v>
      </c>
      <c r="R17" s="5">
        <v>4.0</v>
      </c>
      <c r="S17" s="21">
        <v>1.0</v>
      </c>
      <c r="T17" s="5">
        <v>3.0</v>
      </c>
      <c r="U17" s="5">
        <v>4.0</v>
      </c>
      <c r="V17" s="5">
        <v>1.0</v>
      </c>
      <c r="W17" s="5">
        <v>4.0</v>
      </c>
      <c r="X17" s="5">
        <v>4.0</v>
      </c>
      <c r="Y17" s="5">
        <v>5.0</v>
      </c>
      <c r="Z17" s="5">
        <v>3.0</v>
      </c>
      <c r="AA17" s="5">
        <v>5.0</v>
      </c>
      <c r="AB17" s="5">
        <v>4.0</v>
      </c>
      <c r="AC17" s="5">
        <v>5.0</v>
      </c>
      <c r="AD17" s="5">
        <v>4.0</v>
      </c>
      <c r="AE17" s="5">
        <v>5.0</v>
      </c>
      <c r="AF17" s="5">
        <v>3.0</v>
      </c>
      <c r="AG17" s="5">
        <v>5.0</v>
      </c>
      <c r="AH17" s="5">
        <v>4.0</v>
      </c>
      <c r="AI17" s="5">
        <v>3.0</v>
      </c>
      <c r="AJ17" s="5">
        <v>4.0</v>
      </c>
      <c r="AK17" s="5">
        <v>4.0</v>
      </c>
      <c r="AL17" s="5">
        <v>4.0</v>
      </c>
      <c r="AM17" s="5">
        <v>4.0</v>
      </c>
      <c r="AN17" s="5">
        <v>5.0</v>
      </c>
      <c r="AO17" s="5">
        <v>5.0</v>
      </c>
      <c r="AP17" s="5">
        <v>4.0</v>
      </c>
      <c r="AQ17" s="22">
        <f t="shared" si="1"/>
        <v>163</v>
      </c>
      <c r="AR17" s="23">
        <f t="shared" si="2"/>
        <v>0.1015525114</v>
      </c>
      <c r="AS17" s="5"/>
    </row>
    <row r="18">
      <c r="A18" s="6" t="s">
        <v>71</v>
      </c>
      <c r="B18" s="5">
        <v>2.0</v>
      </c>
      <c r="C18" s="5">
        <v>3.0</v>
      </c>
      <c r="D18" s="5">
        <v>1.0</v>
      </c>
      <c r="E18" s="5">
        <v>3.0</v>
      </c>
      <c r="F18" s="5">
        <v>1.0</v>
      </c>
      <c r="G18" s="5">
        <v>5.0</v>
      </c>
      <c r="H18" s="5">
        <v>3.0</v>
      </c>
      <c r="I18" s="5">
        <v>1.0</v>
      </c>
      <c r="J18" s="5">
        <v>1.0</v>
      </c>
      <c r="K18" s="5">
        <v>2.0</v>
      </c>
      <c r="L18" s="5">
        <v>5.0</v>
      </c>
      <c r="M18" s="5">
        <v>3.0</v>
      </c>
      <c r="N18" s="5">
        <v>2.0</v>
      </c>
      <c r="O18" s="5">
        <v>2.0</v>
      </c>
      <c r="P18" s="5">
        <v>3.0</v>
      </c>
      <c r="Q18" s="5">
        <v>4.0</v>
      </c>
      <c r="R18" s="5">
        <v>5.0</v>
      </c>
      <c r="S18" s="5">
        <v>5.0</v>
      </c>
      <c r="T18" s="21">
        <v>1.0</v>
      </c>
      <c r="U18" s="5">
        <v>4.0</v>
      </c>
      <c r="V18" s="5">
        <v>1.0</v>
      </c>
      <c r="W18" s="5">
        <v>2.0</v>
      </c>
      <c r="X18" s="5">
        <v>3.0</v>
      </c>
      <c r="Y18" s="5">
        <v>2.0</v>
      </c>
      <c r="Z18" s="5">
        <v>4.0</v>
      </c>
      <c r="AA18" s="5">
        <v>4.0</v>
      </c>
      <c r="AB18" s="5">
        <v>4.0</v>
      </c>
      <c r="AC18" s="5">
        <v>5.0</v>
      </c>
      <c r="AD18" s="5">
        <v>5.0</v>
      </c>
      <c r="AE18" s="5">
        <v>3.0</v>
      </c>
      <c r="AF18" s="5">
        <v>3.0</v>
      </c>
      <c r="AG18" s="5">
        <v>5.0</v>
      </c>
      <c r="AH18" s="5">
        <v>2.0</v>
      </c>
      <c r="AI18" s="5">
        <v>1.0</v>
      </c>
      <c r="AJ18" s="5">
        <v>2.0</v>
      </c>
      <c r="AK18" s="5">
        <v>5.0</v>
      </c>
      <c r="AL18" s="5">
        <v>1.0</v>
      </c>
      <c r="AM18" s="5">
        <v>4.0</v>
      </c>
      <c r="AN18" s="5">
        <v>5.0</v>
      </c>
      <c r="AO18" s="5">
        <v>5.0</v>
      </c>
      <c r="AP18" s="5">
        <v>4.0</v>
      </c>
      <c r="AQ18" s="22">
        <f t="shared" si="1"/>
        <v>126</v>
      </c>
      <c r="AR18" s="23">
        <f t="shared" si="2"/>
        <v>-0.1484931507</v>
      </c>
      <c r="AS18" s="5"/>
    </row>
    <row r="19">
      <c r="A19" s="6" t="s">
        <v>72</v>
      </c>
      <c r="B19" s="5">
        <v>3.0</v>
      </c>
      <c r="C19" s="5">
        <v>4.0</v>
      </c>
      <c r="D19" s="5">
        <v>4.0</v>
      </c>
      <c r="E19" s="5">
        <v>5.0</v>
      </c>
      <c r="F19" s="5">
        <v>4.0</v>
      </c>
      <c r="G19" s="5">
        <v>4.0</v>
      </c>
      <c r="H19" s="5">
        <v>4.0</v>
      </c>
      <c r="I19" s="5">
        <v>5.0</v>
      </c>
      <c r="J19" s="5">
        <v>3.0</v>
      </c>
      <c r="K19" s="5">
        <v>4.0</v>
      </c>
      <c r="L19" s="5">
        <v>4.0</v>
      </c>
      <c r="M19" s="5">
        <v>5.0</v>
      </c>
      <c r="N19" s="5">
        <v>5.0</v>
      </c>
      <c r="O19" s="5">
        <v>3.0</v>
      </c>
      <c r="P19" s="5">
        <v>3.0</v>
      </c>
      <c r="Q19" s="5">
        <v>4.0</v>
      </c>
      <c r="R19" s="5">
        <v>4.0</v>
      </c>
      <c r="S19" s="5">
        <v>4.0</v>
      </c>
      <c r="T19" s="5">
        <v>3.0</v>
      </c>
      <c r="U19" s="21">
        <v>1.0</v>
      </c>
      <c r="V19" s="5">
        <v>1.0</v>
      </c>
      <c r="W19" s="5">
        <v>3.0</v>
      </c>
      <c r="X19" s="5">
        <v>5.0</v>
      </c>
      <c r="Y19" s="5">
        <v>4.0</v>
      </c>
      <c r="Z19" s="5">
        <v>3.0</v>
      </c>
      <c r="AA19" s="5">
        <v>5.0</v>
      </c>
      <c r="AB19" s="5">
        <v>4.0</v>
      </c>
      <c r="AC19" s="5">
        <v>4.0</v>
      </c>
      <c r="AD19" s="5">
        <v>5.0</v>
      </c>
      <c r="AE19" s="5">
        <v>4.0</v>
      </c>
      <c r="AF19" s="5">
        <v>3.0</v>
      </c>
      <c r="AG19" s="5">
        <v>4.0</v>
      </c>
      <c r="AH19" s="5">
        <v>5.0</v>
      </c>
      <c r="AI19" s="5">
        <v>5.0</v>
      </c>
      <c r="AJ19" s="5">
        <v>4.0</v>
      </c>
      <c r="AK19" s="5">
        <v>4.0</v>
      </c>
      <c r="AL19" s="5">
        <v>3.0</v>
      </c>
      <c r="AM19" s="5">
        <v>4.0</v>
      </c>
      <c r="AN19" s="5">
        <v>4.0</v>
      </c>
      <c r="AO19" s="5">
        <v>4.0</v>
      </c>
      <c r="AP19" s="5">
        <v>5.0</v>
      </c>
      <c r="AQ19" s="22">
        <f t="shared" si="1"/>
        <v>159</v>
      </c>
      <c r="AR19" s="23">
        <f t="shared" si="2"/>
        <v>0.07452054795</v>
      </c>
      <c r="AS19" s="5"/>
    </row>
    <row r="20">
      <c r="A20" s="6" t="s">
        <v>73</v>
      </c>
      <c r="B20" s="5">
        <v>3.0</v>
      </c>
      <c r="C20" s="5">
        <v>4.0</v>
      </c>
      <c r="D20" s="5">
        <v>3.0</v>
      </c>
      <c r="E20" s="5">
        <v>4.0</v>
      </c>
      <c r="F20" s="5">
        <v>4.0</v>
      </c>
      <c r="G20" s="5">
        <v>5.0</v>
      </c>
      <c r="H20" s="5">
        <v>4.0</v>
      </c>
      <c r="I20" s="5">
        <v>4.0</v>
      </c>
      <c r="J20" s="5">
        <v>4.0</v>
      </c>
      <c r="K20" s="5">
        <v>4.0</v>
      </c>
      <c r="L20" s="5">
        <v>4.0</v>
      </c>
      <c r="M20" s="5">
        <v>4.0</v>
      </c>
      <c r="N20" s="5">
        <v>5.0</v>
      </c>
      <c r="O20" s="5">
        <v>4.0</v>
      </c>
      <c r="P20" s="5">
        <v>3.0</v>
      </c>
      <c r="Q20" s="5">
        <v>3.0</v>
      </c>
      <c r="R20" s="5">
        <v>4.0</v>
      </c>
      <c r="S20" s="5">
        <v>4.0</v>
      </c>
      <c r="T20" s="5">
        <v>3.0</v>
      </c>
      <c r="U20" s="5">
        <v>4.0</v>
      </c>
      <c r="V20" s="5">
        <v>1.0</v>
      </c>
      <c r="W20" s="21">
        <v>1.0</v>
      </c>
      <c r="X20" s="5">
        <v>3.0</v>
      </c>
      <c r="Y20" s="5">
        <v>4.0</v>
      </c>
      <c r="Z20" s="5">
        <v>4.0</v>
      </c>
      <c r="AA20" s="5">
        <v>4.0</v>
      </c>
      <c r="AB20" s="5">
        <v>4.0</v>
      </c>
      <c r="AC20" s="5">
        <v>4.0</v>
      </c>
      <c r="AD20" s="5">
        <v>4.0</v>
      </c>
      <c r="AE20" s="5">
        <v>5.0</v>
      </c>
      <c r="AF20" s="5">
        <v>3.0</v>
      </c>
      <c r="AG20" s="5">
        <v>4.0</v>
      </c>
      <c r="AH20" s="5">
        <v>5.0</v>
      </c>
      <c r="AI20" s="5">
        <v>4.0</v>
      </c>
      <c r="AJ20" s="5">
        <v>4.0</v>
      </c>
      <c r="AK20" s="5">
        <v>4.0</v>
      </c>
      <c r="AL20" s="5">
        <v>3.0</v>
      </c>
      <c r="AM20" s="5">
        <v>5.0</v>
      </c>
      <c r="AN20" s="5">
        <v>3.0</v>
      </c>
      <c r="AO20" s="5">
        <v>5.0</v>
      </c>
      <c r="AP20" s="5">
        <v>4.0</v>
      </c>
      <c r="AQ20" s="22">
        <f t="shared" si="1"/>
        <v>155</v>
      </c>
      <c r="AR20" s="23">
        <f t="shared" si="2"/>
        <v>0.04748858447</v>
      </c>
      <c r="AS20" s="5"/>
    </row>
    <row r="21">
      <c r="A21" s="6" t="s">
        <v>74</v>
      </c>
      <c r="B21" s="5">
        <v>3.0</v>
      </c>
      <c r="C21" s="5">
        <v>3.0</v>
      </c>
      <c r="D21" s="5">
        <v>3.0</v>
      </c>
      <c r="E21" s="5">
        <v>4.0</v>
      </c>
      <c r="F21" s="5">
        <v>4.0</v>
      </c>
      <c r="G21" s="5">
        <v>5.0</v>
      </c>
      <c r="H21" s="5">
        <v>3.0</v>
      </c>
      <c r="I21" s="5">
        <v>4.0</v>
      </c>
      <c r="J21" s="5">
        <v>3.0</v>
      </c>
      <c r="K21" s="5">
        <v>3.0</v>
      </c>
      <c r="L21" s="5">
        <v>3.0</v>
      </c>
      <c r="M21" s="5">
        <v>5.0</v>
      </c>
      <c r="N21" s="5">
        <v>4.0</v>
      </c>
      <c r="O21" s="5">
        <v>3.0</v>
      </c>
      <c r="P21" s="5">
        <v>4.0</v>
      </c>
      <c r="Q21" s="5">
        <v>3.0</v>
      </c>
      <c r="R21" s="5">
        <v>5.0</v>
      </c>
      <c r="S21" s="5">
        <v>1.0</v>
      </c>
      <c r="T21" s="5">
        <v>3.0</v>
      </c>
      <c r="U21" s="5">
        <v>3.0</v>
      </c>
      <c r="V21" s="5">
        <v>1.0</v>
      </c>
      <c r="W21" s="5">
        <v>3.0</v>
      </c>
      <c r="X21" s="5">
        <v>3.0</v>
      </c>
      <c r="Y21" s="21">
        <v>1.0</v>
      </c>
      <c r="Z21" s="5">
        <v>4.0</v>
      </c>
      <c r="AA21" s="5">
        <v>4.0</v>
      </c>
      <c r="AB21" s="5">
        <v>3.0</v>
      </c>
      <c r="AC21" s="5">
        <v>3.0</v>
      </c>
      <c r="AD21" s="5">
        <v>3.0</v>
      </c>
      <c r="AE21" s="5">
        <v>5.0</v>
      </c>
      <c r="AF21" s="5">
        <v>3.0</v>
      </c>
      <c r="AG21" s="5">
        <v>4.0</v>
      </c>
      <c r="AH21" s="5">
        <v>5.0</v>
      </c>
      <c r="AI21" s="5">
        <v>4.0</v>
      </c>
      <c r="AJ21" s="5">
        <v>3.0</v>
      </c>
      <c r="AK21" s="5">
        <v>4.0</v>
      </c>
      <c r="AL21" s="5">
        <v>3.0</v>
      </c>
      <c r="AM21" s="5">
        <v>5.0</v>
      </c>
      <c r="AN21" s="5">
        <v>3.0</v>
      </c>
      <c r="AO21" s="5">
        <v>5.0</v>
      </c>
      <c r="AP21" s="5">
        <v>5.0</v>
      </c>
      <c r="AQ21" s="22">
        <f t="shared" si="1"/>
        <v>143</v>
      </c>
      <c r="AR21" s="23">
        <f t="shared" si="2"/>
        <v>-0.03360730594</v>
      </c>
      <c r="AS21" s="5"/>
    </row>
    <row r="22">
      <c r="A22" s="6" t="s">
        <v>75</v>
      </c>
      <c r="B22" s="5">
        <v>3.0</v>
      </c>
      <c r="C22" s="5">
        <v>3.0</v>
      </c>
      <c r="D22" s="5">
        <v>3.0</v>
      </c>
      <c r="E22" s="5">
        <v>5.0</v>
      </c>
      <c r="F22" s="5">
        <v>4.0</v>
      </c>
      <c r="G22" s="5">
        <v>4.0</v>
      </c>
      <c r="H22" s="5">
        <v>3.0</v>
      </c>
      <c r="I22" s="5">
        <v>4.0</v>
      </c>
      <c r="J22" s="5">
        <v>4.0</v>
      </c>
      <c r="K22" s="5">
        <v>3.0</v>
      </c>
      <c r="L22" s="5">
        <v>5.0</v>
      </c>
      <c r="M22" s="5">
        <v>4.0</v>
      </c>
      <c r="N22" s="5">
        <v>3.0</v>
      </c>
      <c r="O22" s="5">
        <v>4.0</v>
      </c>
      <c r="P22" s="5">
        <v>4.0</v>
      </c>
      <c r="Q22" s="5">
        <v>3.0</v>
      </c>
      <c r="R22" s="5">
        <v>4.0</v>
      </c>
      <c r="S22" s="5">
        <v>4.0</v>
      </c>
      <c r="T22" s="5">
        <v>3.0</v>
      </c>
      <c r="U22" s="5">
        <v>5.0</v>
      </c>
      <c r="V22" s="5">
        <v>1.0</v>
      </c>
      <c r="W22" s="5">
        <v>3.0</v>
      </c>
      <c r="X22" s="5">
        <v>4.0</v>
      </c>
      <c r="Y22" s="5">
        <v>3.0</v>
      </c>
      <c r="Z22" s="21">
        <v>1.0</v>
      </c>
      <c r="AA22" s="5">
        <v>1.0</v>
      </c>
      <c r="AB22" s="5">
        <v>5.0</v>
      </c>
      <c r="AC22" s="5">
        <v>4.0</v>
      </c>
      <c r="AD22" s="5">
        <v>5.0</v>
      </c>
      <c r="AE22" s="5">
        <v>4.0</v>
      </c>
      <c r="AF22" s="5">
        <v>3.0</v>
      </c>
      <c r="AG22" s="5">
        <v>3.0</v>
      </c>
      <c r="AH22" s="5">
        <v>4.0</v>
      </c>
      <c r="AI22" s="5">
        <v>3.0</v>
      </c>
      <c r="AJ22" s="5">
        <v>4.0</v>
      </c>
      <c r="AK22" s="5">
        <v>5.0</v>
      </c>
      <c r="AL22" s="5">
        <v>3.0</v>
      </c>
      <c r="AM22" s="5">
        <v>4.0</v>
      </c>
      <c r="AN22" s="5">
        <v>3.0</v>
      </c>
      <c r="AO22" s="5">
        <v>4.0</v>
      </c>
      <c r="AP22" s="5">
        <v>4.0</v>
      </c>
      <c r="AQ22" s="22">
        <f t="shared" si="1"/>
        <v>146</v>
      </c>
      <c r="AR22" s="23">
        <f t="shared" si="2"/>
        <v>-0.01333333333</v>
      </c>
      <c r="AS22" s="5"/>
    </row>
    <row r="23">
      <c r="A23" s="6" t="s">
        <v>76</v>
      </c>
      <c r="B23" s="5">
        <v>2.0</v>
      </c>
      <c r="C23" s="5">
        <v>4.0</v>
      </c>
      <c r="D23" s="5">
        <v>3.0</v>
      </c>
      <c r="E23" s="5">
        <v>3.0</v>
      </c>
      <c r="F23" s="5">
        <v>5.0</v>
      </c>
      <c r="G23" s="5">
        <v>4.0</v>
      </c>
      <c r="H23" s="5">
        <v>3.0</v>
      </c>
      <c r="I23" s="5">
        <v>2.0</v>
      </c>
      <c r="J23" s="5">
        <v>2.0</v>
      </c>
      <c r="K23" s="5">
        <v>3.0</v>
      </c>
      <c r="L23" s="5">
        <v>2.0</v>
      </c>
      <c r="M23" s="5">
        <v>3.0</v>
      </c>
      <c r="N23" s="5">
        <v>3.0</v>
      </c>
      <c r="O23" s="5">
        <v>3.0</v>
      </c>
      <c r="P23" s="5">
        <v>2.0</v>
      </c>
      <c r="Q23" s="5">
        <v>3.0</v>
      </c>
      <c r="R23" s="5">
        <v>4.0</v>
      </c>
      <c r="S23" s="5">
        <v>3.0</v>
      </c>
      <c r="T23" s="5">
        <v>3.0</v>
      </c>
      <c r="U23" s="5">
        <v>4.0</v>
      </c>
      <c r="V23" s="5">
        <v>1.0</v>
      </c>
      <c r="W23" s="5">
        <v>3.0</v>
      </c>
      <c r="X23" s="5">
        <v>3.0</v>
      </c>
      <c r="Y23" s="5">
        <v>3.0</v>
      </c>
      <c r="Z23" s="5">
        <v>1.0</v>
      </c>
      <c r="AA23" s="21">
        <v>1.0</v>
      </c>
      <c r="AB23" s="5">
        <v>3.0</v>
      </c>
      <c r="AC23" s="5">
        <v>4.0</v>
      </c>
      <c r="AD23" s="5">
        <v>3.0</v>
      </c>
      <c r="AE23" s="5">
        <v>4.0</v>
      </c>
      <c r="AF23" s="5">
        <v>3.0</v>
      </c>
      <c r="AG23" s="5">
        <v>5.0</v>
      </c>
      <c r="AH23" s="5">
        <v>5.0</v>
      </c>
      <c r="AI23" s="5">
        <v>3.0</v>
      </c>
      <c r="AJ23" s="5">
        <v>4.0</v>
      </c>
      <c r="AK23" s="5">
        <v>4.0</v>
      </c>
      <c r="AL23" s="5">
        <v>2.0</v>
      </c>
      <c r="AM23" s="5">
        <v>3.0</v>
      </c>
      <c r="AN23" s="5">
        <v>4.0</v>
      </c>
      <c r="AO23" s="5">
        <v>5.0</v>
      </c>
      <c r="AP23" s="5">
        <v>3.0</v>
      </c>
      <c r="AQ23" s="22">
        <f t="shared" si="1"/>
        <v>128</v>
      </c>
      <c r="AR23" s="23">
        <f t="shared" si="2"/>
        <v>-0.1349771689</v>
      </c>
      <c r="AS23" s="5"/>
    </row>
    <row r="24">
      <c r="A24" s="6" t="s">
        <v>77</v>
      </c>
      <c r="B24" s="5">
        <v>3.0</v>
      </c>
      <c r="C24" s="5">
        <v>4.0</v>
      </c>
      <c r="D24" s="5">
        <v>3.0</v>
      </c>
      <c r="E24" s="5">
        <v>3.0</v>
      </c>
      <c r="F24" s="5">
        <v>4.0</v>
      </c>
      <c r="G24" s="5">
        <v>5.0</v>
      </c>
      <c r="H24" s="5">
        <v>3.0</v>
      </c>
      <c r="I24" s="5">
        <v>4.0</v>
      </c>
      <c r="J24" s="5">
        <v>2.0</v>
      </c>
      <c r="K24" s="5">
        <v>4.0</v>
      </c>
      <c r="L24" s="5">
        <v>3.0</v>
      </c>
      <c r="M24" s="5">
        <v>3.0</v>
      </c>
      <c r="N24" s="5">
        <v>4.0</v>
      </c>
      <c r="O24" s="5">
        <v>3.0</v>
      </c>
      <c r="P24" s="5">
        <v>4.0</v>
      </c>
      <c r="Q24" s="5">
        <v>3.0</v>
      </c>
      <c r="R24" s="5">
        <v>5.0</v>
      </c>
      <c r="S24" s="5">
        <v>4.0</v>
      </c>
      <c r="T24" s="5">
        <v>3.0</v>
      </c>
      <c r="U24" s="5">
        <v>3.0</v>
      </c>
      <c r="V24" s="5">
        <v>1.0</v>
      </c>
      <c r="W24" s="5">
        <v>4.0</v>
      </c>
      <c r="X24" s="5">
        <v>4.0</v>
      </c>
      <c r="Y24" s="5">
        <v>3.0</v>
      </c>
      <c r="Z24" s="5">
        <v>3.0</v>
      </c>
      <c r="AA24" s="5">
        <v>3.0</v>
      </c>
      <c r="AB24" s="21">
        <v>1.0</v>
      </c>
      <c r="AC24" s="5">
        <v>3.0</v>
      </c>
      <c r="AD24" s="5">
        <v>2.0</v>
      </c>
      <c r="AE24" s="5">
        <v>5.0</v>
      </c>
      <c r="AF24" s="5">
        <v>3.0</v>
      </c>
      <c r="AG24" s="5">
        <v>1.0</v>
      </c>
      <c r="AH24" s="5">
        <v>4.0</v>
      </c>
      <c r="AI24" s="5">
        <v>5.0</v>
      </c>
      <c r="AJ24" s="5">
        <v>3.0</v>
      </c>
      <c r="AK24" s="5">
        <v>3.0</v>
      </c>
      <c r="AL24" s="5">
        <v>4.0</v>
      </c>
      <c r="AM24" s="5">
        <v>4.0</v>
      </c>
      <c r="AN24" s="5">
        <v>3.0</v>
      </c>
      <c r="AO24" s="5">
        <v>4.0</v>
      </c>
      <c r="AP24" s="5">
        <v>5.0</v>
      </c>
      <c r="AQ24" s="22">
        <f t="shared" si="1"/>
        <v>138</v>
      </c>
      <c r="AR24" s="23">
        <f t="shared" si="2"/>
        <v>-0.06739726027</v>
      </c>
      <c r="AS24" s="5"/>
    </row>
    <row r="25">
      <c r="A25" s="6" t="s">
        <v>78</v>
      </c>
      <c r="B25" s="5">
        <v>3.0</v>
      </c>
      <c r="C25" s="5">
        <v>3.0</v>
      </c>
      <c r="D25" s="5">
        <v>3.0</v>
      </c>
      <c r="E25" s="5">
        <v>4.0</v>
      </c>
      <c r="F25" s="5">
        <v>4.0</v>
      </c>
      <c r="G25" s="5">
        <v>5.0</v>
      </c>
      <c r="H25" s="5">
        <v>3.0</v>
      </c>
      <c r="I25" s="5">
        <v>3.0</v>
      </c>
      <c r="J25" s="5">
        <v>3.0</v>
      </c>
      <c r="K25" s="5">
        <v>3.0</v>
      </c>
      <c r="L25" s="5">
        <v>3.0</v>
      </c>
      <c r="M25" s="5">
        <v>4.0</v>
      </c>
      <c r="N25" s="5">
        <v>4.0</v>
      </c>
      <c r="O25" s="5">
        <v>3.0</v>
      </c>
      <c r="P25" s="5">
        <v>3.0</v>
      </c>
      <c r="Q25" s="5">
        <v>3.0</v>
      </c>
      <c r="R25" s="5">
        <v>4.0</v>
      </c>
      <c r="S25" s="5">
        <v>4.0</v>
      </c>
      <c r="T25" s="5">
        <v>3.0</v>
      </c>
      <c r="U25" s="5">
        <v>4.0</v>
      </c>
      <c r="V25" s="5">
        <v>1.0</v>
      </c>
      <c r="W25" s="5">
        <v>3.0</v>
      </c>
      <c r="X25" s="5">
        <v>4.0</v>
      </c>
      <c r="Y25" s="5">
        <v>4.0</v>
      </c>
      <c r="Z25" s="5">
        <v>3.0</v>
      </c>
      <c r="AA25" s="5">
        <v>5.0</v>
      </c>
      <c r="AB25" s="5">
        <v>3.0</v>
      </c>
      <c r="AC25" s="21">
        <v>1.0</v>
      </c>
      <c r="AD25" s="5">
        <v>4.0</v>
      </c>
      <c r="AE25" s="5">
        <v>5.0</v>
      </c>
      <c r="AF25" s="5">
        <v>3.0</v>
      </c>
      <c r="AG25" s="5">
        <v>4.0</v>
      </c>
      <c r="AH25" s="5">
        <v>5.0</v>
      </c>
      <c r="AI25" s="5">
        <v>5.0</v>
      </c>
      <c r="AJ25" s="5">
        <v>4.0</v>
      </c>
      <c r="AK25" s="5">
        <v>4.0</v>
      </c>
      <c r="AL25" s="5">
        <v>3.0</v>
      </c>
      <c r="AM25" s="5">
        <v>4.0</v>
      </c>
      <c r="AN25" s="5">
        <v>4.0</v>
      </c>
      <c r="AO25" s="5">
        <v>5.0</v>
      </c>
      <c r="AP25" s="5">
        <v>3.0</v>
      </c>
      <c r="AQ25" s="22">
        <f t="shared" si="1"/>
        <v>146</v>
      </c>
      <c r="AR25" s="23">
        <f t="shared" si="2"/>
        <v>-0.01333333333</v>
      </c>
      <c r="AS25" s="5"/>
    </row>
    <row r="26">
      <c r="A26" s="6" t="s">
        <v>79</v>
      </c>
      <c r="B26" s="5">
        <v>2.0</v>
      </c>
      <c r="C26" s="5">
        <v>3.0</v>
      </c>
      <c r="D26" s="5">
        <v>2.0</v>
      </c>
      <c r="E26" s="5">
        <v>4.0</v>
      </c>
      <c r="F26" s="5">
        <v>4.0</v>
      </c>
      <c r="G26" s="5">
        <v>3.0</v>
      </c>
      <c r="H26" s="5">
        <v>4.0</v>
      </c>
      <c r="I26" s="5">
        <v>4.0</v>
      </c>
      <c r="J26" s="5">
        <v>3.0</v>
      </c>
      <c r="K26" s="5">
        <v>3.0</v>
      </c>
      <c r="L26" s="5">
        <v>4.0</v>
      </c>
      <c r="M26" s="5">
        <v>4.0</v>
      </c>
      <c r="N26" s="5">
        <v>5.0</v>
      </c>
      <c r="O26" s="5">
        <v>4.0</v>
      </c>
      <c r="P26" s="5">
        <v>3.0</v>
      </c>
      <c r="Q26" s="5">
        <v>3.0</v>
      </c>
      <c r="R26" s="5">
        <v>5.0</v>
      </c>
      <c r="S26" s="5">
        <v>4.0</v>
      </c>
      <c r="T26" s="5">
        <v>3.0</v>
      </c>
      <c r="U26" s="5">
        <v>3.0</v>
      </c>
      <c r="V26" s="5">
        <v>1.0</v>
      </c>
      <c r="W26" s="5">
        <v>3.0</v>
      </c>
      <c r="X26" s="5">
        <v>4.0</v>
      </c>
      <c r="Y26" s="5">
        <v>3.0</v>
      </c>
      <c r="Z26" s="5">
        <v>4.0</v>
      </c>
      <c r="AA26" s="5">
        <v>5.0</v>
      </c>
      <c r="AB26" s="5">
        <v>4.0</v>
      </c>
      <c r="AC26" s="5">
        <v>4.0</v>
      </c>
      <c r="AD26" s="21">
        <v>1.0</v>
      </c>
      <c r="AE26" s="5">
        <v>4.0</v>
      </c>
      <c r="AF26" s="5">
        <v>3.0</v>
      </c>
      <c r="AG26" s="5">
        <v>5.0</v>
      </c>
      <c r="AH26" s="5">
        <v>5.0</v>
      </c>
      <c r="AI26" s="5">
        <v>5.0</v>
      </c>
      <c r="AJ26" s="5">
        <v>4.0</v>
      </c>
      <c r="AK26" s="5">
        <v>3.0</v>
      </c>
      <c r="AL26" s="5">
        <v>3.0</v>
      </c>
      <c r="AM26" s="5">
        <v>4.0</v>
      </c>
      <c r="AN26" s="5">
        <v>3.0</v>
      </c>
      <c r="AO26" s="5">
        <v>4.0</v>
      </c>
      <c r="AP26" s="5">
        <v>4.0</v>
      </c>
      <c r="AQ26" s="22">
        <f t="shared" si="1"/>
        <v>146</v>
      </c>
      <c r="AR26" s="23">
        <f t="shared" si="2"/>
        <v>-0.01333333333</v>
      </c>
      <c r="AS26" s="5"/>
    </row>
    <row r="27">
      <c r="A27" s="6" t="s">
        <v>80</v>
      </c>
      <c r="B27" s="5">
        <v>4.0</v>
      </c>
      <c r="C27" s="5">
        <v>4.0</v>
      </c>
      <c r="D27" s="5">
        <v>2.0</v>
      </c>
      <c r="E27" s="5">
        <v>4.0</v>
      </c>
      <c r="F27" s="5">
        <v>4.0</v>
      </c>
      <c r="G27" s="5">
        <v>4.0</v>
      </c>
      <c r="H27" s="5">
        <v>4.0</v>
      </c>
      <c r="I27" s="5">
        <v>3.0</v>
      </c>
      <c r="J27" s="5">
        <v>2.0</v>
      </c>
      <c r="K27" s="5">
        <v>3.0</v>
      </c>
      <c r="L27" s="5">
        <v>4.0</v>
      </c>
      <c r="M27" s="5">
        <v>4.0</v>
      </c>
      <c r="N27" s="5">
        <v>4.0</v>
      </c>
      <c r="O27" s="5">
        <v>3.0</v>
      </c>
      <c r="P27" s="5">
        <v>3.0</v>
      </c>
      <c r="Q27" s="5">
        <v>3.0</v>
      </c>
      <c r="R27" s="5">
        <v>4.0</v>
      </c>
      <c r="S27" s="5">
        <v>4.0</v>
      </c>
      <c r="T27" s="5">
        <v>2.0</v>
      </c>
      <c r="U27" s="5">
        <v>5.0</v>
      </c>
      <c r="V27" s="5">
        <v>1.0</v>
      </c>
      <c r="W27" s="5">
        <v>4.0</v>
      </c>
      <c r="X27" s="5">
        <v>4.0</v>
      </c>
      <c r="Y27" s="5">
        <v>4.0</v>
      </c>
      <c r="Z27" s="5">
        <v>4.0</v>
      </c>
      <c r="AA27" s="5">
        <v>4.0</v>
      </c>
      <c r="AB27" s="5">
        <v>4.0</v>
      </c>
      <c r="AC27" s="5">
        <v>4.0</v>
      </c>
      <c r="AD27" s="5">
        <v>4.0</v>
      </c>
      <c r="AE27" s="21">
        <v>1.0</v>
      </c>
      <c r="AF27" s="5">
        <v>2.0</v>
      </c>
      <c r="AG27" s="5">
        <v>5.0</v>
      </c>
      <c r="AH27" s="5">
        <v>5.0</v>
      </c>
      <c r="AI27" s="5">
        <v>4.0</v>
      </c>
      <c r="AJ27" s="5">
        <v>4.0</v>
      </c>
      <c r="AK27" s="5">
        <v>3.0</v>
      </c>
      <c r="AL27" s="5">
        <v>2.0</v>
      </c>
      <c r="AM27" s="5">
        <v>4.0</v>
      </c>
      <c r="AN27" s="5">
        <v>4.0</v>
      </c>
      <c r="AO27" s="5">
        <v>4.0</v>
      </c>
      <c r="AP27" s="5">
        <v>4.0</v>
      </c>
      <c r="AQ27" s="22">
        <f t="shared" si="1"/>
        <v>145</v>
      </c>
      <c r="AR27" s="23">
        <f t="shared" si="2"/>
        <v>-0.0200913242</v>
      </c>
      <c r="AS27" s="5"/>
    </row>
    <row r="28">
      <c r="A28" s="6" t="s">
        <v>81</v>
      </c>
      <c r="B28" s="5">
        <v>3.0</v>
      </c>
      <c r="C28" s="5">
        <v>3.0</v>
      </c>
      <c r="D28" s="5">
        <v>2.0</v>
      </c>
      <c r="E28" s="5">
        <v>4.0</v>
      </c>
      <c r="F28" s="5">
        <v>3.0</v>
      </c>
      <c r="G28" s="5">
        <v>4.0</v>
      </c>
      <c r="H28" s="5">
        <v>2.0</v>
      </c>
      <c r="I28" s="5">
        <v>1.0</v>
      </c>
      <c r="J28" s="5">
        <v>1.0</v>
      </c>
      <c r="K28" s="5">
        <v>3.0</v>
      </c>
      <c r="L28" s="5">
        <v>2.0</v>
      </c>
      <c r="M28" s="5">
        <v>4.0</v>
      </c>
      <c r="N28" s="5">
        <v>4.0</v>
      </c>
      <c r="O28" s="5">
        <v>3.0</v>
      </c>
      <c r="P28" s="5">
        <v>3.0</v>
      </c>
      <c r="Q28" s="5">
        <v>1.0</v>
      </c>
      <c r="R28" s="5">
        <v>4.0</v>
      </c>
      <c r="S28" s="5">
        <v>4.0</v>
      </c>
      <c r="T28" s="5">
        <v>4.0</v>
      </c>
      <c r="U28" s="5">
        <v>3.0</v>
      </c>
      <c r="V28" s="5">
        <v>1.0</v>
      </c>
      <c r="W28" s="5">
        <v>2.0</v>
      </c>
      <c r="X28" s="5">
        <v>5.0</v>
      </c>
      <c r="Y28" s="5">
        <v>4.0</v>
      </c>
      <c r="Z28" s="5">
        <v>3.0</v>
      </c>
      <c r="AA28" s="5">
        <v>4.0</v>
      </c>
      <c r="AB28" s="5">
        <v>4.0</v>
      </c>
      <c r="AC28" s="5">
        <v>3.0</v>
      </c>
      <c r="AD28" s="5">
        <v>3.0</v>
      </c>
      <c r="AE28" s="5">
        <v>2.0</v>
      </c>
      <c r="AF28" s="21">
        <v>1.0</v>
      </c>
      <c r="AG28" s="5">
        <v>4.0</v>
      </c>
      <c r="AH28" s="5">
        <v>4.0</v>
      </c>
      <c r="AI28" s="5">
        <v>3.0</v>
      </c>
      <c r="AJ28" s="5">
        <v>3.0</v>
      </c>
      <c r="AK28" s="5">
        <v>5.0</v>
      </c>
      <c r="AL28" s="5">
        <v>3.0</v>
      </c>
      <c r="AM28" s="5">
        <v>4.0</v>
      </c>
      <c r="AN28" s="5">
        <v>3.0</v>
      </c>
      <c r="AO28" s="5">
        <v>5.0</v>
      </c>
      <c r="AP28" s="5">
        <v>4.0</v>
      </c>
      <c r="AQ28" s="22">
        <f t="shared" si="1"/>
        <v>128</v>
      </c>
      <c r="AR28" s="23">
        <f t="shared" si="2"/>
        <v>-0.1349771689</v>
      </c>
      <c r="AS28" s="5"/>
    </row>
    <row r="29">
      <c r="A29" s="6" t="s">
        <v>82</v>
      </c>
      <c r="B29" s="5">
        <v>4.0</v>
      </c>
      <c r="C29" s="5">
        <v>4.0</v>
      </c>
      <c r="D29" s="5">
        <v>3.0</v>
      </c>
      <c r="E29" s="5">
        <v>5.0</v>
      </c>
      <c r="F29" s="5">
        <v>4.0</v>
      </c>
      <c r="G29" s="5">
        <v>5.0</v>
      </c>
      <c r="H29" s="5">
        <v>2.0</v>
      </c>
      <c r="I29" s="5">
        <v>3.0</v>
      </c>
      <c r="J29" s="5">
        <v>3.0</v>
      </c>
      <c r="K29" s="5">
        <v>3.0</v>
      </c>
      <c r="L29" s="5">
        <v>5.0</v>
      </c>
      <c r="M29" s="5">
        <v>4.0</v>
      </c>
      <c r="N29" s="5">
        <v>5.0</v>
      </c>
      <c r="O29" s="5">
        <v>3.0</v>
      </c>
      <c r="P29" s="5">
        <v>2.0</v>
      </c>
      <c r="Q29" s="5">
        <v>4.0</v>
      </c>
      <c r="R29" s="5">
        <v>4.0</v>
      </c>
      <c r="S29" s="5">
        <v>3.0</v>
      </c>
      <c r="T29" s="5">
        <v>2.0</v>
      </c>
      <c r="U29" s="5">
        <v>2.0</v>
      </c>
      <c r="V29" s="5">
        <v>1.0</v>
      </c>
      <c r="W29" s="5">
        <v>3.0</v>
      </c>
      <c r="X29" s="5">
        <v>3.0</v>
      </c>
      <c r="Y29" s="5">
        <v>4.0</v>
      </c>
      <c r="Z29" s="5">
        <v>5.0</v>
      </c>
      <c r="AA29" s="5">
        <v>5.0</v>
      </c>
      <c r="AB29" s="5">
        <v>2.0</v>
      </c>
      <c r="AC29" s="5">
        <v>4.0</v>
      </c>
      <c r="AD29" s="5">
        <v>4.0</v>
      </c>
      <c r="AE29" s="5">
        <v>2.0</v>
      </c>
      <c r="AF29" s="5">
        <v>2.0</v>
      </c>
      <c r="AG29" s="21">
        <v>1.0</v>
      </c>
      <c r="AH29" s="5">
        <v>5.0</v>
      </c>
      <c r="AI29" s="5">
        <v>4.0</v>
      </c>
      <c r="AJ29" s="5">
        <v>5.0</v>
      </c>
      <c r="AK29" s="5">
        <v>4.0</v>
      </c>
      <c r="AL29" s="5">
        <v>2.0</v>
      </c>
      <c r="AM29" s="5">
        <v>5.0</v>
      </c>
      <c r="AN29" s="5">
        <v>4.0</v>
      </c>
      <c r="AO29" s="5">
        <v>5.0</v>
      </c>
      <c r="AP29" s="5">
        <v>5.0</v>
      </c>
      <c r="AQ29" s="22">
        <f t="shared" si="1"/>
        <v>145</v>
      </c>
      <c r="AR29" s="23">
        <f t="shared" si="2"/>
        <v>-0.0200913242</v>
      </c>
      <c r="AS29" s="5"/>
    </row>
    <row r="30">
      <c r="A30" s="6" t="s">
        <v>83</v>
      </c>
      <c r="B30" s="5">
        <v>3.0</v>
      </c>
      <c r="C30" s="5">
        <v>3.0</v>
      </c>
      <c r="D30" s="5">
        <v>2.0</v>
      </c>
      <c r="E30" s="5">
        <v>4.0</v>
      </c>
      <c r="F30" s="5">
        <v>4.0</v>
      </c>
      <c r="G30" s="5">
        <v>5.0</v>
      </c>
      <c r="H30" s="5">
        <v>3.0</v>
      </c>
      <c r="I30" s="5">
        <v>4.0</v>
      </c>
      <c r="J30" s="5">
        <v>3.0</v>
      </c>
      <c r="K30" s="5">
        <v>3.0</v>
      </c>
      <c r="L30" s="5">
        <v>3.0</v>
      </c>
      <c r="M30" s="5">
        <v>3.0</v>
      </c>
      <c r="N30" s="5">
        <v>5.0</v>
      </c>
      <c r="O30" s="5">
        <v>2.0</v>
      </c>
      <c r="P30" s="5">
        <v>4.0</v>
      </c>
      <c r="Q30" s="5">
        <v>3.0</v>
      </c>
      <c r="R30" s="5">
        <v>4.0</v>
      </c>
      <c r="S30" s="5">
        <v>4.0</v>
      </c>
      <c r="T30" s="5">
        <v>3.0</v>
      </c>
      <c r="U30" s="5">
        <v>3.0</v>
      </c>
      <c r="V30" s="5">
        <v>1.0</v>
      </c>
      <c r="W30" s="5">
        <v>3.0</v>
      </c>
      <c r="X30" s="5">
        <v>3.0</v>
      </c>
      <c r="Y30" s="5">
        <v>3.0</v>
      </c>
      <c r="Z30" s="5">
        <v>3.0</v>
      </c>
      <c r="AA30" s="5">
        <v>4.0</v>
      </c>
      <c r="AB30" s="5">
        <v>3.0</v>
      </c>
      <c r="AC30" s="5">
        <v>3.0</v>
      </c>
      <c r="AD30" s="5">
        <v>4.0</v>
      </c>
      <c r="AE30" s="5">
        <v>5.0</v>
      </c>
      <c r="AF30" s="5">
        <v>3.0</v>
      </c>
      <c r="AG30" s="5">
        <v>4.0</v>
      </c>
      <c r="AH30" s="21">
        <v>1.0</v>
      </c>
      <c r="AI30" s="5">
        <v>5.0</v>
      </c>
      <c r="AJ30" s="5">
        <v>3.0</v>
      </c>
      <c r="AK30" s="5">
        <v>4.0</v>
      </c>
      <c r="AL30" s="5">
        <v>4.0</v>
      </c>
      <c r="AM30" s="5">
        <v>5.0</v>
      </c>
      <c r="AN30" s="5">
        <v>3.0</v>
      </c>
      <c r="AO30" s="5">
        <v>5.0</v>
      </c>
      <c r="AP30" s="5">
        <v>5.0</v>
      </c>
      <c r="AQ30" s="22">
        <f t="shared" si="1"/>
        <v>142</v>
      </c>
      <c r="AR30" s="23">
        <f t="shared" si="2"/>
        <v>-0.0403652968</v>
      </c>
      <c r="AS30" s="5"/>
    </row>
    <row r="31">
      <c r="A31" s="6" t="s">
        <v>84</v>
      </c>
      <c r="B31" s="5">
        <v>3.0</v>
      </c>
      <c r="C31" s="5">
        <v>3.0</v>
      </c>
      <c r="D31" s="5">
        <v>3.0</v>
      </c>
      <c r="E31" s="5">
        <v>5.0</v>
      </c>
      <c r="F31" s="5">
        <v>4.0</v>
      </c>
      <c r="G31" s="5">
        <v>5.0</v>
      </c>
      <c r="H31" s="5">
        <v>3.0</v>
      </c>
      <c r="I31" s="5">
        <v>5.0</v>
      </c>
      <c r="J31" s="5">
        <v>4.0</v>
      </c>
      <c r="K31" s="5">
        <v>5.0</v>
      </c>
      <c r="L31" s="5">
        <v>5.0</v>
      </c>
      <c r="M31" s="5">
        <v>4.0</v>
      </c>
      <c r="N31" s="5">
        <v>5.0</v>
      </c>
      <c r="O31" s="5">
        <v>4.0</v>
      </c>
      <c r="P31" s="5">
        <v>4.0</v>
      </c>
      <c r="Q31" s="5">
        <v>4.0</v>
      </c>
      <c r="R31" s="5">
        <v>4.0</v>
      </c>
      <c r="S31" s="5">
        <v>4.0</v>
      </c>
      <c r="T31" s="5">
        <v>3.0</v>
      </c>
      <c r="U31" s="5">
        <v>4.0</v>
      </c>
      <c r="V31" s="5">
        <v>1.0</v>
      </c>
      <c r="W31" s="5">
        <v>4.0</v>
      </c>
      <c r="X31" s="5">
        <v>4.0</v>
      </c>
      <c r="Y31" s="5">
        <v>4.0</v>
      </c>
      <c r="Z31" s="5">
        <v>4.0</v>
      </c>
      <c r="AA31" s="5">
        <v>3.0</v>
      </c>
      <c r="AB31" s="5">
        <v>3.0</v>
      </c>
      <c r="AC31" s="5">
        <v>4.0</v>
      </c>
      <c r="AD31" s="5">
        <v>4.0</v>
      </c>
      <c r="AE31" s="5">
        <v>5.0</v>
      </c>
      <c r="AF31" s="5">
        <v>3.0</v>
      </c>
      <c r="AG31" s="5">
        <v>4.0</v>
      </c>
      <c r="AH31" s="5">
        <v>5.0</v>
      </c>
      <c r="AI31" s="21">
        <v>1.0</v>
      </c>
      <c r="AJ31" s="5">
        <v>4.0</v>
      </c>
      <c r="AK31" s="5">
        <v>4.0</v>
      </c>
      <c r="AL31" s="5">
        <v>4.0</v>
      </c>
      <c r="AM31" s="5">
        <v>4.0</v>
      </c>
      <c r="AN31" s="5">
        <v>4.0</v>
      </c>
      <c r="AO31" s="5">
        <v>5.0</v>
      </c>
      <c r="AP31" s="5">
        <v>4.0</v>
      </c>
      <c r="AQ31" s="22">
        <f t="shared" si="1"/>
        <v>159</v>
      </c>
      <c r="AR31" s="23">
        <f t="shared" si="2"/>
        <v>0.07452054795</v>
      </c>
      <c r="AS31" s="5"/>
    </row>
    <row r="32">
      <c r="A32" s="6" t="s">
        <v>85</v>
      </c>
      <c r="B32" s="5">
        <v>3.0</v>
      </c>
      <c r="C32" s="5">
        <v>4.0</v>
      </c>
      <c r="D32" s="5">
        <v>3.0</v>
      </c>
      <c r="E32" s="5">
        <v>5.0</v>
      </c>
      <c r="F32" s="5">
        <v>4.0</v>
      </c>
      <c r="G32" s="5">
        <v>5.0</v>
      </c>
      <c r="H32" s="5">
        <v>4.0</v>
      </c>
      <c r="I32" s="5">
        <v>4.0</v>
      </c>
      <c r="J32" s="5">
        <v>4.0</v>
      </c>
      <c r="K32" s="5">
        <v>4.0</v>
      </c>
      <c r="L32" s="5">
        <v>4.0</v>
      </c>
      <c r="M32" s="5">
        <v>4.0</v>
      </c>
      <c r="N32" s="5">
        <v>5.0</v>
      </c>
      <c r="O32" s="5">
        <v>3.0</v>
      </c>
      <c r="P32" s="5">
        <v>4.0</v>
      </c>
      <c r="Q32" s="5">
        <v>4.0</v>
      </c>
      <c r="R32" s="5">
        <v>4.0</v>
      </c>
      <c r="S32" s="5">
        <v>5.0</v>
      </c>
      <c r="T32" s="5">
        <v>4.0</v>
      </c>
      <c r="U32" s="5">
        <v>5.0</v>
      </c>
      <c r="V32" s="5">
        <v>1.0</v>
      </c>
      <c r="W32" s="5">
        <v>4.0</v>
      </c>
      <c r="X32" s="5">
        <v>5.0</v>
      </c>
      <c r="Y32" s="5">
        <v>4.0</v>
      </c>
      <c r="Z32" s="5">
        <v>4.0</v>
      </c>
      <c r="AA32" s="5">
        <v>5.0</v>
      </c>
      <c r="AB32" s="5">
        <v>4.0</v>
      </c>
      <c r="AC32" s="5">
        <v>5.0</v>
      </c>
      <c r="AD32" s="5">
        <v>5.0</v>
      </c>
      <c r="AE32" s="5">
        <v>5.0</v>
      </c>
      <c r="AF32" s="5">
        <v>3.0</v>
      </c>
      <c r="AG32" s="5">
        <v>4.0</v>
      </c>
      <c r="AH32" s="5">
        <v>5.0</v>
      </c>
      <c r="AI32" s="5">
        <v>4.0</v>
      </c>
      <c r="AJ32" s="21">
        <v>1.0</v>
      </c>
      <c r="AK32" s="5">
        <v>5.0</v>
      </c>
      <c r="AL32" s="5">
        <v>3.0</v>
      </c>
      <c r="AM32" s="5">
        <v>4.0</v>
      </c>
      <c r="AN32" s="5">
        <v>4.0</v>
      </c>
      <c r="AO32" s="5">
        <v>5.0</v>
      </c>
      <c r="AP32" s="5">
        <v>4.0</v>
      </c>
      <c r="AQ32" s="22">
        <f t="shared" si="1"/>
        <v>166</v>
      </c>
      <c r="AR32" s="23">
        <f t="shared" si="2"/>
        <v>0.121826484</v>
      </c>
      <c r="AS32" s="5"/>
    </row>
    <row r="33">
      <c r="A33" s="6" t="s">
        <v>86</v>
      </c>
      <c r="B33" s="5">
        <v>3.0</v>
      </c>
      <c r="C33" s="5">
        <v>4.0</v>
      </c>
      <c r="D33" s="5">
        <v>3.0</v>
      </c>
      <c r="E33" s="5">
        <v>4.0</v>
      </c>
      <c r="F33" s="5">
        <v>3.0</v>
      </c>
      <c r="G33" s="5">
        <v>4.0</v>
      </c>
      <c r="H33" s="5">
        <v>3.0</v>
      </c>
      <c r="I33" s="5">
        <v>4.0</v>
      </c>
      <c r="J33" s="5">
        <v>3.0</v>
      </c>
      <c r="K33" s="5">
        <v>3.0</v>
      </c>
      <c r="L33" s="5">
        <v>3.0</v>
      </c>
      <c r="M33" s="5">
        <v>4.0</v>
      </c>
      <c r="N33" s="5">
        <v>4.0</v>
      </c>
      <c r="O33" s="5">
        <v>3.0</v>
      </c>
      <c r="P33" s="5">
        <v>3.0</v>
      </c>
      <c r="Q33" s="5">
        <v>4.0</v>
      </c>
      <c r="R33" s="5">
        <v>4.0</v>
      </c>
      <c r="S33" s="5">
        <v>5.0</v>
      </c>
      <c r="T33" s="5">
        <v>3.0</v>
      </c>
      <c r="U33" s="5">
        <v>3.0</v>
      </c>
      <c r="V33" s="5">
        <v>2.0</v>
      </c>
      <c r="W33" s="5">
        <v>3.0</v>
      </c>
      <c r="X33" s="5">
        <v>3.0</v>
      </c>
      <c r="Y33" s="5">
        <v>3.0</v>
      </c>
      <c r="Z33" s="5">
        <v>3.0</v>
      </c>
      <c r="AA33" s="5">
        <v>4.0</v>
      </c>
      <c r="AB33" s="5">
        <v>5.0</v>
      </c>
      <c r="AC33" s="5">
        <v>5.0</v>
      </c>
      <c r="AD33" s="5">
        <v>4.0</v>
      </c>
      <c r="AE33" s="5">
        <v>4.0</v>
      </c>
      <c r="AF33" s="5">
        <v>3.0</v>
      </c>
      <c r="AG33" s="5">
        <v>5.0</v>
      </c>
      <c r="AH33" s="5">
        <v>4.0</v>
      </c>
      <c r="AI33" s="5">
        <v>4.0</v>
      </c>
      <c r="AJ33" s="5">
        <v>4.0</v>
      </c>
      <c r="AK33" s="21">
        <v>1.0</v>
      </c>
      <c r="AL33" s="5">
        <v>3.0</v>
      </c>
      <c r="AM33" s="5">
        <v>5.0</v>
      </c>
      <c r="AN33" s="5">
        <v>4.0</v>
      </c>
      <c r="AO33" s="5">
        <v>5.0</v>
      </c>
      <c r="AP33" s="5">
        <v>3.0</v>
      </c>
      <c r="AQ33" s="22">
        <f t="shared" si="1"/>
        <v>147</v>
      </c>
      <c r="AR33" s="23">
        <f t="shared" si="2"/>
        <v>-0.006575342466</v>
      </c>
      <c r="AS33" s="5"/>
    </row>
    <row r="34">
      <c r="A34" s="6" t="s">
        <v>87</v>
      </c>
      <c r="B34" s="5">
        <v>4.0</v>
      </c>
      <c r="C34" s="5">
        <v>3.0</v>
      </c>
      <c r="D34" s="5">
        <v>3.0</v>
      </c>
      <c r="E34" s="5">
        <v>4.0</v>
      </c>
      <c r="F34" s="5">
        <v>4.0</v>
      </c>
      <c r="G34" s="5">
        <v>4.0</v>
      </c>
      <c r="H34" s="5">
        <v>3.0</v>
      </c>
      <c r="I34" s="5">
        <v>4.0</v>
      </c>
      <c r="J34" s="5">
        <v>3.0</v>
      </c>
      <c r="K34" s="5">
        <v>3.0</v>
      </c>
      <c r="L34" s="5">
        <v>4.0</v>
      </c>
      <c r="M34" s="5">
        <v>3.0</v>
      </c>
      <c r="N34" s="5">
        <v>5.0</v>
      </c>
      <c r="O34" s="5">
        <v>3.0</v>
      </c>
      <c r="P34" s="5">
        <v>3.0</v>
      </c>
      <c r="Q34" s="5">
        <v>3.0</v>
      </c>
      <c r="R34" s="5">
        <v>4.0</v>
      </c>
      <c r="S34" s="5">
        <v>3.0</v>
      </c>
      <c r="T34" s="5">
        <v>3.0</v>
      </c>
      <c r="U34" s="5">
        <v>4.0</v>
      </c>
      <c r="V34" s="5">
        <v>1.0</v>
      </c>
      <c r="W34" s="5">
        <v>3.0</v>
      </c>
      <c r="X34" s="5">
        <v>3.0</v>
      </c>
      <c r="Y34" s="5">
        <v>3.0</v>
      </c>
      <c r="Z34" s="5">
        <v>4.0</v>
      </c>
      <c r="AA34" s="5">
        <v>5.0</v>
      </c>
      <c r="AB34" s="5">
        <v>4.0</v>
      </c>
      <c r="AC34" s="5">
        <v>5.0</v>
      </c>
      <c r="AD34" s="5">
        <v>4.0</v>
      </c>
      <c r="AE34" s="5">
        <v>5.0</v>
      </c>
      <c r="AF34" s="5">
        <v>3.0</v>
      </c>
      <c r="AG34" s="5">
        <v>4.0</v>
      </c>
      <c r="AH34" s="5">
        <v>4.0</v>
      </c>
      <c r="AI34" s="5">
        <v>4.0</v>
      </c>
      <c r="AJ34" s="5">
        <v>4.0</v>
      </c>
      <c r="AK34" s="5">
        <v>5.0</v>
      </c>
      <c r="AL34" s="21">
        <v>1.0</v>
      </c>
      <c r="AM34" s="5">
        <v>3.0</v>
      </c>
      <c r="AN34" s="5">
        <v>4.0</v>
      </c>
      <c r="AO34" s="5">
        <v>4.0</v>
      </c>
      <c r="AP34" s="5">
        <v>4.0</v>
      </c>
      <c r="AQ34" s="22">
        <f t="shared" si="1"/>
        <v>147</v>
      </c>
      <c r="AR34" s="23">
        <f t="shared" si="2"/>
        <v>-0.006575342466</v>
      </c>
      <c r="AS34" s="5"/>
    </row>
    <row r="35">
      <c r="A35" s="6" t="s">
        <v>88</v>
      </c>
      <c r="B35" s="5">
        <v>4.0</v>
      </c>
      <c r="C35" s="5">
        <v>4.0</v>
      </c>
      <c r="D35" s="5">
        <v>3.0</v>
      </c>
      <c r="E35" s="5">
        <v>5.0</v>
      </c>
      <c r="F35" s="5">
        <v>5.0</v>
      </c>
      <c r="G35" s="5">
        <v>5.0</v>
      </c>
      <c r="H35" s="5">
        <v>4.0</v>
      </c>
      <c r="I35" s="5">
        <v>4.0</v>
      </c>
      <c r="J35" s="5">
        <v>4.0</v>
      </c>
      <c r="K35" s="5">
        <v>4.0</v>
      </c>
      <c r="L35" s="5">
        <v>5.0</v>
      </c>
      <c r="M35" s="5">
        <v>5.0</v>
      </c>
      <c r="N35" s="5">
        <v>5.0</v>
      </c>
      <c r="O35" s="5">
        <v>3.0</v>
      </c>
      <c r="P35" s="5">
        <v>4.0</v>
      </c>
      <c r="Q35" s="5">
        <v>4.0</v>
      </c>
      <c r="R35" s="5">
        <v>5.0</v>
      </c>
      <c r="S35" s="5">
        <v>4.0</v>
      </c>
      <c r="T35" s="5">
        <v>4.0</v>
      </c>
      <c r="U35" s="5">
        <v>4.0</v>
      </c>
      <c r="V35" s="5">
        <v>1.0</v>
      </c>
      <c r="W35" s="5">
        <v>4.0</v>
      </c>
      <c r="X35" s="5">
        <v>4.0</v>
      </c>
      <c r="Y35" s="5">
        <v>4.0</v>
      </c>
      <c r="Z35" s="5">
        <v>4.0</v>
      </c>
      <c r="AA35" s="5">
        <v>5.0</v>
      </c>
      <c r="AB35" s="5">
        <v>4.0</v>
      </c>
      <c r="AC35" s="5">
        <v>4.0</v>
      </c>
      <c r="AD35" s="5">
        <v>5.0</v>
      </c>
      <c r="AE35" s="5">
        <v>5.0</v>
      </c>
      <c r="AF35" s="5">
        <v>3.0</v>
      </c>
      <c r="AG35" s="5">
        <v>4.0</v>
      </c>
      <c r="AH35" s="5">
        <v>5.0</v>
      </c>
      <c r="AI35" s="5">
        <v>5.0</v>
      </c>
      <c r="AJ35" s="5">
        <v>4.0</v>
      </c>
      <c r="AK35" s="5">
        <v>4.0</v>
      </c>
      <c r="AL35" s="5">
        <v>4.0</v>
      </c>
      <c r="AM35" s="21">
        <v>1.0</v>
      </c>
      <c r="AN35" s="5">
        <v>4.0</v>
      </c>
      <c r="AO35" s="5">
        <v>5.0</v>
      </c>
      <c r="AP35" s="5">
        <v>5.0</v>
      </c>
      <c r="AQ35" s="22">
        <f t="shared" si="1"/>
        <v>169</v>
      </c>
      <c r="AR35" s="23">
        <f t="shared" si="2"/>
        <v>0.1421004566</v>
      </c>
      <c r="AS35" s="5"/>
    </row>
    <row r="36">
      <c r="A36" s="6" t="s">
        <v>89</v>
      </c>
      <c r="B36" s="5">
        <v>3.0</v>
      </c>
      <c r="C36" s="5">
        <v>3.0</v>
      </c>
      <c r="D36" s="5">
        <v>3.0</v>
      </c>
      <c r="E36" s="5">
        <v>3.0</v>
      </c>
      <c r="F36" s="5">
        <v>3.0</v>
      </c>
      <c r="G36" s="5">
        <v>5.0</v>
      </c>
      <c r="H36" s="5">
        <v>3.0</v>
      </c>
      <c r="I36" s="5">
        <v>5.0</v>
      </c>
      <c r="J36" s="5">
        <v>3.0</v>
      </c>
      <c r="K36" s="5">
        <v>3.0</v>
      </c>
      <c r="L36" s="5">
        <v>4.0</v>
      </c>
      <c r="M36" s="5">
        <v>5.0</v>
      </c>
      <c r="N36" s="5">
        <v>4.0</v>
      </c>
      <c r="O36" s="5">
        <v>3.0</v>
      </c>
      <c r="P36" s="5">
        <v>5.0</v>
      </c>
      <c r="Q36" s="5">
        <v>5.0</v>
      </c>
      <c r="R36" s="5">
        <v>3.0</v>
      </c>
      <c r="S36" s="5">
        <v>3.0</v>
      </c>
      <c r="T36" s="5">
        <v>3.0</v>
      </c>
      <c r="U36" s="5">
        <v>3.0</v>
      </c>
      <c r="V36" s="5">
        <v>3.0</v>
      </c>
      <c r="W36" s="5">
        <v>4.0</v>
      </c>
      <c r="X36" s="5">
        <v>3.0</v>
      </c>
      <c r="Y36" s="5">
        <v>3.0</v>
      </c>
      <c r="Z36" s="5">
        <v>5.0</v>
      </c>
      <c r="AA36" s="5">
        <v>4.0</v>
      </c>
      <c r="AB36" s="5">
        <v>5.0</v>
      </c>
      <c r="AC36" s="5">
        <v>3.0</v>
      </c>
      <c r="AD36" s="5">
        <v>3.0</v>
      </c>
      <c r="AE36" s="5">
        <v>5.0</v>
      </c>
      <c r="AF36" s="5">
        <v>3.0</v>
      </c>
      <c r="AG36" s="5">
        <v>5.0</v>
      </c>
      <c r="AH36" s="5">
        <v>5.0</v>
      </c>
      <c r="AI36" s="5">
        <v>3.0</v>
      </c>
      <c r="AJ36" s="5">
        <v>3.0</v>
      </c>
      <c r="AK36" s="5">
        <v>3.0</v>
      </c>
      <c r="AL36" s="5">
        <v>3.0</v>
      </c>
      <c r="AM36" s="5">
        <v>3.0</v>
      </c>
      <c r="AN36" s="21">
        <v>1.0</v>
      </c>
      <c r="AO36" s="5">
        <v>4.0</v>
      </c>
      <c r="AP36" s="5">
        <v>4.0</v>
      </c>
      <c r="AQ36" s="22">
        <f t="shared" si="1"/>
        <v>147</v>
      </c>
      <c r="AR36" s="23">
        <f t="shared" si="2"/>
        <v>-0.006575342466</v>
      </c>
      <c r="AS36" s="5"/>
    </row>
    <row r="37">
      <c r="A37" s="6" t="s">
        <v>90</v>
      </c>
      <c r="B37" s="5">
        <v>3.0</v>
      </c>
      <c r="C37" s="5">
        <v>3.0</v>
      </c>
      <c r="D37" s="5">
        <v>3.0</v>
      </c>
      <c r="E37" s="5">
        <v>4.0</v>
      </c>
      <c r="F37" s="5">
        <v>4.0</v>
      </c>
      <c r="G37" s="5">
        <v>5.0</v>
      </c>
      <c r="H37" s="5">
        <v>3.0</v>
      </c>
      <c r="I37" s="5">
        <v>4.0</v>
      </c>
      <c r="J37" s="5">
        <v>3.0</v>
      </c>
      <c r="K37" s="5">
        <v>3.0</v>
      </c>
      <c r="L37" s="5">
        <v>4.0</v>
      </c>
      <c r="M37" s="5">
        <v>4.0</v>
      </c>
      <c r="N37" s="5">
        <v>5.0</v>
      </c>
      <c r="O37" s="5">
        <v>3.0</v>
      </c>
      <c r="P37" s="5">
        <v>3.0</v>
      </c>
      <c r="Q37" s="5">
        <v>4.0</v>
      </c>
      <c r="R37" s="5">
        <v>4.0</v>
      </c>
      <c r="S37" s="5">
        <v>4.0</v>
      </c>
      <c r="T37" s="5">
        <v>3.0</v>
      </c>
      <c r="U37" s="5">
        <v>4.0</v>
      </c>
      <c r="V37" s="5">
        <v>1.0</v>
      </c>
      <c r="W37" s="5">
        <v>3.0</v>
      </c>
      <c r="X37" s="5">
        <v>3.0</v>
      </c>
      <c r="Y37" s="5">
        <v>4.0</v>
      </c>
      <c r="Z37" s="5">
        <v>5.0</v>
      </c>
      <c r="AA37" s="5">
        <v>4.0</v>
      </c>
      <c r="AB37" s="5">
        <v>3.0</v>
      </c>
      <c r="AC37" s="5">
        <v>3.0</v>
      </c>
      <c r="AD37" s="5">
        <v>3.0</v>
      </c>
      <c r="AE37" s="5">
        <v>5.0</v>
      </c>
      <c r="AF37" s="5">
        <v>3.0</v>
      </c>
      <c r="AG37" s="5">
        <v>5.0</v>
      </c>
      <c r="AH37" s="5">
        <v>5.0</v>
      </c>
      <c r="AI37" s="5">
        <v>4.0</v>
      </c>
      <c r="AJ37" s="5">
        <v>3.0</v>
      </c>
      <c r="AK37" s="5">
        <v>4.0</v>
      </c>
      <c r="AL37" s="5">
        <v>3.0</v>
      </c>
      <c r="AM37" s="5">
        <v>4.0</v>
      </c>
      <c r="AN37" s="5">
        <v>4.0</v>
      </c>
      <c r="AO37" s="21">
        <v>1.0</v>
      </c>
      <c r="AP37" s="5">
        <v>4.0</v>
      </c>
      <c r="AQ37" s="22">
        <f t="shared" si="1"/>
        <v>147</v>
      </c>
      <c r="AR37" s="23">
        <f t="shared" si="2"/>
        <v>-0.006575342466</v>
      </c>
      <c r="AS37" s="5"/>
    </row>
    <row r="38">
      <c r="A38" s="6" t="s">
        <v>91</v>
      </c>
      <c r="B38" s="5">
        <v>3.0</v>
      </c>
      <c r="C38" s="5">
        <v>3.0</v>
      </c>
      <c r="D38" s="5">
        <v>3.0</v>
      </c>
      <c r="E38" s="5">
        <v>4.0</v>
      </c>
      <c r="F38" s="5">
        <v>3.0</v>
      </c>
      <c r="G38" s="5">
        <v>5.0</v>
      </c>
      <c r="H38" s="5">
        <v>3.0</v>
      </c>
      <c r="I38" s="5">
        <v>5.0</v>
      </c>
      <c r="J38" s="5">
        <v>4.0</v>
      </c>
      <c r="K38" s="5">
        <v>4.0</v>
      </c>
      <c r="L38" s="5">
        <v>4.0</v>
      </c>
      <c r="M38" s="5">
        <v>5.0</v>
      </c>
      <c r="N38" s="5">
        <v>5.0</v>
      </c>
      <c r="O38" s="5">
        <v>2.0</v>
      </c>
      <c r="P38" s="5">
        <v>2.0</v>
      </c>
      <c r="Q38" s="5">
        <v>3.0</v>
      </c>
      <c r="R38" s="5">
        <v>4.0</v>
      </c>
      <c r="S38" s="5">
        <v>4.0</v>
      </c>
      <c r="T38" s="5">
        <v>3.0</v>
      </c>
      <c r="U38" s="5">
        <v>4.0</v>
      </c>
      <c r="V38" s="5">
        <v>1.0</v>
      </c>
      <c r="W38" s="5">
        <v>3.0</v>
      </c>
      <c r="X38" s="5">
        <v>3.0</v>
      </c>
      <c r="Y38" s="5">
        <v>5.0</v>
      </c>
      <c r="Z38" s="5">
        <v>3.0</v>
      </c>
      <c r="AA38" s="5">
        <v>4.0</v>
      </c>
      <c r="AB38" s="5">
        <v>3.0</v>
      </c>
      <c r="AC38" s="5">
        <v>4.0</v>
      </c>
      <c r="AD38" s="5">
        <v>3.0</v>
      </c>
      <c r="AE38" s="5">
        <v>4.0</v>
      </c>
      <c r="AF38" s="5">
        <v>3.0</v>
      </c>
      <c r="AG38" s="5">
        <v>4.0</v>
      </c>
      <c r="AH38" s="5">
        <v>4.0</v>
      </c>
      <c r="AI38" s="5">
        <v>4.0</v>
      </c>
      <c r="AJ38" s="5">
        <v>4.0</v>
      </c>
      <c r="AK38" s="5">
        <v>3.0</v>
      </c>
      <c r="AL38" s="5">
        <v>3.0</v>
      </c>
      <c r="AM38" s="5">
        <v>4.0</v>
      </c>
      <c r="AN38" s="5">
        <v>3.0</v>
      </c>
      <c r="AO38" s="5">
        <v>5.0</v>
      </c>
      <c r="AP38" s="21">
        <v>1.0</v>
      </c>
      <c r="AQ38" s="22">
        <f t="shared" si="1"/>
        <v>144</v>
      </c>
      <c r="AR38" s="23">
        <f t="shared" si="2"/>
        <v>-0.02684931507</v>
      </c>
      <c r="AS38" s="11"/>
    </row>
    <row r="39">
      <c r="A39" s="24" t="s">
        <v>1</v>
      </c>
      <c r="B39" s="22">
        <f t="shared" ref="B39:AP39" si="3">SUM(B2:B38)</f>
        <v>113</v>
      </c>
      <c r="C39" s="22">
        <f t="shared" si="3"/>
        <v>128</v>
      </c>
      <c r="D39" s="22">
        <f t="shared" si="3"/>
        <v>110</v>
      </c>
      <c r="E39" s="22">
        <f t="shared" si="3"/>
        <v>149</v>
      </c>
      <c r="F39" s="22">
        <f t="shared" si="3"/>
        <v>136</v>
      </c>
      <c r="G39" s="22">
        <f t="shared" si="3"/>
        <v>162</v>
      </c>
      <c r="H39" s="22">
        <f t="shared" si="3"/>
        <v>121</v>
      </c>
      <c r="I39" s="22">
        <f t="shared" si="3"/>
        <v>140</v>
      </c>
      <c r="J39" s="22">
        <f t="shared" si="3"/>
        <v>113</v>
      </c>
      <c r="K39" s="22">
        <f t="shared" si="3"/>
        <v>127</v>
      </c>
      <c r="L39" s="22">
        <f t="shared" si="3"/>
        <v>143</v>
      </c>
      <c r="M39" s="22">
        <f t="shared" si="3"/>
        <v>147</v>
      </c>
      <c r="N39" s="22">
        <f t="shared" si="3"/>
        <v>157</v>
      </c>
      <c r="O39" s="22">
        <f t="shared" si="3"/>
        <v>115</v>
      </c>
      <c r="P39" s="22">
        <f t="shared" si="3"/>
        <v>119</v>
      </c>
      <c r="Q39" s="22">
        <f t="shared" si="3"/>
        <v>126</v>
      </c>
      <c r="R39" s="22">
        <f t="shared" si="3"/>
        <v>145</v>
      </c>
      <c r="S39" s="22">
        <f t="shared" si="3"/>
        <v>138</v>
      </c>
      <c r="T39" s="22">
        <f t="shared" si="3"/>
        <v>112</v>
      </c>
      <c r="U39" s="22">
        <f t="shared" si="3"/>
        <v>135</v>
      </c>
      <c r="V39" s="22">
        <f t="shared" si="3"/>
        <v>42</v>
      </c>
      <c r="W39" s="22">
        <f t="shared" si="3"/>
        <v>113</v>
      </c>
      <c r="X39" s="22">
        <f t="shared" si="3"/>
        <v>135</v>
      </c>
      <c r="Y39" s="22">
        <f t="shared" si="3"/>
        <v>139</v>
      </c>
      <c r="Z39" s="22">
        <f t="shared" si="3"/>
        <v>131</v>
      </c>
      <c r="AA39" s="22">
        <f t="shared" si="3"/>
        <v>157</v>
      </c>
      <c r="AB39" s="22">
        <f t="shared" si="3"/>
        <v>133</v>
      </c>
      <c r="AC39" s="22">
        <f t="shared" si="3"/>
        <v>142</v>
      </c>
      <c r="AD39" s="22">
        <f t="shared" si="3"/>
        <v>136</v>
      </c>
      <c r="AE39" s="22">
        <f t="shared" si="3"/>
        <v>160</v>
      </c>
      <c r="AF39" s="22">
        <f t="shared" si="3"/>
        <v>105</v>
      </c>
      <c r="AG39" s="22">
        <f t="shared" si="3"/>
        <v>153</v>
      </c>
      <c r="AH39" s="22">
        <f t="shared" si="3"/>
        <v>163</v>
      </c>
      <c r="AI39" s="22">
        <f t="shared" si="3"/>
        <v>141</v>
      </c>
      <c r="AJ39" s="22">
        <f t="shared" si="3"/>
        <v>132</v>
      </c>
      <c r="AK39" s="22">
        <f t="shared" si="3"/>
        <v>146</v>
      </c>
      <c r="AL39" s="22">
        <f t="shared" si="3"/>
        <v>108</v>
      </c>
      <c r="AM39" s="22">
        <f t="shared" si="3"/>
        <v>149</v>
      </c>
      <c r="AN39" s="22">
        <f t="shared" si="3"/>
        <v>135</v>
      </c>
      <c r="AO39" s="22">
        <f t="shared" si="3"/>
        <v>167</v>
      </c>
      <c r="AP39" s="22">
        <f t="shared" si="3"/>
        <v>152</v>
      </c>
      <c r="AQ39" s="25" t="s">
        <v>92</v>
      </c>
      <c r="AR39" s="20"/>
      <c r="AS39" s="11"/>
    </row>
    <row r="40">
      <c r="A40" s="26" t="s">
        <v>2</v>
      </c>
      <c r="B40" s="27">
        <f t="shared" ref="B40:AP40" si="4">COUNTIF(B2:B38,5)</f>
        <v>0</v>
      </c>
      <c r="C40" s="27">
        <f t="shared" si="4"/>
        <v>2</v>
      </c>
      <c r="D40" s="27">
        <f t="shared" si="4"/>
        <v>1</v>
      </c>
      <c r="E40" s="27">
        <f t="shared" si="4"/>
        <v>11</v>
      </c>
      <c r="F40" s="27">
        <f t="shared" si="4"/>
        <v>5</v>
      </c>
      <c r="G40" s="27">
        <f t="shared" si="4"/>
        <v>21</v>
      </c>
      <c r="H40" s="27">
        <f t="shared" si="4"/>
        <v>0</v>
      </c>
      <c r="I40" s="27">
        <f t="shared" si="4"/>
        <v>9</v>
      </c>
      <c r="J40" s="27">
        <f t="shared" si="4"/>
        <v>0</v>
      </c>
      <c r="K40" s="27">
        <f t="shared" si="4"/>
        <v>5</v>
      </c>
      <c r="L40" s="27">
        <f t="shared" si="4"/>
        <v>10</v>
      </c>
      <c r="M40" s="27">
        <f t="shared" si="4"/>
        <v>10</v>
      </c>
      <c r="N40" s="27">
        <f t="shared" si="4"/>
        <v>16</v>
      </c>
      <c r="O40" s="27">
        <f t="shared" si="4"/>
        <v>0</v>
      </c>
      <c r="P40" s="27">
        <f t="shared" si="4"/>
        <v>4</v>
      </c>
      <c r="Q40" s="27">
        <f t="shared" si="4"/>
        <v>2</v>
      </c>
      <c r="R40" s="27">
        <f t="shared" si="4"/>
        <v>6</v>
      </c>
      <c r="S40" s="27">
        <f t="shared" si="4"/>
        <v>6</v>
      </c>
      <c r="T40" s="27">
        <f t="shared" si="4"/>
        <v>0</v>
      </c>
      <c r="U40" s="27">
        <f t="shared" si="4"/>
        <v>5</v>
      </c>
      <c r="V40" s="27">
        <f t="shared" si="4"/>
        <v>0</v>
      </c>
      <c r="W40" s="27">
        <f t="shared" si="4"/>
        <v>0</v>
      </c>
      <c r="X40" s="27">
        <f t="shared" si="4"/>
        <v>4</v>
      </c>
      <c r="Y40" s="27">
        <f t="shared" si="4"/>
        <v>7</v>
      </c>
      <c r="Z40" s="27">
        <f t="shared" si="4"/>
        <v>5</v>
      </c>
      <c r="AA40" s="27">
        <f t="shared" si="4"/>
        <v>18</v>
      </c>
      <c r="AB40" s="27">
        <f t="shared" si="4"/>
        <v>5</v>
      </c>
      <c r="AC40" s="27">
        <f t="shared" si="4"/>
        <v>7</v>
      </c>
      <c r="AD40" s="27">
        <f t="shared" si="4"/>
        <v>7</v>
      </c>
      <c r="AE40" s="27">
        <f t="shared" si="4"/>
        <v>21</v>
      </c>
      <c r="AF40" s="27">
        <f t="shared" si="4"/>
        <v>0</v>
      </c>
      <c r="AG40" s="27">
        <f t="shared" si="4"/>
        <v>14</v>
      </c>
      <c r="AH40" s="27">
        <f t="shared" si="4"/>
        <v>22</v>
      </c>
      <c r="AI40" s="27">
        <f t="shared" si="4"/>
        <v>8</v>
      </c>
      <c r="AJ40" s="27">
        <f t="shared" si="4"/>
        <v>3</v>
      </c>
      <c r="AK40" s="27">
        <f t="shared" si="4"/>
        <v>10</v>
      </c>
      <c r="AL40" s="27">
        <f t="shared" si="4"/>
        <v>0</v>
      </c>
      <c r="AM40" s="27">
        <f t="shared" si="4"/>
        <v>9</v>
      </c>
      <c r="AN40" s="27">
        <f t="shared" si="4"/>
        <v>4</v>
      </c>
      <c r="AO40" s="27">
        <f t="shared" si="4"/>
        <v>22</v>
      </c>
      <c r="AP40" s="27">
        <f t="shared" si="4"/>
        <v>12</v>
      </c>
      <c r="AQ40" s="28">
        <f t="shared" ref="AQ40:AQ44" si="6">SUM(P40:AP40)</f>
        <v>201</v>
      </c>
      <c r="AR40" s="29">
        <f t="shared" ref="AR40:AR45" si="7">AQ40/$AQ$45</f>
        <v>0.2012012012</v>
      </c>
      <c r="AS40" s="11"/>
    </row>
    <row r="41">
      <c r="A41" s="26" t="s">
        <v>3</v>
      </c>
      <c r="B41" s="27">
        <f t="shared" ref="B41:AP41" si="5">COUNTIF(B2:B38,4)</f>
        <v>8</v>
      </c>
      <c r="C41" s="27">
        <f t="shared" si="5"/>
        <v>14</v>
      </c>
      <c r="D41" s="27">
        <f t="shared" si="5"/>
        <v>6</v>
      </c>
      <c r="E41" s="27">
        <f t="shared" si="5"/>
        <v>18</v>
      </c>
      <c r="F41" s="27">
        <f t="shared" si="5"/>
        <v>20</v>
      </c>
      <c r="G41" s="27">
        <f t="shared" si="5"/>
        <v>11</v>
      </c>
      <c r="H41" s="27">
        <f t="shared" si="5"/>
        <v>15</v>
      </c>
      <c r="I41" s="27">
        <f t="shared" si="5"/>
        <v>18</v>
      </c>
      <c r="J41" s="27">
        <f t="shared" si="5"/>
        <v>12</v>
      </c>
      <c r="K41" s="27">
        <f t="shared" si="5"/>
        <v>10</v>
      </c>
      <c r="L41" s="27">
        <f t="shared" si="5"/>
        <v>16</v>
      </c>
      <c r="M41" s="27">
        <f t="shared" si="5"/>
        <v>18</v>
      </c>
      <c r="N41" s="27">
        <f t="shared" si="5"/>
        <v>17</v>
      </c>
      <c r="O41" s="27">
        <f t="shared" si="5"/>
        <v>8</v>
      </c>
      <c r="P41" s="27">
        <f t="shared" si="5"/>
        <v>9</v>
      </c>
      <c r="Q41" s="27">
        <f t="shared" si="5"/>
        <v>15</v>
      </c>
      <c r="R41" s="27">
        <f t="shared" si="5"/>
        <v>24</v>
      </c>
      <c r="S41" s="27">
        <f t="shared" si="5"/>
        <v>19</v>
      </c>
      <c r="T41" s="27">
        <f t="shared" si="5"/>
        <v>7</v>
      </c>
      <c r="U41" s="27">
        <f t="shared" si="5"/>
        <v>17</v>
      </c>
      <c r="V41" s="27">
        <f t="shared" si="5"/>
        <v>0</v>
      </c>
      <c r="W41" s="27">
        <f t="shared" si="5"/>
        <v>10</v>
      </c>
      <c r="X41" s="27">
        <f t="shared" si="5"/>
        <v>16</v>
      </c>
      <c r="Y41" s="27">
        <f t="shared" si="5"/>
        <v>17</v>
      </c>
      <c r="Z41" s="27">
        <f t="shared" si="5"/>
        <v>14</v>
      </c>
      <c r="AA41" s="27">
        <f t="shared" si="5"/>
        <v>14</v>
      </c>
      <c r="AB41" s="27">
        <f t="shared" si="5"/>
        <v>17</v>
      </c>
      <c r="AC41" s="27">
        <f t="shared" si="5"/>
        <v>19</v>
      </c>
      <c r="AD41" s="27">
        <f t="shared" si="5"/>
        <v>15</v>
      </c>
      <c r="AE41" s="27">
        <f t="shared" si="5"/>
        <v>11</v>
      </c>
      <c r="AF41" s="27">
        <f t="shared" si="5"/>
        <v>1</v>
      </c>
      <c r="AG41" s="27">
        <f t="shared" si="5"/>
        <v>18</v>
      </c>
      <c r="AH41" s="27">
        <f t="shared" si="5"/>
        <v>11</v>
      </c>
      <c r="AI41" s="27">
        <f t="shared" si="5"/>
        <v>18</v>
      </c>
      <c r="AJ41" s="27">
        <f t="shared" si="5"/>
        <v>18</v>
      </c>
      <c r="AK41" s="27">
        <f t="shared" si="5"/>
        <v>17</v>
      </c>
      <c r="AL41" s="27">
        <f t="shared" si="5"/>
        <v>7</v>
      </c>
      <c r="AM41" s="27">
        <f t="shared" si="5"/>
        <v>22</v>
      </c>
      <c r="AN41" s="27">
        <f t="shared" si="5"/>
        <v>18</v>
      </c>
      <c r="AO41" s="27">
        <f t="shared" si="5"/>
        <v>14</v>
      </c>
      <c r="AP41" s="27">
        <f t="shared" si="5"/>
        <v>19</v>
      </c>
      <c r="AQ41" s="28">
        <f t="shared" si="6"/>
        <v>387</v>
      </c>
      <c r="AR41" s="29">
        <f t="shared" si="7"/>
        <v>0.3873873874</v>
      </c>
      <c r="AS41" s="11"/>
    </row>
    <row r="42">
      <c r="A42" s="26" t="s">
        <v>4</v>
      </c>
      <c r="B42" s="27">
        <f t="shared" ref="B42:AP42" si="8">COUNTIF(B2:B38,3)</f>
        <v>24</v>
      </c>
      <c r="C42" s="27">
        <f t="shared" si="8"/>
        <v>20</v>
      </c>
      <c r="D42" s="27">
        <f t="shared" si="8"/>
        <v>23</v>
      </c>
      <c r="E42" s="27">
        <f t="shared" si="8"/>
        <v>7</v>
      </c>
      <c r="F42" s="27">
        <f t="shared" si="8"/>
        <v>9</v>
      </c>
      <c r="G42" s="27">
        <f t="shared" si="8"/>
        <v>4</v>
      </c>
      <c r="H42" s="27">
        <f t="shared" si="8"/>
        <v>18</v>
      </c>
      <c r="I42" s="27">
        <f t="shared" si="8"/>
        <v>6</v>
      </c>
      <c r="J42" s="27">
        <f t="shared" si="8"/>
        <v>18</v>
      </c>
      <c r="K42" s="27">
        <f t="shared" si="8"/>
        <v>19</v>
      </c>
      <c r="L42" s="27">
        <f t="shared" si="8"/>
        <v>8</v>
      </c>
      <c r="M42" s="27">
        <f t="shared" si="8"/>
        <v>8</v>
      </c>
      <c r="N42" s="27">
        <f t="shared" si="8"/>
        <v>2</v>
      </c>
      <c r="O42" s="27">
        <f t="shared" si="8"/>
        <v>25</v>
      </c>
      <c r="P42" s="27">
        <f t="shared" si="8"/>
        <v>16</v>
      </c>
      <c r="Q42" s="27">
        <f t="shared" si="8"/>
        <v>18</v>
      </c>
      <c r="R42" s="27">
        <f t="shared" si="8"/>
        <v>6</v>
      </c>
      <c r="S42" s="27">
        <f t="shared" si="8"/>
        <v>10</v>
      </c>
      <c r="T42" s="27">
        <f t="shared" si="8"/>
        <v>25</v>
      </c>
      <c r="U42" s="27">
        <f t="shared" si="8"/>
        <v>13</v>
      </c>
      <c r="V42" s="27">
        <f t="shared" si="8"/>
        <v>2</v>
      </c>
      <c r="W42" s="27">
        <f t="shared" si="8"/>
        <v>20</v>
      </c>
      <c r="X42" s="27">
        <f t="shared" si="8"/>
        <v>17</v>
      </c>
      <c r="Y42" s="27">
        <f t="shared" si="8"/>
        <v>11</v>
      </c>
      <c r="Z42" s="27">
        <f t="shared" si="8"/>
        <v>16</v>
      </c>
      <c r="AA42" s="27">
        <f t="shared" si="8"/>
        <v>3</v>
      </c>
      <c r="AB42" s="27">
        <f t="shared" si="8"/>
        <v>11</v>
      </c>
      <c r="AC42" s="27">
        <f t="shared" si="8"/>
        <v>10</v>
      </c>
      <c r="AD42" s="27">
        <f t="shared" si="8"/>
        <v>12</v>
      </c>
      <c r="AE42" s="27">
        <f t="shared" si="8"/>
        <v>2</v>
      </c>
      <c r="AF42" s="27">
        <f t="shared" si="8"/>
        <v>30</v>
      </c>
      <c r="AG42" s="27">
        <f t="shared" si="8"/>
        <v>3</v>
      </c>
      <c r="AH42" s="27">
        <f t="shared" si="8"/>
        <v>2</v>
      </c>
      <c r="AI42" s="27">
        <f t="shared" si="8"/>
        <v>9</v>
      </c>
      <c r="AJ42" s="27">
        <f t="shared" si="8"/>
        <v>14</v>
      </c>
      <c r="AK42" s="27">
        <f t="shared" si="8"/>
        <v>9</v>
      </c>
      <c r="AL42" s="27">
        <f t="shared" si="8"/>
        <v>22</v>
      </c>
      <c r="AM42" s="27">
        <f t="shared" si="8"/>
        <v>5</v>
      </c>
      <c r="AN42" s="27">
        <f t="shared" si="8"/>
        <v>14</v>
      </c>
      <c r="AO42" s="27">
        <f t="shared" si="8"/>
        <v>0</v>
      </c>
      <c r="AP42" s="27">
        <f t="shared" si="8"/>
        <v>5</v>
      </c>
      <c r="AQ42" s="28">
        <f t="shared" si="6"/>
        <v>305</v>
      </c>
      <c r="AR42" s="29">
        <f t="shared" si="7"/>
        <v>0.3053053053</v>
      </c>
      <c r="AS42" s="11"/>
    </row>
    <row r="43">
      <c r="A43" s="26" t="s">
        <v>5</v>
      </c>
      <c r="B43" s="27">
        <f t="shared" ref="B43:AP43" si="9">COUNTIF(B2:B38,2)</f>
        <v>4</v>
      </c>
      <c r="C43" s="27">
        <f t="shared" si="9"/>
        <v>1</v>
      </c>
      <c r="D43" s="27">
        <f t="shared" si="9"/>
        <v>5</v>
      </c>
      <c r="E43" s="27">
        <f t="shared" si="9"/>
        <v>0</v>
      </c>
      <c r="F43" s="27">
        <f t="shared" si="9"/>
        <v>1</v>
      </c>
      <c r="G43" s="27">
        <f t="shared" si="9"/>
        <v>0</v>
      </c>
      <c r="H43" s="27">
        <f t="shared" si="9"/>
        <v>3</v>
      </c>
      <c r="I43" s="27">
        <f t="shared" si="9"/>
        <v>1</v>
      </c>
      <c r="J43" s="27">
        <f t="shared" si="9"/>
        <v>4</v>
      </c>
      <c r="K43" s="27">
        <f t="shared" si="9"/>
        <v>2</v>
      </c>
      <c r="L43" s="27">
        <f t="shared" si="9"/>
        <v>2</v>
      </c>
      <c r="M43" s="27">
        <f t="shared" si="9"/>
        <v>0</v>
      </c>
      <c r="N43" s="27">
        <f t="shared" si="9"/>
        <v>1</v>
      </c>
      <c r="O43" s="27">
        <f t="shared" si="9"/>
        <v>4</v>
      </c>
      <c r="P43" s="27">
        <f t="shared" si="9"/>
        <v>7</v>
      </c>
      <c r="Q43" s="27">
        <f t="shared" si="9"/>
        <v>0</v>
      </c>
      <c r="R43" s="27">
        <f t="shared" si="9"/>
        <v>0</v>
      </c>
      <c r="S43" s="27">
        <f t="shared" si="9"/>
        <v>0</v>
      </c>
      <c r="T43" s="27">
        <f t="shared" si="9"/>
        <v>4</v>
      </c>
      <c r="U43" s="27">
        <f t="shared" si="9"/>
        <v>1</v>
      </c>
      <c r="V43" s="27">
        <f t="shared" si="9"/>
        <v>1</v>
      </c>
      <c r="W43" s="27">
        <f t="shared" si="9"/>
        <v>6</v>
      </c>
      <c r="X43" s="27">
        <f t="shared" si="9"/>
        <v>0</v>
      </c>
      <c r="Y43" s="27">
        <f t="shared" si="9"/>
        <v>1</v>
      </c>
      <c r="Z43" s="27">
        <f t="shared" si="9"/>
        <v>0</v>
      </c>
      <c r="AA43" s="27">
        <f t="shared" si="9"/>
        <v>0</v>
      </c>
      <c r="AB43" s="27">
        <f t="shared" si="9"/>
        <v>3</v>
      </c>
      <c r="AC43" s="27">
        <f t="shared" si="9"/>
        <v>0</v>
      </c>
      <c r="AD43" s="27">
        <f t="shared" si="9"/>
        <v>2</v>
      </c>
      <c r="AE43" s="27">
        <f t="shared" si="9"/>
        <v>2</v>
      </c>
      <c r="AF43" s="27">
        <f t="shared" si="9"/>
        <v>5</v>
      </c>
      <c r="AG43" s="27">
        <f t="shared" si="9"/>
        <v>0</v>
      </c>
      <c r="AH43" s="27">
        <f t="shared" si="9"/>
        <v>1</v>
      </c>
      <c r="AI43" s="27">
        <f t="shared" si="9"/>
        <v>0</v>
      </c>
      <c r="AJ43" s="27">
        <f t="shared" si="9"/>
        <v>1</v>
      </c>
      <c r="AK43" s="27">
        <f t="shared" si="9"/>
        <v>0</v>
      </c>
      <c r="AL43" s="27">
        <f t="shared" si="9"/>
        <v>6</v>
      </c>
      <c r="AM43" s="27">
        <f t="shared" si="9"/>
        <v>0</v>
      </c>
      <c r="AN43" s="27">
        <f t="shared" si="9"/>
        <v>0</v>
      </c>
      <c r="AO43" s="27">
        <f t="shared" si="9"/>
        <v>0</v>
      </c>
      <c r="AP43" s="27">
        <f t="shared" si="9"/>
        <v>0</v>
      </c>
      <c r="AQ43" s="28">
        <f t="shared" si="6"/>
        <v>40</v>
      </c>
      <c r="AR43" s="29">
        <f t="shared" si="7"/>
        <v>0.04004004004</v>
      </c>
      <c r="AS43" s="11"/>
    </row>
    <row r="44">
      <c r="A44" s="26" t="s">
        <v>6</v>
      </c>
      <c r="B44" s="27">
        <f t="shared" ref="B44:AP44" si="10">COUNTIF(B2:B38,1)</f>
        <v>1</v>
      </c>
      <c r="C44" s="27">
        <f t="shared" si="10"/>
        <v>0</v>
      </c>
      <c r="D44" s="27">
        <f t="shared" si="10"/>
        <v>2</v>
      </c>
      <c r="E44" s="27">
        <f t="shared" si="10"/>
        <v>1</v>
      </c>
      <c r="F44" s="27">
        <f t="shared" si="10"/>
        <v>2</v>
      </c>
      <c r="G44" s="27">
        <f t="shared" si="10"/>
        <v>1</v>
      </c>
      <c r="H44" s="27">
        <f t="shared" si="10"/>
        <v>1</v>
      </c>
      <c r="I44" s="27">
        <f t="shared" si="10"/>
        <v>3</v>
      </c>
      <c r="J44" s="27">
        <f t="shared" si="10"/>
        <v>3</v>
      </c>
      <c r="K44" s="27">
        <f t="shared" si="10"/>
        <v>1</v>
      </c>
      <c r="L44" s="27">
        <f t="shared" si="10"/>
        <v>1</v>
      </c>
      <c r="M44" s="27">
        <f t="shared" si="10"/>
        <v>1</v>
      </c>
      <c r="N44" s="27">
        <f t="shared" si="10"/>
        <v>1</v>
      </c>
      <c r="O44" s="27">
        <f t="shared" si="10"/>
        <v>0</v>
      </c>
      <c r="P44" s="27">
        <f t="shared" si="10"/>
        <v>1</v>
      </c>
      <c r="Q44" s="27">
        <f t="shared" si="10"/>
        <v>2</v>
      </c>
      <c r="R44" s="27">
        <f t="shared" si="10"/>
        <v>1</v>
      </c>
      <c r="S44" s="27">
        <f t="shared" si="10"/>
        <v>2</v>
      </c>
      <c r="T44" s="27">
        <f t="shared" si="10"/>
        <v>1</v>
      </c>
      <c r="U44" s="27">
        <f t="shared" si="10"/>
        <v>1</v>
      </c>
      <c r="V44" s="27">
        <f t="shared" si="10"/>
        <v>34</v>
      </c>
      <c r="W44" s="27">
        <f t="shared" si="10"/>
        <v>1</v>
      </c>
      <c r="X44" s="27">
        <f t="shared" si="10"/>
        <v>0</v>
      </c>
      <c r="Y44" s="27">
        <f t="shared" si="10"/>
        <v>1</v>
      </c>
      <c r="Z44" s="27">
        <f t="shared" si="10"/>
        <v>2</v>
      </c>
      <c r="AA44" s="27">
        <f t="shared" si="10"/>
        <v>2</v>
      </c>
      <c r="AB44" s="27">
        <f t="shared" si="10"/>
        <v>1</v>
      </c>
      <c r="AC44" s="27">
        <f t="shared" si="10"/>
        <v>1</v>
      </c>
      <c r="AD44" s="27">
        <f t="shared" si="10"/>
        <v>1</v>
      </c>
      <c r="AE44" s="27">
        <f t="shared" si="10"/>
        <v>1</v>
      </c>
      <c r="AF44" s="27">
        <f t="shared" si="10"/>
        <v>1</v>
      </c>
      <c r="AG44" s="27">
        <f t="shared" si="10"/>
        <v>2</v>
      </c>
      <c r="AH44" s="27">
        <f t="shared" si="10"/>
        <v>1</v>
      </c>
      <c r="AI44" s="27">
        <f t="shared" si="10"/>
        <v>2</v>
      </c>
      <c r="AJ44" s="27">
        <f t="shared" si="10"/>
        <v>1</v>
      </c>
      <c r="AK44" s="27">
        <f t="shared" si="10"/>
        <v>1</v>
      </c>
      <c r="AL44" s="27">
        <f t="shared" si="10"/>
        <v>2</v>
      </c>
      <c r="AM44" s="27">
        <f t="shared" si="10"/>
        <v>1</v>
      </c>
      <c r="AN44" s="27">
        <f t="shared" si="10"/>
        <v>1</v>
      </c>
      <c r="AO44" s="27">
        <f t="shared" si="10"/>
        <v>1</v>
      </c>
      <c r="AP44" s="27">
        <f t="shared" si="10"/>
        <v>1</v>
      </c>
      <c r="AQ44" s="28">
        <f t="shared" si="6"/>
        <v>66</v>
      </c>
      <c r="AR44" s="29">
        <f t="shared" si="7"/>
        <v>0.06606606607</v>
      </c>
      <c r="AS44" s="11"/>
    </row>
    <row r="45">
      <c r="A45" s="30"/>
      <c r="B45" s="8"/>
      <c r="C45" s="8"/>
      <c r="D45" s="8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28">
        <f>SUM(AQ40:AQ44)</f>
        <v>999</v>
      </c>
      <c r="AR45" s="29">
        <f t="shared" si="7"/>
        <v>1</v>
      </c>
      <c r="AS45" s="11"/>
    </row>
    <row r="46">
      <c r="A46" s="30"/>
      <c r="B46" s="8"/>
      <c r="C46" s="8"/>
      <c r="D46" s="8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</row>
    <row r="47">
      <c r="A47" s="8"/>
      <c r="B47" s="8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</row>
    <row r="48">
      <c r="A48" s="8"/>
      <c r="B48" s="8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</row>
    <row r="49">
      <c r="A49" s="30"/>
      <c r="B49" s="8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</row>
    <row r="50">
      <c r="A50" s="25" t="s">
        <v>93</v>
      </c>
      <c r="B50" s="8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</row>
    <row r="51">
      <c r="A51" s="31" t="s">
        <v>94</v>
      </c>
      <c r="B51" s="32">
        <f>AVERAGE(AQ2:AQ38)</f>
        <v>147.972973</v>
      </c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</row>
    <row r="52">
      <c r="A52" s="30"/>
      <c r="B52" s="8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</row>
    <row r="53">
      <c r="A53" s="8"/>
      <c r="B53" s="8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</row>
    <row r="54">
      <c r="A54" s="8"/>
      <c r="B54" s="8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</row>
    <row r="55">
      <c r="A55" s="8"/>
      <c r="B55" s="8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</row>
    <row r="56">
      <c r="A56" s="33" t="s">
        <v>95</v>
      </c>
      <c r="B56" s="8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</row>
    <row r="57">
      <c r="A57" s="34" t="s">
        <v>96</v>
      </c>
      <c r="B57" s="35" t="s">
        <v>97</v>
      </c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</row>
    <row r="58">
      <c r="A58" s="36" t="s">
        <v>96</v>
      </c>
      <c r="B58" s="35" t="s">
        <v>98</v>
      </c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</row>
    <row r="59">
      <c r="A59" s="37">
        <v>1.0</v>
      </c>
      <c r="B59" s="35" t="s">
        <v>99</v>
      </c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</row>
    <row r="60">
      <c r="A60" s="8"/>
      <c r="B60" s="8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</row>
    <row r="61">
      <c r="A61" s="8"/>
      <c r="B61" s="8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</row>
    <row r="62">
      <c r="A62" s="8"/>
      <c r="B62" s="8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</row>
    <row r="63">
      <c r="A63" s="8"/>
      <c r="B63" s="8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</row>
    <row r="64">
      <c r="A64" s="8"/>
      <c r="B64" s="8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</row>
    <row r="65">
      <c r="A65" s="8"/>
      <c r="B65" s="8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</row>
    <row r="66">
      <c r="A66" s="8"/>
      <c r="B66" s="8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</row>
    <row r="67">
      <c r="A67" s="8"/>
      <c r="B67" s="8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</row>
    <row r="68"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</row>
    <row r="69"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</row>
    <row r="70"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</row>
    <row r="71"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</row>
    <row r="72"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</row>
    <row r="73"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</row>
    <row r="74"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</row>
    <row r="75"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</row>
    <row r="76"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</row>
    <row r="77"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</row>
    <row r="78"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</row>
    <row r="79"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</row>
    <row r="80"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</row>
    <row r="81"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</row>
    <row r="82"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</row>
    <row r="83"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</row>
    <row r="84"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</row>
    <row r="85"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</row>
    <row r="86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</row>
    <row r="87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</row>
    <row r="88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</row>
    <row r="89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</row>
    <row r="90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</row>
    <row r="91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</row>
    <row r="92"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</row>
    <row r="93"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</row>
    <row r="94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</row>
    <row r="95"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</row>
    <row r="96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</row>
    <row r="97"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</row>
    <row r="98"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</row>
    <row r="99"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</row>
    <row r="100"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</row>
    <row r="101"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</row>
    <row r="102"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</row>
    <row r="103"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</row>
    <row r="104"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</row>
    <row r="105"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</row>
    <row r="106"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</row>
    <row r="107"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</row>
    <row r="108"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</row>
    <row r="109"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</row>
    <row r="110"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</row>
    <row r="111"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</row>
    <row r="112"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</row>
    <row r="113"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</row>
    <row r="114"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</row>
    <row r="115"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</row>
    <row r="116"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</row>
    <row r="117"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</row>
    <row r="118"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</row>
    <row r="119"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</row>
    <row r="120"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</row>
    <row r="121"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</row>
    <row r="122"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</row>
    <row r="123"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</row>
    <row r="124"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</row>
    <row r="125"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</row>
    <row r="126"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</row>
    <row r="127"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</row>
    <row r="128"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</row>
    <row r="129"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</row>
    <row r="130"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</row>
    <row r="131"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</row>
    <row r="132"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</row>
    <row r="133"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</row>
    <row r="134"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</row>
    <row r="135"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</row>
    <row r="136"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</row>
    <row r="137"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</row>
    <row r="138"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</row>
    <row r="139"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</row>
    <row r="140"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</row>
    <row r="141"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</row>
    <row r="142"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</row>
    <row r="143"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</row>
    <row r="144"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</row>
    <row r="145"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</row>
    <row r="146"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</row>
    <row r="147"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</row>
    <row r="148"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</row>
    <row r="149"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</row>
    <row r="150"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</row>
    <row r="151"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</row>
    <row r="152"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</row>
    <row r="153"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</row>
    <row r="154"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</row>
    <row r="155"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</row>
    <row r="156"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</row>
    <row r="157"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</row>
    <row r="158"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</row>
    <row r="159"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</row>
    <row r="160"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</row>
    <row r="161"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</row>
    <row r="162"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</row>
    <row r="163"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</row>
    <row r="164"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</row>
    <row r="165"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</row>
    <row r="166"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</row>
    <row r="167"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</row>
    <row r="168"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</row>
    <row r="169"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</row>
    <row r="170"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</row>
    <row r="171"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</row>
    <row r="172"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</row>
    <row r="173"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</row>
    <row r="174"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</row>
    <row r="175"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</row>
    <row r="176"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</row>
    <row r="177"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</row>
    <row r="178"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</row>
    <row r="179"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</row>
    <row r="180"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</row>
    <row r="181"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</row>
    <row r="182"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</row>
    <row r="183"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</row>
    <row r="184"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</row>
    <row r="185"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</row>
    <row r="186"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</row>
    <row r="187"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</row>
    <row r="188"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</row>
    <row r="189"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</row>
    <row r="190"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</row>
    <row r="191"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</row>
    <row r="192"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</row>
    <row r="193"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</row>
    <row r="194"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</row>
    <row r="195"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</row>
    <row r="196"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</row>
    <row r="197"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</row>
    <row r="198"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</row>
    <row r="199"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</row>
    <row r="200"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</row>
    <row r="201"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</row>
    <row r="202"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</row>
    <row r="203"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</row>
    <row r="204"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</row>
    <row r="205"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</row>
    <row r="206"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</row>
    <row r="207"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</row>
    <row r="208"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</row>
    <row r="209"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</row>
    <row r="210"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</row>
    <row r="211"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</row>
    <row r="212"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</row>
    <row r="213"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</row>
    <row r="214"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</row>
    <row r="215"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</row>
    <row r="216"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</row>
    <row r="217"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</row>
    <row r="218"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</row>
    <row r="219"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</row>
    <row r="220"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</row>
    <row r="221"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</row>
    <row r="222"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</row>
    <row r="223"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</row>
    <row r="224"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</row>
    <row r="225"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</row>
    <row r="226"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</row>
    <row r="227"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</row>
    <row r="228"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</row>
    <row r="229"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</row>
    <row r="230"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</row>
    <row r="231"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</row>
    <row r="232"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</row>
    <row r="233"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</row>
    <row r="234"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</row>
    <row r="235"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</row>
    <row r="236"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</row>
    <row r="237"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</row>
    <row r="238"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</row>
    <row r="239"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</row>
    <row r="240"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</row>
    <row r="241"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</row>
    <row r="242"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</row>
    <row r="243"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</row>
    <row r="244"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</row>
    <row r="245"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</row>
    <row r="246"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</row>
    <row r="247"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</row>
    <row r="248"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</row>
    <row r="249"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</row>
    <row r="250"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</row>
    <row r="251"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</row>
    <row r="252"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</row>
    <row r="253"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</row>
    <row r="254"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</row>
    <row r="255"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</row>
    <row r="256"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</row>
    <row r="257"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</row>
    <row r="258"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</row>
    <row r="259"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</row>
    <row r="260"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</row>
    <row r="261"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</row>
    <row r="262"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</row>
    <row r="263"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</row>
    <row r="264"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</row>
    <row r="265"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</row>
    <row r="266"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</row>
    <row r="267"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</row>
    <row r="268"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</row>
    <row r="269"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</row>
    <row r="270"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</row>
    <row r="271"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</row>
    <row r="272"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</row>
    <row r="273"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</row>
    <row r="274"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</row>
    <row r="275"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</row>
    <row r="276"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</row>
    <row r="277"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</row>
    <row r="278"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</row>
    <row r="279"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</row>
    <row r="280"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</row>
    <row r="281"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</row>
    <row r="282"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</row>
    <row r="283"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</row>
    <row r="284"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</row>
    <row r="285"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</row>
    <row r="286"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</row>
    <row r="287"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</row>
    <row r="288"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</row>
    <row r="289"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</row>
    <row r="290"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</row>
    <row r="291"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</row>
    <row r="292"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</row>
    <row r="293"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</row>
    <row r="294"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</row>
    <row r="295"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</row>
    <row r="296"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</row>
    <row r="297"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</row>
    <row r="298"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</row>
    <row r="299"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</row>
    <row r="300"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</row>
    <row r="301"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</row>
    <row r="302"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</row>
    <row r="303"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</row>
    <row r="304"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</row>
    <row r="305"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</row>
    <row r="306"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</row>
    <row r="307"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</row>
    <row r="308"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</row>
    <row r="309"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</row>
    <row r="310"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</row>
    <row r="311"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</row>
    <row r="312"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</row>
    <row r="313"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</row>
    <row r="314"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</row>
    <row r="315"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</row>
    <row r="316"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</row>
    <row r="317"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</row>
    <row r="318"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</row>
    <row r="319"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</row>
    <row r="320"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</row>
    <row r="321"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</row>
    <row r="322"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</row>
    <row r="323"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</row>
    <row r="324"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</row>
    <row r="325"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</row>
    <row r="326"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</row>
    <row r="327"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</row>
    <row r="328"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</row>
    <row r="329"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</row>
    <row r="330"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</row>
    <row r="331"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</row>
    <row r="332"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</row>
    <row r="333"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</row>
    <row r="334"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</row>
    <row r="335"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</row>
    <row r="336"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</row>
    <row r="337"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</row>
    <row r="338"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</row>
    <row r="339"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</row>
    <row r="340"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</row>
    <row r="341"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</row>
    <row r="342"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</row>
    <row r="343"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</row>
    <row r="344"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</row>
    <row r="345"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</row>
    <row r="346"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</row>
    <row r="347"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</row>
    <row r="348"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</row>
    <row r="349"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</row>
    <row r="350"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</row>
    <row r="351"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</row>
    <row r="352"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</row>
    <row r="353"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</row>
    <row r="354"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</row>
    <row r="355"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</row>
    <row r="356"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</row>
    <row r="357"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</row>
    <row r="358"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</row>
    <row r="359"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</row>
    <row r="360"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</row>
    <row r="361"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</row>
    <row r="362"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</row>
    <row r="363"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</row>
    <row r="364"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</row>
    <row r="365"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</row>
    <row r="366"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</row>
    <row r="367"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</row>
    <row r="368"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</row>
    <row r="369"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</row>
    <row r="370"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</row>
    <row r="371"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</row>
    <row r="372"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</row>
    <row r="373"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</row>
    <row r="374"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</row>
    <row r="375"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</row>
    <row r="376"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</row>
    <row r="377"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</row>
    <row r="378"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</row>
    <row r="379"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</row>
    <row r="380"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</row>
    <row r="381"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</row>
    <row r="382"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</row>
    <row r="383"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</row>
    <row r="384"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</row>
    <row r="385"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</row>
    <row r="386"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</row>
    <row r="387"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</row>
    <row r="388"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</row>
    <row r="389"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</row>
    <row r="390"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</row>
    <row r="391"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</row>
    <row r="392"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</row>
    <row r="393"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</row>
    <row r="394"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</row>
    <row r="395"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</row>
    <row r="396"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</row>
    <row r="397"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</row>
    <row r="398"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</row>
    <row r="399"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</row>
    <row r="400"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</row>
    <row r="401"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</row>
    <row r="402"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</row>
    <row r="403"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</row>
    <row r="404"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</row>
    <row r="405"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</row>
    <row r="406"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</row>
    <row r="407"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</row>
    <row r="408"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</row>
    <row r="409"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</row>
    <row r="410"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</row>
    <row r="411"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</row>
    <row r="412"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</row>
    <row r="413"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</row>
    <row r="414"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</row>
    <row r="415"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</row>
    <row r="416"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</row>
    <row r="417"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</row>
    <row r="418"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</row>
    <row r="419"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</row>
    <row r="420"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</row>
    <row r="421"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</row>
    <row r="422"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</row>
    <row r="423"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</row>
    <row r="424"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</row>
    <row r="425"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</row>
    <row r="426"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</row>
    <row r="427"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</row>
    <row r="428"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</row>
    <row r="429"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</row>
    <row r="430"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</row>
    <row r="431"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</row>
    <row r="432"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</row>
    <row r="433"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</row>
    <row r="434"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</row>
    <row r="435"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</row>
    <row r="436"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</row>
    <row r="437"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</row>
    <row r="438"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</row>
    <row r="439"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</row>
    <row r="440"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</row>
    <row r="441"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</row>
    <row r="442"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</row>
    <row r="443"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</row>
    <row r="444"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</row>
    <row r="445"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</row>
    <row r="446"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</row>
    <row r="447"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</row>
    <row r="448"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</row>
    <row r="449"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</row>
    <row r="450"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</row>
    <row r="451"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</row>
    <row r="452"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</row>
    <row r="453"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</row>
    <row r="454"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</row>
    <row r="455"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</row>
    <row r="456"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</row>
    <row r="457"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</row>
    <row r="458"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</row>
    <row r="459"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</row>
    <row r="460"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</row>
    <row r="461"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</row>
    <row r="462"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</row>
    <row r="463"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</row>
    <row r="464"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</row>
    <row r="465"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</row>
    <row r="466"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</row>
    <row r="467"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</row>
    <row r="468"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</row>
    <row r="469"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</row>
    <row r="470"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</row>
    <row r="471"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</row>
    <row r="472"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</row>
    <row r="473"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</row>
    <row r="474"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</row>
    <row r="475"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</row>
    <row r="476"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</row>
    <row r="477"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</row>
    <row r="478"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</row>
    <row r="479"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</row>
    <row r="480"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</row>
    <row r="481"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</row>
    <row r="482"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</row>
    <row r="483"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</row>
    <row r="484"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</row>
    <row r="485"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</row>
    <row r="486"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</row>
    <row r="487"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</row>
    <row r="488"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</row>
    <row r="489"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</row>
    <row r="490"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</row>
    <row r="491"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</row>
    <row r="492"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</row>
    <row r="493"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</row>
    <row r="494"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</row>
    <row r="495"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</row>
    <row r="496"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</row>
    <row r="497"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</row>
    <row r="498"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</row>
    <row r="499"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</row>
    <row r="500"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</row>
    <row r="501"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</row>
    <row r="502"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</row>
    <row r="503"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</row>
    <row r="504"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</row>
    <row r="505"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</row>
    <row r="506"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</row>
    <row r="507"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</row>
    <row r="508"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  <c r="AS508" s="11"/>
    </row>
    <row r="509"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</row>
    <row r="510"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11"/>
    </row>
    <row r="511"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</row>
    <row r="512"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</row>
    <row r="513"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  <c r="AS513" s="11"/>
    </row>
    <row r="514"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  <c r="AS514" s="11"/>
    </row>
    <row r="515"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</row>
    <row r="516"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  <c r="AS516" s="11"/>
    </row>
    <row r="517"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</row>
    <row r="518"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</row>
    <row r="519"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</row>
    <row r="520"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  <c r="AS520" s="11"/>
    </row>
    <row r="521"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</row>
    <row r="522"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</row>
    <row r="523"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</row>
    <row r="524"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</row>
    <row r="525"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</row>
    <row r="526"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</row>
    <row r="527"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</row>
    <row r="528"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</row>
    <row r="529"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</row>
    <row r="530"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</row>
    <row r="531"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</row>
    <row r="532"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</row>
    <row r="533"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</row>
    <row r="534"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  <c r="AS534" s="11"/>
    </row>
    <row r="535"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</row>
    <row r="536"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  <c r="AS536" s="11"/>
    </row>
    <row r="537"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  <c r="AS537" s="11"/>
    </row>
    <row r="538"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  <c r="AS538" s="11"/>
    </row>
    <row r="539"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  <c r="AS539" s="11"/>
    </row>
    <row r="540"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</row>
    <row r="541"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</row>
    <row r="542"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</row>
    <row r="543"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  <c r="AS543" s="11"/>
    </row>
    <row r="544"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  <c r="AR544" s="11"/>
      <c r="AS544" s="11"/>
    </row>
    <row r="545"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</row>
    <row r="546"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  <c r="AS546" s="11"/>
    </row>
    <row r="547"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  <c r="AS547" s="11"/>
    </row>
    <row r="548"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  <c r="AS548" s="11"/>
    </row>
    <row r="549"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  <c r="AS549" s="11"/>
    </row>
    <row r="550"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  <c r="AS550" s="11"/>
    </row>
    <row r="551"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  <c r="AS551" s="11"/>
    </row>
    <row r="552"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AR552" s="11"/>
      <c r="AS552" s="11"/>
    </row>
    <row r="553"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  <c r="AS553" s="11"/>
    </row>
    <row r="554"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</row>
    <row r="555"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  <c r="AS555" s="11"/>
    </row>
    <row r="556"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  <c r="AR556" s="11"/>
      <c r="AS556" s="11"/>
    </row>
    <row r="557"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  <c r="AS557" s="11"/>
    </row>
    <row r="558"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</row>
    <row r="559"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</row>
    <row r="560"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  <c r="AS560" s="11"/>
    </row>
    <row r="561"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  <c r="AS561" s="11"/>
    </row>
    <row r="562"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  <c r="AR562" s="11"/>
      <c r="AS562" s="11"/>
    </row>
    <row r="563"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  <c r="AS563" s="11"/>
    </row>
    <row r="564"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  <c r="AS564" s="11"/>
    </row>
    <row r="565"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</row>
    <row r="566"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  <c r="AS566" s="11"/>
    </row>
    <row r="567"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</row>
    <row r="568"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  <c r="AS568" s="11"/>
    </row>
    <row r="569"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</row>
    <row r="570"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  <c r="AR570" s="11"/>
      <c r="AS570" s="11"/>
    </row>
    <row r="571"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  <c r="AS571" s="11"/>
    </row>
    <row r="572"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  <c r="AS572" s="11"/>
    </row>
    <row r="573"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</row>
    <row r="574"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  <c r="AR574" s="11"/>
      <c r="AS574" s="11"/>
    </row>
    <row r="575"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  <c r="AR575" s="11"/>
      <c r="AS575" s="11"/>
    </row>
    <row r="576"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</row>
    <row r="577"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  <c r="AS577" s="11"/>
    </row>
    <row r="578"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</row>
    <row r="579"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  <c r="AS579" s="11"/>
    </row>
    <row r="580"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  <c r="AS580" s="11"/>
    </row>
    <row r="581"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  <c r="AS581" s="11"/>
    </row>
    <row r="582"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  <c r="AR582" s="11"/>
      <c r="AS582" s="11"/>
    </row>
    <row r="583"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  <c r="AS583" s="11"/>
    </row>
    <row r="584"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  <c r="AS584" s="11"/>
    </row>
    <row r="585"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  <c r="AS585" s="11"/>
    </row>
    <row r="586"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  <c r="AR586" s="11"/>
      <c r="AS586" s="11"/>
    </row>
    <row r="587"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  <c r="AS587" s="11"/>
    </row>
    <row r="588"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  <c r="AR588" s="11"/>
      <c r="AS588" s="11"/>
    </row>
    <row r="589"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</row>
    <row r="590"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  <c r="AS590" s="11"/>
    </row>
    <row r="591"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  <c r="AS591" s="11"/>
    </row>
    <row r="592"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  <c r="AS592" s="11"/>
    </row>
    <row r="593"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</row>
    <row r="594"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</row>
    <row r="595"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  <c r="AS595" s="11"/>
    </row>
    <row r="596"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"/>
      <c r="AS596" s="11"/>
    </row>
    <row r="597"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  <c r="AS597" s="11"/>
    </row>
    <row r="598"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"/>
      <c r="AS598" s="11"/>
    </row>
    <row r="599"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  <c r="AS599" s="11"/>
    </row>
    <row r="600"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/>
      <c r="AS600" s="11"/>
    </row>
    <row r="601"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"/>
      <c r="AS601" s="11"/>
    </row>
    <row r="602"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  <c r="AR602" s="11"/>
      <c r="AS602" s="11"/>
    </row>
    <row r="603"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  <c r="AS603" s="11"/>
    </row>
    <row r="604"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  <c r="AS604" s="11"/>
    </row>
    <row r="605"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</row>
    <row r="606"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  <c r="AS606" s="11"/>
    </row>
    <row r="607"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  <c r="AS607" s="11"/>
    </row>
    <row r="608"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"/>
      <c r="AS608" s="11"/>
    </row>
    <row r="609"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  <c r="AS609" s="11"/>
    </row>
    <row r="610"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  <c r="AR610" s="11"/>
      <c r="AS610" s="11"/>
    </row>
    <row r="611"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  <c r="AS611" s="11"/>
    </row>
    <row r="612"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</row>
    <row r="613"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  <c r="AS613" s="11"/>
    </row>
    <row r="614"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  <c r="AS614" s="11"/>
    </row>
    <row r="615"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</row>
    <row r="616"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</row>
    <row r="617"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</row>
    <row r="618"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  <c r="AS618" s="11"/>
    </row>
    <row r="619"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</row>
    <row r="620"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</row>
    <row r="621"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  <c r="AS621" s="11"/>
    </row>
    <row r="622"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  <c r="AR622" s="11"/>
      <c r="AS622" s="11"/>
    </row>
    <row r="623"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R623" s="11"/>
      <c r="AS623" s="11"/>
    </row>
    <row r="624"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  <c r="AS624" s="11"/>
    </row>
    <row r="625"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  <c r="AS625" s="11"/>
    </row>
    <row r="626"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  <c r="AS626" s="11"/>
    </row>
    <row r="627"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</row>
    <row r="628"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  <c r="AR628" s="11"/>
      <c r="AS628" s="11"/>
    </row>
    <row r="629"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"/>
      <c r="AS629" s="11"/>
    </row>
    <row r="630"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</row>
    <row r="631"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"/>
      <c r="AS631" s="11"/>
    </row>
    <row r="632"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</row>
    <row r="633"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</row>
    <row r="634"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  <c r="AR634" s="11"/>
      <c r="AS634" s="11"/>
    </row>
    <row r="635"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  <c r="AS635" s="11"/>
    </row>
    <row r="636"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  <c r="AR636" s="11"/>
      <c r="AS636" s="11"/>
    </row>
    <row r="637"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R637" s="11"/>
      <c r="AS637" s="11"/>
    </row>
    <row r="638"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  <c r="AS638" s="11"/>
    </row>
    <row r="639"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  <c r="AR639" s="11"/>
      <c r="AS639" s="11"/>
    </row>
    <row r="640"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  <c r="AR640" s="11"/>
      <c r="AS640" s="11"/>
    </row>
    <row r="641"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  <c r="AR641" s="11"/>
      <c r="AS641" s="11"/>
    </row>
    <row r="642"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  <c r="AR642" s="11"/>
      <c r="AS642" s="11"/>
    </row>
    <row r="643"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  <c r="AR643" s="11"/>
      <c r="AS643" s="11"/>
    </row>
    <row r="644"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  <c r="AR644" s="11"/>
      <c r="AS644" s="11"/>
    </row>
    <row r="645"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  <c r="AR645" s="11"/>
      <c r="AS645" s="11"/>
    </row>
    <row r="646"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  <c r="AR646" s="11"/>
      <c r="AS646" s="11"/>
    </row>
    <row r="647"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  <c r="AS647" s="11"/>
    </row>
    <row r="648"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  <c r="AS648" s="11"/>
    </row>
    <row r="649"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  <c r="AR649" s="11"/>
      <c r="AS649" s="11"/>
    </row>
    <row r="650"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  <c r="AR650" s="11"/>
      <c r="AS650" s="11"/>
    </row>
    <row r="651"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  <c r="AR651" s="11"/>
      <c r="AS651" s="11"/>
    </row>
    <row r="652"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  <c r="AR652" s="11"/>
      <c r="AS652" s="11"/>
    </row>
    <row r="653"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  <c r="AS653" s="11"/>
    </row>
    <row r="654"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  <c r="AR654" s="11"/>
      <c r="AS654" s="11"/>
    </row>
    <row r="655"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  <c r="AR655" s="11"/>
      <c r="AS655" s="11"/>
    </row>
    <row r="656"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  <c r="AR656" s="11"/>
      <c r="AS656" s="11"/>
    </row>
    <row r="657"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</row>
    <row r="658"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  <c r="AR658" s="11"/>
      <c r="AS658" s="11"/>
    </row>
    <row r="659"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  <c r="AR659" s="11"/>
      <c r="AS659" s="11"/>
    </row>
    <row r="660"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  <c r="AR660" s="11"/>
      <c r="AS660" s="11"/>
    </row>
    <row r="661"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  <c r="AR661" s="11"/>
      <c r="AS661" s="11"/>
    </row>
    <row r="662"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  <c r="AR662" s="11"/>
      <c r="AS662" s="11"/>
    </row>
    <row r="663"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  <c r="AR663" s="11"/>
      <c r="AS663" s="11"/>
    </row>
    <row r="664"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  <c r="AR664" s="11"/>
      <c r="AS664" s="11"/>
    </row>
    <row r="665"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  <c r="AR665" s="11"/>
      <c r="AS665" s="11"/>
    </row>
    <row r="666"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  <c r="AR666" s="11"/>
      <c r="AS666" s="11"/>
    </row>
    <row r="667"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  <c r="AR667" s="11"/>
      <c r="AS667" s="11"/>
    </row>
    <row r="668"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  <c r="AR668" s="11"/>
      <c r="AS668" s="11"/>
    </row>
    <row r="669"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  <c r="AR669" s="11"/>
      <c r="AS669" s="11"/>
    </row>
    <row r="670"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  <c r="AR670" s="11"/>
      <c r="AS670" s="11"/>
    </row>
    <row r="671"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  <c r="AR671" s="11"/>
      <c r="AS671" s="11"/>
    </row>
    <row r="672"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  <c r="AR672" s="11"/>
      <c r="AS672" s="11"/>
    </row>
    <row r="673"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  <c r="AS673" s="11"/>
    </row>
    <row r="674"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  <c r="AS674" s="11"/>
    </row>
    <row r="675"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  <c r="AR675" s="11"/>
      <c r="AS675" s="11"/>
    </row>
    <row r="676"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  <c r="AR676" s="11"/>
      <c r="AS676" s="11"/>
    </row>
    <row r="677"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  <c r="AR677" s="11"/>
      <c r="AS677" s="11"/>
    </row>
    <row r="678"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  <c r="AR678" s="11"/>
      <c r="AS678" s="11"/>
    </row>
    <row r="679"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  <c r="AR679" s="11"/>
      <c r="AS679" s="11"/>
    </row>
    <row r="680"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  <c r="AR680" s="11"/>
      <c r="AS680" s="11"/>
    </row>
    <row r="681"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  <c r="AR681" s="11"/>
      <c r="AS681" s="11"/>
    </row>
    <row r="682"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  <c r="AR682" s="11"/>
      <c r="AS682" s="11"/>
    </row>
    <row r="683"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/>
    </row>
    <row r="684"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  <c r="AS684" s="11"/>
    </row>
    <row r="685"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  <c r="AR685" s="11"/>
      <c r="AS685" s="11"/>
    </row>
    <row r="686"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  <c r="AR686" s="11"/>
      <c r="AS686" s="11"/>
    </row>
    <row r="687"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  <c r="AR687" s="11"/>
      <c r="AS687" s="11"/>
    </row>
    <row r="688"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  <c r="AR688" s="11"/>
      <c r="AS688" s="11"/>
    </row>
    <row r="689"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  <c r="AR689" s="11"/>
      <c r="AS689" s="11"/>
    </row>
    <row r="690"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  <c r="AR690" s="11"/>
      <c r="AS690" s="11"/>
    </row>
    <row r="691"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  <c r="AR691" s="11"/>
      <c r="AS691" s="11"/>
    </row>
    <row r="692"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  <c r="AR692" s="11"/>
      <c r="AS692" s="11"/>
    </row>
    <row r="693"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  <c r="AR693" s="11"/>
      <c r="AS693" s="11"/>
    </row>
    <row r="694"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  <c r="AR694" s="11"/>
      <c r="AS694" s="11"/>
    </row>
    <row r="695"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  <c r="AS695" s="11"/>
    </row>
    <row r="696"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  <c r="AR696" s="11"/>
      <c r="AS696" s="11"/>
    </row>
    <row r="697"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  <c r="AR697" s="11"/>
      <c r="AS697" s="11"/>
    </row>
    <row r="698"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  <c r="AR698" s="11"/>
      <c r="AS698" s="11"/>
    </row>
    <row r="699"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  <c r="AR699" s="11"/>
      <c r="AS699" s="11"/>
    </row>
    <row r="700"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  <c r="AR700" s="11"/>
      <c r="AS700" s="11"/>
    </row>
    <row r="701"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  <c r="AS701" s="11"/>
    </row>
    <row r="702"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  <c r="AS702" s="11"/>
    </row>
    <row r="703"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  <c r="AR703" s="11"/>
      <c r="AS703" s="11"/>
    </row>
    <row r="704"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  <c r="AS704" s="11"/>
    </row>
    <row r="705"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1"/>
      <c r="AS705" s="11"/>
    </row>
    <row r="706"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  <c r="AR706" s="11"/>
      <c r="AS706" s="11"/>
    </row>
    <row r="707"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  <c r="AR707" s="11"/>
      <c r="AS707" s="11"/>
    </row>
    <row r="708"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  <c r="AR708" s="11"/>
      <c r="AS708" s="11"/>
    </row>
    <row r="709"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  <c r="AR709" s="11"/>
      <c r="AS709" s="11"/>
    </row>
    <row r="710"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  <c r="AR710" s="11"/>
      <c r="AS710" s="11"/>
    </row>
    <row r="711"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  <c r="AR711" s="11"/>
      <c r="AS711" s="11"/>
    </row>
    <row r="712"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  <c r="AR712" s="11"/>
      <c r="AS712" s="11"/>
    </row>
    <row r="713"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  <c r="AR713" s="11"/>
      <c r="AS713" s="11"/>
    </row>
    <row r="714"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  <c r="AR714" s="11"/>
      <c r="AS714" s="11"/>
    </row>
    <row r="715"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  <c r="AR715" s="11"/>
      <c r="AS715" s="11"/>
    </row>
    <row r="716"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  <c r="AR716" s="11"/>
      <c r="AS716" s="11"/>
    </row>
    <row r="717"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  <c r="AR717" s="11"/>
      <c r="AS717" s="11"/>
    </row>
    <row r="718"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  <c r="AR718" s="11"/>
      <c r="AS718" s="11"/>
    </row>
    <row r="719"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  <c r="AR719" s="11"/>
      <c r="AS719" s="11"/>
    </row>
    <row r="720"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  <c r="AR720" s="11"/>
      <c r="AS720" s="11"/>
    </row>
    <row r="721"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  <c r="AR721" s="11"/>
      <c r="AS721" s="11"/>
    </row>
    <row r="722"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  <c r="AR722" s="11"/>
      <c r="AS722" s="11"/>
    </row>
    <row r="723"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  <c r="AR723" s="11"/>
      <c r="AS723" s="11"/>
    </row>
    <row r="724"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  <c r="AR724" s="11"/>
      <c r="AS724" s="11"/>
    </row>
    <row r="725"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  <c r="AR725" s="11"/>
      <c r="AS725" s="11"/>
    </row>
    <row r="726"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  <c r="AR726" s="11"/>
      <c r="AS726" s="11"/>
    </row>
    <row r="727"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  <c r="AR727" s="11"/>
      <c r="AS727" s="11"/>
    </row>
    <row r="728"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  <c r="AR728" s="11"/>
      <c r="AS728" s="11"/>
    </row>
    <row r="729"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  <c r="AR729" s="11"/>
      <c r="AS729" s="11"/>
    </row>
    <row r="730"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  <c r="AR730" s="11"/>
      <c r="AS730" s="11"/>
    </row>
    <row r="731"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  <c r="AR731" s="11"/>
      <c r="AS731" s="11"/>
    </row>
    <row r="732"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  <c r="AR732" s="11"/>
      <c r="AS732" s="11"/>
    </row>
    <row r="733"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  <c r="AR733" s="11"/>
      <c r="AS733" s="11"/>
    </row>
    <row r="734"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  <c r="AR734" s="11"/>
      <c r="AS734" s="11"/>
    </row>
    <row r="735"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  <c r="AR735" s="11"/>
      <c r="AS735" s="11"/>
    </row>
    <row r="736"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  <c r="AR736" s="11"/>
      <c r="AS736" s="11"/>
    </row>
    <row r="737"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  <c r="AS737" s="11"/>
    </row>
    <row r="738"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  <c r="AS738" s="11"/>
    </row>
    <row r="739"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  <c r="AR739" s="11"/>
      <c r="AS739" s="11"/>
    </row>
    <row r="740"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  <c r="AR740" s="11"/>
      <c r="AS740" s="11"/>
    </row>
    <row r="741"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1"/>
      <c r="AS741" s="11"/>
    </row>
    <row r="742"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  <c r="AR742" s="11"/>
      <c r="AS742" s="11"/>
    </row>
    <row r="743"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  <c r="AR743" s="11"/>
      <c r="AS743" s="11"/>
    </row>
    <row r="744"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  <c r="AR744" s="11"/>
      <c r="AS744" s="11"/>
    </row>
    <row r="745"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1"/>
      <c r="AS745" s="11"/>
    </row>
    <row r="746"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  <c r="AR746" s="11"/>
      <c r="AS746" s="11"/>
    </row>
    <row r="747"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  <c r="AR747" s="11"/>
      <c r="AS747" s="11"/>
    </row>
    <row r="748"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  <c r="AR748" s="11"/>
      <c r="AS748" s="11"/>
    </row>
    <row r="749"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1"/>
      <c r="AS749" s="11"/>
    </row>
    <row r="750"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  <c r="AR750" s="11"/>
      <c r="AS750" s="11"/>
    </row>
    <row r="751"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  <c r="AR751" s="11"/>
      <c r="AS751" s="11"/>
    </row>
    <row r="752"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  <c r="AR752" s="11"/>
      <c r="AS752" s="11"/>
    </row>
    <row r="753"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  <c r="AR753" s="11"/>
      <c r="AS753" s="11"/>
    </row>
    <row r="754"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  <c r="AR754" s="11"/>
      <c r="AS754" s="11"/>
    </row>
    <row r="755"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1"/>
      <c r="AS755" s="11"/>
    </row>
    <row r="756"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  <c r="AS756" s="11"/>
    </row>
    <row r="757"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  <c r="AR757" s="11"/>
      <c r="AS757" s="11"/>
    </row>
    <row r="758"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  <c r="AR758" s="11"/>
      <c r="AS758" s="11"/>
    </row>
    <row r="759"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  <c r="AR759" s="11"/>
      <c r="AS759" s="11"/>
    </row>
    <row r="760"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  <c r="AR760" s="11"/>
      <c r="AS760" s="11"/>
    </row>
    <row r="761"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  <c r="AR761" s="11"/>
      <c r="AS761" s="11"/>
    </row>
    <row r="762"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  <c r="AR762" s="11"/>
      <c r="AS762" s="11"/>
    </row>
    <row r="763"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  <c r="AR763" s="11"/>
      <c r="AS763" s="11"/>
    </row>
    <row r="764"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  <c r="AR764" s="11"/>
      <c r="AS764" s="11"/>
    </row>
    <row r="765"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  <c r="AR765" s="11"/>
      <c r="AS765" s="11"/>
    </row>
    <row r="766"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  <c r="AR766" s="11"/>
      <c r="AS766" s="11"/>
    </row>
    <row r="767"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1"/>
      <c r="AS767" s="11"/>
    </row>
    <row r="768"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  <c r="AR768" s="11"/>
      <c r="AS768" s="11"/>
    </row>
    <row r="769"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  <c r="AR769" s="11"/>
      <c r="AS769" s="11"/>
    </row>
    <row r="770"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  <c r="AR770" s="11"/>
      <c r="AS770" s="11"/>
    </row>
    <row r="771"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  <c r="AR771" s="11"/>
      <c r="AS771" s="11"/>
    </row>
    <row r="772"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  <c r="AR772" s="11"/>
      <c r="AS772" s="11"/>
    </row>
    <row r="773"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  <c r="AR773" s="11"/>
      <c r="AS773" s="11"/>
    </row>
    <row r="774"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  <c r="AR774" s="11"/>
      <c r="AS774" s="11"/>
    </row>
    <row r="775"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  <c r="AR775" s="11"/>
      <c r="AS775" s="11"/>
    </row>
    <row r="776"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  <c r="AR776" s="11"/>
      <c r="AS776" s="11"/>
    </row>
    <row r="777"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  <c r="AR777" s="11"/>
      <c r="AS777" s="11"/>
    </row>
    <row r="778"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  <c r="AR778" s="11"/>
      <c r="AS778" s="11"/>
    </row>
    <row r="779"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  <c r="AR779" s="11"/>
      <c r="AS779" s="11"/>
    </row>
    <row r="780"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  <c r="AR780" s="11"/>
      <c r="AS780" s="11"/>
    </row>
    <row r="781"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  <c r="AR781" s="11"/>
      <c r="AS781" s="11"/>
    </row>
    <row r="782"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  <c r="AR782" s="11"/>
      <c r="AS782" s="11"/>
    </row>
    <row r="783"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  <c r="AR783" s="11"/>
      <c r="AS783" s="11"/>
    </row>
    <row r="784"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  <c r="AR784" s="11"/>
      <c r="AS784" s="11"/>
    </row>
    <row r="785"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  <c r="AR785" s="11"/>
      <c r="AS785" s="11"/>
    </row>
    <row r="786"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  <c r="AR786" s="11"/>
      <c r="AS786" s="11"/>
    </row>
    <row r="787"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  <c r="AR787" s="11"/>
      <c r="AS787" s="11"/>
    </row>
    <row r="788"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  <c r="AR788" s="11"/>
      <c r="AS788" s="11"/>
    </row>
    <row r="789"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  <c r="AR789" s="11"/>
      <c r="AS789" s="11"/>
    </row>
    <row r="790"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  <c r="AR790" s="11"/>
      <c r="AS790" s="11"/>
    </row>
    <row r="791"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1"/>
      <c r="AS791" s="11"/>
    </row>
    <row r="792"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  <c r="AR792" s="11"/>
      <c r="AS792" s="11"/>
    </row>
    <row r="793"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  <c r="AR793" s="11"/>
      <c r="AS793" s="11"/>
    </row>
    <row r="794"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  <c r="AR794" s="11"/>
      <c r="AS794" s="11"/>
    </row>
    <row r="795"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  <c r="AR795" s="11"/>
      <c r="AS795" s="11"/>
    </row>
    <row r="796"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  <c r="AR796" s="11"/>
      <c r="AS796" s="11"/>
    </row>
    <row r="797"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1"/>
      <c r="AS797" s="11"/>
    </row>
    <row r="798"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  <c r="AR798" s="11"/>
      <c r="AS798" s="11"/>
    </row>
    <row r="799"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  <c r="AR799" s="11"/>
      <c r="AS799" s="11"/>
    </row>
    <row r="800"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  <c r="AR800" s="11"/>
      <c r="AS800" s="11"/>
    </row>
    <row r="801"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  <c r="AR801" s="11"/>
      <c r="AS801" s="11"/>
    </row>
    <row r="802"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  <c r="AR802" s="11"/>
      <c r="AS802" s="11"/>
    </row>
    <row r="803"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  <c r="AR803" s="11"/>
      <c r="AS803" s="11"/>
    </row>
    <row r="804"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  <c r="AR804" s="11"/>
      <c r="AS804" s="11"/>
    </row>
    <row r="805"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  <c r="AR805" s="11"/>
      <c r="AS805" s="11"/>
    </row>
    <row r="806"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  <c r="AR806" s="11"/>
      <c r="AS806" s="11"/>
    </row>
    <row r="807"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  <c r="AR807" s="11"/>
      <c r="AS807" s="11"/>
    </row>
    <row r="808"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  <c r="AR808" s="11"/>
      <c r="AS808" s="11"/>
    </row>
    <row r="809"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  <c r="AR809" s="11"/>
      <c r="AS809" s="11"/>
    </row>
    <row r="810"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  <c r="AR810" s="11"/>
      <c r="AS810" s="11"/>
    </row>
    <row r="811"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  <c r="AR811" s="11"/>
      <c r="AS811" s="11"/>
    </row>
    <row r="812"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  <c r="AR812" s="11"/>
      <c r="AS812" s="11"/>
    </row>
    <row r="813"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  <c r="AR813" s="11"/>
      <c r="AS813" s="11"/>
    </row>
    <row r="814"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  <c r="AR814" s="11"/>
      <c r="AS814" s="11"/>
    </row>
    <row r="815"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  <c r="AR815" s="11"/>
      <c r="AS815" s="11"/>
    </row>
    <row r="816"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  <c r="AR816" s="11"/>
      <c r="AS816" s="11"/>
    </row>
    <row r="817"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  <c r="AR817" s="11"/>
      <c r="AS817" s="11"/>
    </row>
    <row r="818"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  <c r="AR818" s="11"/>
      <c r="AS818" s="11"/>
    </row>
    <row r="819"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  <c r="AR819" s="11"/>
      <c r="AS819" s="11"/>
    </row>
    <row r="820"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  <c r="AR820" s="11"/>
      <c r="AS820" s="11"/>
    </row>
    <row r="821"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  <c r="AR821" s="11"/>
      <c r="AS821" s="11"/>
    </row>
    <row r="822"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  <c r="AR822" s="11"/>
      <c r="AS822" s="11"/>
    </row>
    <row r="823"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  <c r="AR823" s="11"/>
      <c r="AS823" s="11"/>
    </row>
    <row r="824"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  <c r="AR824" s="11"/>
      <c r="AS824" s="11"/>
    </row>
    <row r="825"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  <c r="AR825" s="11"/>
      <c r="AS825" s="11"/>
    </row>
    <row r="826"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  <c r="AR826" s="11"/>
      <c r="AS826" s="11"/>
    </row>
    <row r="827"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  <c r="AR827" s="11"/>
      <c r="AS827" s="11"/>
    </row>
    <row r="828"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1"/>
      <c r="AS828" s="11"/>
    </row>
    <row r="829"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  <c r="AR829" s="11"/>
      <c r="AS829" s="11"/>
    </row>
    <row r="830"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  <c r="AR830" s="11"/>
      <c r="AS830" s="11"/>
    </row>
    <row r="831"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  <c r="AR831" s="11"/>
      <c r="AS831" s="11"/>
    </row>
    <row r="832"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  <c r="AR832" s="11"/>
      <c r="AS832" s="11"/>
    </row>
    <row r="833"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  <c r="AR833" s="11"/>
      <c r="AS833" s="11"/>
    </row>
    <row r="834"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  <c r="AR834" s="11"/>
      <c r="AS834" s="11"/>
    </row>
    <row r="835"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  <c r="AR835" s="11"/>
      <c r="AS835" s="11"/>
    </row>
    <row r="836"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  <c r="AR836" s="11"/>
      <c r="AS836" s="11"/>
    </row>
    <row r="837"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  <c r="AR837" s="11"/>
      <c r="AS837" s="11"/>
    </row>
    <row r="838"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  <c r="AR838" s="11"/>
      <c r="AS838" s="11"/>
    </row>
    <row r="839"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  <c r="AR839" s="11"/>
      <c r="AS839" s="11"/>
    </row>
    <row r="840"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  <c r="AR840" s="11"/>
      <c r="AS840" s="11"/>
    </row>
    <row r="841"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  <c r="AR841" s="11"/>
      <c r="AS841" s="11"/>
    </row>
    <row r="842"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  <c r="AR842" s="11"/>
      <c r="AS842" s="11"/>
    </row>
    <row r="843"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  <c r="AR843" s="11"/>
      <c r="AS843" s="11"/>
    </row>
    <row r="844"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  <c r="AR844" s="11"/>
      <c r="AS844" s="11"/>
    </row>
    <row r="845"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  <c r="AR845" s="11"/>
      <c r="AS845" s="11"/>
    </row>
    <row r="846"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1"/>
      <c r="AS846" s="11"/>
    </row>
    <row r="847"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  <c r="AR847" s="11"/>
      <c r="AS847" s="11"/>
    </row>
    <row r="848"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  <c r="AR848" s="11"/>
      <c r="AS848" s="11"/>
    </row>
    <row r="849"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  <c r="AR849" s="11"/>
      <c r="AS849" s="11"/>
    </row>
    <row r="850"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  <c r="AR850" s="11"/>
      <c r="AS850" s="11"/>
    </row>
    <row r="851"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  <c r="AR851" s="11"/>
      <c r="AS851" s="11"/>
    </row>
    <row r="852"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  <c r="AR852" s="11"/>
      <c r="AS852" s="11"/>
    </row>
    <row r="853"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  <c r="AR853" s="11"/>
      <c r="AS853" s="11"/>
    </row>
    <row r="854"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  <c r="AR854" s="11"/>
      <c r="AS854" s="11"/>
    </row>
    <row r="855"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  <c r="AR855" s="11"/>
      <c r="AS855" s="11"/>
    </row>
    <row r="856"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  <c r="AR856" s="11"/>
      <c r="AS856" s="11"/>
    </row>
    <row r="857"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  <c r="AR857" s="11"/>
      <c r="AS857" s="11"/>
    </row>
    <row r="858"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  <c r="AR858" s="11"/>
      <c r="AS858" s="11"/>
    </row>
    <row r="859"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  <c r="AR859" s="11"/>
      <c r="AS859" s="11"/>
    </row>
    <row r="860"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  <c r="AN860" s="11"/>
      <c r="AO860" s="11"/>
      <c r="AP860" s="11"/>
      <c r="AQ860" s="11"/>
      <c r="AR860" s="11"/>
      <c r="AS860" s="11"/>
    </row>
    <row r="861"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  <c r="AR861" s="11"/>
      <c r="AS861" s="11"/>
    </row>
    <row r="862"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  <c r="AM862" s="11"/>
      <c r="AN862" s="11"/>
      <c r="AO862" s="11"/>
      <c r="AP862" s="11"/>
      <c r="AQ862" s="11"/>
      <c r="AR862" s="11"/>
      <c r="AS862" s="11"/>
    </row>
    <row r="863"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  <c r="AR863" s="11"/>
      <c r="AS863" s="11"/>
    </row>
    <row r="864"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  <c r="AR864" s="11"/>
      <c r="AS864" s="11"/>
    </row>
    <row r="865"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  <c r="AR865" s="11"/>
      <c r="AS865" s="11"/>
    </row>
    <row r="866"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  <c r="AR866" s="11"/>
      <c r="AS866" s="11"/>
    </row>
    <row r="867"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  <c r="AR867" s="11"/>
      <c r="AS867" s="11"/>
    </row>
    <row r="868"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  <c r="AN868" s="11"/>
      <c r="AO868" s="11"/>
      <c r="AP868" s="11"/>
      <c r="AQ868" s="11"/>
      <c r="AR868" s="11"/>
      <c r="AS868" s="11"/>
    </row>
    <row r="869"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  <c r="AN869" s="11"/>
      <c r="AO869" s="11"/>
      <c r="AP869" s="11"/>
      <c r="AQ869" s="11"/>
      <c r="AR869" s="11"/>
      <c r="AS869" s="11"/>
    </row>
    <row r="870"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  <c r="AN870" s="11"/>
      <c r="AO870" s="11"/>
      <c r="AP870" s="11"/>
      <c r="AQ870" s="11"/>
      <c r="AR870" s="11"/>
      <c r="AS870" s="11"/>
    </row>
    <row r="871"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  <c r="AN871" s="11"/>
      <c r="AO871" s="11"/>
      <c r="AP871" s="11"/>
      <c r="AQ871" s="11"/>
      <c r="AR871" s="11"/>
      <c r="AS871" s="11"/>
    </row>
    <row r="872"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  <c r="AR872" s="11"/>
      <c r="AS872" s="11"/>
    </row>
    <row r="873"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  <c r="AR873" s="11"/>
      <c r="AS873" s="11"/>
    </row>
    <row r="874"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  <c r="AR874" s="11"/>
      <c r="AS874" s="11"/>
    </row>
    <row r="875"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  <c r="AR875" s="11"/>
      <c r="AS875" s="11"/>
    </row>
    <row r="876"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  <c r="AO876" s="11"/>
      <c r="AP876" s="11"/>
      <c r="AQ876" s="11"/>
      <c r="AR876" s="11"/>
      <c r="AS876" s="11"/>
    </row>
    <row r="877"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  <c r="AR877" s="11"/>
      <c r="AS877" s="11"/>
    </row>
    <row r="878"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  <c r="AO878" s="11"/>
      <c r="AP878" s="11"/>
      <c r="AQ878" s="11"/>
      <c r="AR878" s="11"/>
      <c r="AS878" s="11"/>
    </row>
    <row r="879"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/>
      <c r="AP879" s="11"/>
      <c r="AQ879" s="11"/>
      <c r="AR879" s="11"/>
      <c r="AS879" s="11"/>
    </row>
    <row r="880"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  <c r="AO880" s="11"/>
      <c r="AP880" s="11"/>
      <c r="AQ880" s="11"/>
      <c r="AR880" s="11"/>
      <c r="AS880" s="11"/>
    </row>
    <row r="881"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  <c r="AR881" s="11"/>
      <c r="AS881" s="11"/>
    </row>
    <row r="882"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  <c r="AR882" s="11"/>
      <c r="AS882" s="11"/>
    </row>
    <row r="883"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  <c r="AN883" s="11"/>
      <c r="AO883" s="11"/>
      <c r="AP883" s="11"/>
      <c r="AQ883" s="11"/>
      <c r="AR883" s="11"/>
      <c r="AS883" s="11"/>
    </row>
    <row r="884"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  <c r="AO884" s="11"/>
      <c r="AP884" s="11"/>
      <c r="AQ884" s="11"/>
      <c r="AR884" s="11"/>
      <c r="AS884" s="11"/>
    </row>
    <row r="885"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  <c r="AN885" s="11"/>
      <c r="AO885" s="11"/>
      <c r="AP885" s="11"/>
      <c r="AQ885" s="11"/>
      <c r="AR885" s="11"/>
      <c r="AS885" s="11"/>
    </row>
    <row r="886"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  <c r="AO886" s="11"/>
      <c r="AP886" s="11"/>
      <c r="AQ886" s="11"/>
      <c r="AR886" s="11"/>
      <c r="AS886" s="11"/>
    </row>
    <row r="887"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  <c r="AR887" s="11"/>
      <c r="AS887" s="11"/>
    </row>
    <row r="888"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  <c r="AO888" s="11"/>
      <c r="AP888" s="11"/>
      <c r="AQ888" s="11"/>
      <c r="AR888" s="11"/>
      <c r="AS888" s="11"/>
    </row>
    <row r="889"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  <c r="AO889" s="11"/>
      <c r="AP889" s="11"/>
      <c r="AQ889" s="11"/>
      <c r="AR889" s="11"/>
      <c r="AS889" s="11"/>
    </row>
    <row r="890"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  <c r="AN890" s="11"/>
      <c r="AO890" s="11"/>
      <c r="AP890" s="11"/>
      <c r="AQ890" s="11"/>
      <c r="AR890" s="11"/>
      <c r="AS890" s="11"/>
    </row>
    <row r="891"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  <c r="AO891" s="11"/>
      <c r="AP891" s="11"/>
      <c r="AQ891" s="11"/>
      <c r="AR891" s="11"/>
      <c r="AS891" s="11"/>
    </row>
    <row r="892"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  <c r="AN892" s="11"/>
      <c r="AO892" s="11"/>
      <c r="AP892" s="11"/>
      <c r="AQ892" s="11"/>
      <c r="AR892" s="11"/>
      <c r="AS892" s="11"/>
    </row>
    <row r="893"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  <c r="AO893" s="11"/>
      <c r="AP893" s="11"/>
      <c r="AQ893" s="11"/>
      <c r="AR893" s="11"/>
      <c r="AS893" s="11"/>
    </row>
    <row r="894"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  <c r="AN894" s="11"/>
      <c r="AO894" s="11"/>
      <c r="AP894" s="11"/>
      <c r="AQ894" s="11"/>
      <c r="AR894" s="11"/>
      <c r="AS894" s="11"/>
    </row>
    <row r="895"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  <c r="AO895" s="11"/>
      <c r="AP895" s="11"/>
      <c r="AQ895" s="11"/>
      <c r="AR895" s="11"/>
      <c r="AS895" s="11"/>
    </row>
    <row r="896"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  <c r="AM896" s="11"/>
      <c r="AN896" s="11"/>
      <c r="AO896" s="11"/>
      <c r="AP896" s="11"/>
      <c r="AQ896" s="11"/>
      <c r="AR896" s="11"/>
      <c r="AS896" s="11"/>
    </row>
    <row r="897"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  <c r="AR897" s="11"/>
      <c r="AS897" s="11"/>
    </row>
    <row r="898"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  <c r="AN898" s="11"/>
      <c r="AO898" s="11"/>
      <c r="AP898" s="11"/>
      <c r="AQ898" s="11"/>
      <c r="AR898" s="11"/>
      <c r="AS898" s="11"/>
    </row>
    <row r="899"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  <c r="AR899" s="11"/>
      <c r="AS899" s="11"/>
    </row>
    <row r="900"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  <c r="AR900" s="11"/>
      <c r="AS900" s="11"/>
    </row>
    <row r="901"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  <c r="AN901" s="11"/>
      <c r="AO901" s="11"/>
      <c r="AP901" s="11"/>
      <c r="AQ901" s="11"/>
      <c r="AR901" s="11"/>
      <c r="AS901" s="11"/>
    </row>
    <row r="902"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  <c r="AM902" s="11"/>
      <c r="AN902" s="11"/>
      <c r="AO902" s="11"/>
      <c r="AP902" s="11"/>
      <c r="AQ902" s="11"/>
      <c r="AR902" s="11"/>
      <c r="AS902" s="11"/>
    </row>
    <row r="903"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  <c r="AR903" s="11"/>
      <c r="AS903" s="11"/>
    </row>
    <row r="904"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  <c r="AN904" s="11"/>
      <c r="AO904" s="11"/>
      <c r="AP904" s="11"/>
      <c r="AQ904" s="11"/>
      <c r="AR904" s="11"/>
      <c r="AS904" s="11"/>
    </row>
    <row r="905"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  <c r="AN905" s="11"/>
      <c r="AO905" s="11"/>
      <c r="AP905" s="11"/>
      <c r="AQ905" s="11"/>
      <c r="AR905" s="11"/>
      <c r="AS905" s="11"/>
    </row>
    <row r="906"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  <c r="AN906" s="11"/>
      <c r="AO906" s="11"/>
      <c r="AP906" s="11"/>
      <c r="AQ906" s="11"/>
      <c r="AR906" s="11"/>
      <c r="AS906" s="11"/>
    </row>
    <row r="907"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  <c r="AO907" s="11"/>
      <c r="AP907" s="11"/>
      <c r="AQ907" s="11"/>
      <c r="AR907" s="11"/>
      <c r="AS907" s="11"/>
    </row>
    <row r="908"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  <c r="AO908" s="11"/>
      <c r="AP908" s="11"/>
      <c r="AQ908" s="11"/>
      <c r="AR908" s="11"/>
      <c r="AS908" s="11"/>
    </row>
    <row r="909"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  <c r="AO909" s="11"/>
      <c r="AP909" s="11"/>
      <c r="AQ909" s="11"/>
      <c r="AR909" s="11"/>
      <c r="AS909" s="11"/>
    </row>
    <row r="910"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  <c r="AM910" s="11"/>
      <c r="AN910" s="11"/>
      <c r="AO910" s="11"/>
      <c r="AP910" s="11"/>
      <c r="AQ910" s="11"/>
      <c r="AR910" s="11"/>
      <c r="AS910" s="11"/>
    </row>
    <row r="911"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  <c r="AR911" s="11"/>
      <c r="AS911" s="11"/>
    </row>
    <row r="912"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  <c r="AN912" s="11"/>
      <c r="AO912" s="11"/>
      <c r="AP912" s="11"/>
      <c r="AQ912" s="11"/>
      <c r="AR912" s="11"/>
      <c r="AS912" s="11"/>
    </row>
    <row r="913"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  <c r="AR913" s="11"/>
      <c r="AS913" s="11"/>
    </row>
    <row r="914"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  <c r="AR914" s="11"/>
      <c r="AS914" s="11"/>
    </row>
    <row r="915"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  <c r="AR915" s="11"/>
      <c r="AS915" s="11"/>
    </row>
    <row r="916"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  <c r="AO916" s="11"/>
      <c r="AP916" s="11"/>
      <c r="AQ916" s="11"/>
      <c r="AR916" s="11"/>
      <c r="AS916" s="11"/>
    </row>
    <row r="917"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  <c r="AR917" s="11"/>
      <c r="AS917" s="11"/>
    </row>
    <row r="918"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  <c r="AR918" s="11"/>
      <c r="AS918" s="11"/>
    </row>
    <row r="919"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  <c r="AN919" s="11"/>
      <c r="AO919" s="11"/>
      <c r="AP919" s="11"/>
      <c r="AQ919" s="11"/>
      <c r="AR919" s="11"/>
      <c r="AS919" s="11"/>
    </row>
    <row r="920"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  <c r="AN920" s="11"/>
      <c r="AO920" s="11"/>
      <c r="AP920" s="11"/>
      <c r="AQ920" s="11"/>
      <c r="AR920" s="11"/>
      <c r="AS920" s="11"/>
    </row>
    <row r="921"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  <c r="AR921" s="11"/>
      <c r="AS921" s="11"/>
    </row>
    <row r="922"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  <c r="AO922" s="11"/>
      <c r="AP922" s="11"/>
      <c r="AQ922" s="11"/>
      <c r="AR922" s="11"/>
      <c r="AS922" s="11"/>
    </row>
    <row r="923"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  <c r="AO923" s="11"/>
      <c r="AP923" s="11"/>
      <c r="AQ923" s="11"/>
      <c r="AR923" s="11"/>
      <c r="AS923" s="11"/>
    </row>
    <row r="924"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  <c r="AN924" s="11"/>
      <c r="AO924" s="11"/>
      <c r="AP924" s="11"/>
      <c r="AQ924" s="11"/>
      <c r="AR924" s="11"/>
      <c r="AS924" s="11"/>
    </row>
    <row r="925"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  <c r="AO925" s="11"/>
      <c r="AP925" s="11"/>
      <c r="AQ925" s="11"/>
      <c r="AR925" s="11"/>
      <c r="AS925" s="11"/>
    </row>
    <row r="926"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  <c r="AN926" s="11"/>
      <c r="AO926" s="11"/>
      <c r="AP926" s="11"/>
      <c r="AQ926" s="11"/>
      <c r="AR926" s="11"/>
      <c r="AS926" s="11"/>
    </row>
    <row r="927"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  <c r="AO927" s="11"/>
      <c r="AP927" s="11"/>
      <c r="AQ927" s="11"/>
      <c r="AR927" s="11"/>
      <c r="AS927" s="11"/>
    </row>
    <row r="928"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  <c r="AN928" s="11"/>
      <c r="AO928" s="11"/>
      <c r="AP928" s="11"/>
      <c r="AQ928" s="11"/>
      <c r="AR928" s="11"/>
      <c r="AS928" s="11"/>
    </row>
    <row r="929"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  <c r="AR929" s="11"/>
      <c r="AS929" s="11"/>
    </row>
    <row r="930"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  <c r="AO930" s="11"/>
      <c r="AP930" s="11"/>
      <c r="AQ930" s="11"/>
      <c r="AR930" s="11"/>
      <c r="AS930" s="11"/>
    </row>
    <row r="931"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  <c r="AN931" s="11"/>
      <c r="AO931" s="11"/>
      <c r="AP931" s="11"/>
      <c r="AQ931" s="11"/>
      <c r="AR931" s="11"/>
      <c r="AS931" s="11"/>
    </row>
    <row r="932"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  <c r="AO932" s="11"/>
      <c r="AP932" s="11"/>
      <c r="AQ932" s="11"/>
      <c r="AR932" s="11"/>
      <c r="AS932" s="11"/>
    </row>
    <row r="933"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  <c r="AR933" s="11"/>
      <c r="AS933" s="11"/>
    </row>
    <row r="934"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  <c r="AN934" s="11"/>
      <c r="AO934" s="11"/>
      <c r="AP934" s="11"/>
      <c r="AQ934" s="11"/>
      <c r="AR934" s="11"/>
      <c r="AS934" s="11"/>
    </row>
    <row r="935"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  <c r="AR935" s="11"/>
      <c r="AS935" s="11"/>
    </row>
    <row r="936"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  <c r="AR936" s="11"/>
      <c r="AS936" s="11"/>
    </row>
    <row r="937"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  <c r="AM937" s="11"/>
      <c r="AN937" s="11"/>
      <c r="AO937" s="11"/>
      <c r="AP937" s="11"/>
      <c r="AQ937" s="11"/>
      <c r="AR937" s="11"/>
      <c r="AS937" s="11"/>
    </row>
    <row r="938"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  <c r="AR938" s="11"/>
      <c r="AS938" s="11"/>
    </row>
    <row r="939"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  <c r="AO939" s="11"/>
      <c r="AP939" s="11"/>
      <c r="AQ939" s="11"/>
      <c r="AR939" s="11"/>
      <c r="AS939" s="11"/>
    </row>
    <row r="940"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  <c r="AO940" s="11"/>
      <c r="AP940" s="11"/>
      <c r="AQ940" s="11"/>
      <c r="AR940" s="11"/>
      <c r="AS940" s="11"/>
    </row>
    <row r="941"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/>
      <c r="AP941" s="11"/>
      <c r="AQ941" s="11"/>
      <c r="AR941" s="11"/>
      <c r="AS941" s="11"/>
    </row>
    <row r="942"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  <c r="AN942" s="11"/>
      <c r="AO942" s="11"/>
      <c r="AP942" s="11"/>
      <c r="AQ942" s="11"/>
      <c r="AR942" s="11"/>
      <c r="AS942" s="11"/>
    </row>
    <row r="943"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  <c r="AN943" s="11"/>
      <c r="AO943" s="11"/>
      <c r="AP943" s="11"/>
      <c r="AQ943" s="11"/>
      <c r="AR943" s="11"/>
      <c r="AS943" s="11"/>
    </row>
    <row r="944"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  <c r="AM944" s="11"/>
      <c r="AN944" s="11"/>
      <c r="AO944" s="11"/>
      <c r="AP944" s="11"/>
      <c r="AQ944" s="11"/>
      <c r="AR944" s="11"/>
      <c r="AS944" s="11"/>
    </row>
    <row r="945"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  <c r="AO945" s="11"/>
      <c r="AP945" s="11"/>
      <c r="AQ945" s="11"/>
      <c r="AR945" s="11"/>
      <c r="AS945" s="11"/>
    </row>
    <row r="946"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  <c r="AM946" s="11"/>
      <c r="AN946" s="11"/>
      <c r="AO946" s="11"/>
      <c r="AP946" s="11"/>
      <c r="AQ946" s="11"/>
      <c r="AR946" s="11"/>
      <c r="AS946" s="11"/>
    </row>
    <row r="947"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  <c r="AR947" s="11"/>
      <c r="AS947" s="11"/>
    </row>
    <row r="948"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  <c r="AM948" s="11"/>
      <c r="AN948" s="11"/>
      <c r="AO948" s="11"/>
      <c r="AP948" s="11"/>
      <c r="AQ948" s="11"/>
      <c r="AR948" s="11"/>
      <c r="AS948" s="11"/>
    </row>
    <row r="949"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  <c r="AM949" s="11"/>
      <c r="AN949" s="11"/>
      <c r="AO949" s="11"/>
      <c r="AP949" s="11"/>
      <c r="AQ949" s="11"/>
      <c r="AR949" s="11"/>
      <c r="AS949" s="11"/>
    </row>
    <row r="950"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  <c r="AM950" s="11"/>
      <c r="AN950" s="11"/>
      <c r="AO950" s="11"/>
      <c r="AP950" s="11"/>
      <c r="AQ950" s="11"/>
      <c r="AR950" s="11"/>
      <c r="AS950" s="11"/>
    </row>
    <row r="951"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  <c r="AO951" s="11"/>
      <c r="AP951" s="11"/>
      <c r="AQ951" s="11"/>
      <c r="AR951" s="11"/>
      <c r="AS951" s="11"/>
    </row>
    <row r="952"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1"/>
      <c r="AM952" s="11"/>
      <c r="AN952" s="11"/>
      <c r="AO952" s="11"/>
      <c r="AP952" s="11"/>
      <c r="AQ952" s="11"/>
      <c r="AR952" s="11"/>
      <c r="AS952" s="11"/>
    </row>
    <row r="953"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  <c r="AR953" s="11"/>
      <c r="AS953" s="11"/>
    </row>
    <row r="954"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  <c r="AR954" s="11"/>
      <c r="AS954" s="11"/>
    </row>
    <row r="955"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  <c r="AM955" s="11"/>
      <c r="AN955" s="11"/>
      <c r="AO955" s="11"/>
      <c r="AP955" s="11"/>
      <c r="AQ955" s="11"/>
      <c r="AR955" s="11"/>
      <c r="AS955" s="11"/>
    </row>
    <row r="956"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  <c r="AR956" s="11"/>
      <c r="AS956" s="11"/>
    </row>
    <row r="957"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  <c r="AM957" s="11"/>
      <c r="AN957" s="11"/>
      <c r="AO957" s="11"/>
      <c r="AP957" s="11"/>
      <c r="AQ957" s="11"/>
      <c r="AR957" s="11"/>
      <c r="AS957" s="11"/>
    </row>
    <row r="958"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  <c r="AM958" s="11"/>
      <c r="AN958" s="11"/>
      <c r="AO958" s="11"/>
      <c r="AP958" s="11"/>
      <c r="AQ958" s="11"/>
      <c r="AR958" s="11"/>
      <c r="AS958" s="11"/>
    </row>
    <row r="959"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  <c r="AO959" s="11"/>
      <c r="AP959" s="11"/>
      <c r="AQ959" s="11"/>
      <c r="AR959" s="11"/>
      <c r="AS959" s="11"/>
    </row>
    <row r="960"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  <c r="AM960" s="11"/>
      <c r="AN960" s="11"/>
      <c r="AO960" s="11"/>
      <c r="AP960" s="11"/>
      <c r="AQ960" s="11"/>
      <c r="AR960" s="11"/>
      <c r="AS960" s="11"/>
    </row>
    <row r="961"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  <c r="AM961" s="11"/>
      <c r="AN961" s="11"/>
      <c r="AO961" s="11"/>
      <c r="AP961" s="11"/>
      <c r="AQ961" s="11"/>
      <c r="AR961" s="11"/>
      <c r="AS961" s="11"/>
    </row>
    <row r="962"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  <c r="AR962" s="11"/>
      <c r="AS962" s="11"/>
    </row>
    <row r="963"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  <c r="AR963" s="11"/>
      <c r="AS963" s="11"/>
    </row>
    <row r="964"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  <c r="AN964" s="11"/>
      <c r="AO964" s="11"/>
      <c r="AP964" s="11"/>
      <c r="AQ964" s="11"/>
      <c r="AR964" s="11"/>
      <c r="AS964" s="11"/>
    </row>
    <row r="965"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  <c r="AO965" s="11"/>
      <c r="AP965" s="11"/>
      <c r="AQ965" s="11"/>
      <c r="AR965" s="11"/>
      <c r="AS965" s="11"/>
    </row>
    <row r="966"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  <c r="AM966" s="11"/>
      <c r="AN966" s="11"/>
      <c r="AO966" s="11"/>
      <c r="AP966" s="11"/>
      <c r="AQ966" s="11"/>
      <c r="AR966" s="11"/>
      <c r="AS966" s="11"/>
    </row>
    <row r="967"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/>
      <c r="AP967" s="11"/>
      <c r="AQ967" s="11"/>
      <c r="AR967" s="11"/>
      <c r="AS967" s="11"/>
    </row>
    <row r="968"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  <c r="AN968" s="11"/>
      <c r="AO968" s="11"/>
      <c r="AP968" s="11"/>
      <c r="AQ968" s="11"/>
      <c r="AR968" s="11"/>
      <c r="AS968" s="11"/>
    </row>
    <row r="969"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  <c r="AR969" s="11"/>
      <c r="AS969" s="11"/>
    </row>
    <row r="970"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1"/>
      <c r="AN970" s="11"/>
      <c r="AO970" s="11"/>
      <c r="AP970" s="11"/>
      <c r="AQ970" s="11"/>
      <c r="AR970" s="11"/>
      <c r="AS970" s="11"/>
    </row>
    <row r="971"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  <c r="AR971" s="11"/>
      <c r="AS971" s="11"/>
    </row>
    <row r="972"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  <c r="AR972" s="11"/>
      <c r="AS972" s="11"/>
    </row>
    <row r="973"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  <c r="AM973" s="11"/>
      <c r="AN973" s="11"/>
      <c r="AO973" s="11"/>
      <c r="AP973" s="11"/>
      <c r="AQ973" s="11"/>
      <c r="AR973" s="11"/>
      <c r="AS973" s="11"/>
    </row>
    <row r="974"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/>
      <c r="AN974" s="11"/>
      <c r="AO974" s="11"/>
      <c r="AP974" s="11"/>
      <c r="AQ974" s="11"/>
      <c r="AR974" s="11"/>
      <c r="AS974" s="11"/>
    </row>
    <row r="975"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  <c r="AR975" s="11"/>
      <c r="AS975" s="11"/>
    </row>
    <row r="976"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  <c r="AM976" s="11"/>
      <c r="AN976" s="11"/>
      <c r="AO976" s="11"/>
      <c r="AP976" s="11"/>
      <c r="AQ976" s="11"/>
      <c r="AR976" s="11"/>
      <c r="AS976" s="11"/>
    </row>
    <row r="977"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  <c r="AR977" s="11"/>
      <c r="AS977" s="11"/>
    </row>
    <row r="978"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1"/>
      <c r="AM978" s="11"/>
      <c r="AN978" s="11"/>
      <c r="AO978" s="11"/>
      <c r="AP978" s="11"/>
      <c r="AQ978" s="11"/>
      <c r="AR978" s="11"/>
      <c r="AS978" s="11"/>
    </row>
    <row r="979"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  <c r="AO979" s="11"/>
      <c r="AP979" s="11"/>
      <c r="AQ979" s="11"/>
      <c r="AR979" s="11"/>
      <c r="AS979" s="11"/>
    </row>
    <row r="980"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  <c r="AO980" s="11"/>
      <c r="AP980" s="11"/>
      <c r="AQ980" s="11"/>
      <c r="AR980" s="11"/>
      <c r="AS980" s="11"/>
    </row>
    <row r="981"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  <c r="AR981" s="11"/>
      <c r="AS981" s="11"/>
    </row>
    <row r="982"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  <c r="AM982" s="11"/>
      <c r="AN982" s="11"/>
      <c r="AO982" s="11"/>
      <c r="AP982" s="11"/>
      <c r="AQ982" s="11"/>
      <c r="AR982" s="11"/>
      <c r="AS982" s="11"/>
    </row>
    <row r="983"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  <c r="AR983" s="11"/>
      <c r="AS983" s="11"/>
    </row>
    <row r="984"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  <c r="AN984" s="11"/>
      <c r="AO984" s="11"/>
      <c r="AP984" s="11"/>
      <c r="AQ984" s="11"/>
      <c r="AR984" s="11"/>
      <c r="AS984" s="11"/>
    </row>
    <row r="985"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  <c r="AR985" s="11"/>
      <c r="AS985" s="11"/>
    </row>
    <row r="986"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  <c r="AM986" s="11"/>
      <c r="AN986" s="11"/>
      <c r="AO986" s="11"/>
      <c r="AP986" s="11"/>
      <c r="AQ986" s="11"/>
      <c r="AR986" s="11"/>
      <c r="AS986" s="11"/>
    </row>
    <row r="987"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  <c r="AO987" s="11"/>
      <c r="AP987" s="11"/>
      <c r="AQ987" s="11"/>
      <c r="AR987" s="11"/>
      <c r="AS987" s="11"/>
    </row>
    <row r="988"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1"/>
      <c r="AM988" s="11"/>
      <c r="AN988" s="11"/>
      <c r="AO988" s="11"/>
      <c r="AP988" s="11"/>
      <c r="AQ988" s="11"/>
      <c r="AR988" s="11"/>
      <c r="AS988" s="11"/>
    </row>
    <row r="989"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  <c r="AM989" s="11"/>
      <c r="AN989" s="11"/>
      <c r="AO989" s="11"/>
      <c r="AP989" s="11"/>
      <c r="AQ989" s="11"/>
      <c r="AR989" s="11"/>
      <c r="AS989" s="11"/>
    </row>
    <row r="990"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  <c r="AO990" s="11"/>
      <c r="AP990" s="11"/>
      <c r="AQ990" s="11"/>
      <c r="AR990" s="11"/>
      <c r="AS990" s="11"/>
    </row>
    <row r="991"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1"/>
      <c r="AM991" s="11"/>
      <c r="AN991" s="11"/>
      <c r="AO991" s="11"/>
      <c r="AP991" s="11"/>
      <c r="AQ991" s="11"/>
      <c r="AR991" s="11"/>
      <c r="AS991" s="11"/>
    </row>
    <row r="992"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/>
      <c r="AM992" s="11"/>
      <c r="AN992" s="11"/>
      <c r="AO992" s="11"/>
      <c r="AP992" s="11"/>
      <c r="AQ992" s="11"/>
      <c r="AR992" s="11"/>
      <c r="AS992" s="11"/>
    </row>
    <row r="993"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  <c r="AM993" s="11"/>
      <c r="AN993" s="11"/>
      <c r="AO993" s="11"/>
      <c r="AP993" s="11"/>
      <c r="AQ993" s="11"/>
      <c r="AR993" s="11"/>
      <c r="AS993" s="11"/>
    </row>
    <row r="994"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1"/>
      <c r="AM994" s="11"/>
      <c r="AN994" s="11"/>
      <c r="AO994" s="11"/>
      <c r="AP994" s="11"/>
      <c r="AQ994" s="11"/>
      <c r="AR994" s="11"/>
      <c r="AS994" s="11"/>
    </row>
    <row r="995"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1"/>
      <c r="AM995" s="11"/>
      <c r="AN995" s="11"/>
      <c r="AO995" s="11"/>
      <c r="AP995" s="11"/>
      <c r="AQ995" s="11"/>
      <c r="AR995" s="11"/>
      <c r="AS995" s="11"/>
    </row>
    <row r="996"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1"/>
      <c r="AM996" s="11"/>
      <c r="AN996" s="11"/>
      <c r="AO996" s="11"/>
      <c r="AP996" s="11"/>
      <c r="AQ996" s="11"/>
      <c r="AR996" s="11"/>
      <c r="AS996" s="11"/>
    </row>
    <row r="997"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1"/>
      <c r="AM997" s="11"/>
      <c r="AN997" s="11"/>
      <c r="AO997" s="11"/>
      <c r="AP997" s="11"/>
      <c r="AQ997" s="11"/>
      <c r="AR997" s="11"/>
      <c r="AS997" s="11"/>
    </row>
    <row r="998"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  <c r="AL998" s="11"/>
      <c r="AM998" s="11"/>
      <c r="AN998" s="11"/>
      <c r="AO998" s="11"/>
      <c r="AP998" s="11"/>
      <c r="AQ998" s="11"/>
      <c r="AR998" s="11"/>
      <c r="AS998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30.88"/>
    <col customWidth="1" min="4" max="4" width="18.25"/>
    <col customWidth="1" min="5" max="5" width="13.38"/>
  </cols>
  <sheetData>
    <row r="1">
      <c r="A1" s="38" t="s">
        <v>100</v>
      </c>
      <c r="B1" s="39" t="s">
        <v>0</v>
      </c>
      <c r="C1" s="39" t="s">
        <v>101</v>
      </c>
      <c r="D1" s="39" t="s">
        <v>102</v>
      </c>
      <c r="E1" s="39" t="s">
        <v>103</v>
      </c>
    </row>
    <row r="2">
      <c r="A2" s="40">
        <v>1.0</v>
      </c>
      <c r="B2" s="8" t="str">
        <f>Results!B2</f>
        <v>ZioMau - jasf2 (not so stupid)</v>
      </c>
      <c r="C2" s="41" t="s">
        <v>104</v>
      </c>
      <c r="D2" s="8"/>
      <c r="E2" s="41" t="s">
        <v>105</v>
      </c>
    </row>
    <row r="3">
      <c r="A3" s="40">
        <v>2.0</v>
      </c>
      <c r="B3" s="8" t="str">
        <f>Results!B3</f>
        <v>Taron - Stealing the Ragnarök</v>
      </c>
      <c r="C3" s="41" t="s">
        <v>104</v>
      </c>
      <c r="D3" s="8"/>
      <c r="E3" s="41" t="s">
        <v>105</v>
      </c>
    </row>
    <row r="4">
      <c r="A4" s="40">
        <v>3.0</v>
      </c>
      <c r="B4" s="8" t="str">
        <f>Results!B4</f>
        <v>ELEX - Bouquet de Fleurs</v>
      </c>
      <c r="C4" s="41" t="s">
        <v>106</v>
      </c>
      <c r="D4" s="8"/>
      <c r="E4" s="41" t="s">
        <v>107</v>
      </c>
    </row>
    <row r="5">
      <c r="A5" s="40">
        <v>4.0</v>
      </c>
      <c r="B5" s="8" t="str">
        <f>Results!B5</f>
        <v>silverpants - Stuntik Velpern</v>
      </c>
      <c r="C5" s="41" t="s">
        <v>104</v>
      </c>
      <c r="D5" s="8"/>
      <c r="E5" s="41" t="s">
        <v>105</v>
      </c>
    </row>
    <row r="6">
      <c r="A6" s="40">
        <v>5.0</v>
      </c>
      <c r="B6" s="8" t="str">
        <f>Results!B6</f>
        <v>] Peter:H [ - ømph</v>
      </c>
      <c r="C6" s="41" t="s">
        <v>104</v>
      </c>
      <c r="D6" s="8"/>
      <c r="E6" s="41" t="s">
        <v>105</v>
      </c>
    </row>
  </sheetData>
  <drawing r:id="rId1"/>
</worksheet>
</file>
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CORES" sheetId="1" r:id="rId4"/>
    <sheet state="visible" name="Voting Results" sheetId="2" r:id="rId5"/>
    <sheet state="visible" name="Statistics" sheetId="3" r:id="rId6"/>
  </sheets>
  <definedNames/>
  <calcPr/>
</workbook>
</file>

<file path=xl/sharedStrings.xml><?xml version="1.0" encoding="utf-8"?>
<sst xmlns="http://schemas.openxmlformats.org/spreadsheetml/2006/main" count="77" uniqueCount="77">
  <si>
    <t>Timestamp</t>
  </si>
  <si>
    <t>Voter Name (KVR nick)</t>
  </si>
  <si>
    <t>AboveThoughts - Relf Country Palas</t>
  </si>
  <si>
    <t>Bjporter - An Extremely Hypnotic And Repetitive Melodic Doodad</t>
  </si>
  <si>
    <t>Cactoos - You Are Dust</t>
  </si>
  <si>
    <t>Caine123 - Kurayami</t>
  </si>
  <si>
    <t>Chilled panda - One Spectral Christmas</t>
  </si>
  <si>
    <t>ClaRago - Soft Spot</t>
  </si>
  <si>
    <t>Dzah - Spectralized Prototized</t>
  </si>
  <si>
    <t>Eauson - Full Spectral Meltdown</t>
  </si>
  <si>
    <t>G-Roove - Spectraland</t>
  </si>
  <si>
    <t>Harthstein - Stoneforest Odyssey</t>
  </si>
  <si>
    <t>H-man - G.O.M.B</t>
  </si>
  <si>
    <t>J.Ruegg - Cloud-stral</t>
  </si>
  <si>
    <t>Jasinski - Robot Music</t>
  </si>
  <si>
    <t>JKF flashico - Dancing With The Elecrtonic Wolves</t>
  </si>
  <si>
    <t>Key88 - 201312Spectral</t>
  </si>
  <si>
    <t>Lemmike - Spectrayear</t>
  </si>
  <si>
    <t>Loris DS - Walking Back Through Theime</t>
  </si>
  <si>
    <t>Marks-a-Whybikky - Spectral Cookie</t>
  </si>
  <si>
    <t>Nightpolymath - Spectrally Yours</t>
  </si>
  <si>
    <t>Objectman - See</t>
  </si>
  <si>
    <t>Ontrackp - Spectral Time Zone</t>
  </si>
  <si>
    <t>Oopfoo - Solstitial Twilight</t>
  </si>
  <si>
    <t>Oorlab - Well Come</t>
  </si>
  <si>
    <t>Pedalsteeldrummer - Stay Classy</t>
  </si>
  <si>
    <t>Psmacmur - Danger Low Voltage</t>
  </si>
  <si>
    <t>Richard Semper - An Evening Cruise</t>
  </si>
  <si>
    <t>Ricler - Mirror maze</t>
  </si>
  <si>
    <t>SatYatunes - Twilight</t>
  </si>
  <si>
    <t>Shortmanb - Spectral Fall</t>
  </si>
  <si>
    <t>Skyzone - The Angel Trumps</t>
  </si>
  <si>
    <t>Sonnydeluxe - High Noon. With Drones</t>
  </si>
  <si>
    <t>Thehejonsolo - Spectralcide</t>
  </si>
  <si>
    <t>ThePresent - Turn It On Again</t>
  </si>
  <si>
    <t>Xenox.AFL - FN-SPECT(R)AcuLar</t>
  </si>
  <si>
    <t>Yeager - Monotonous Variations</t>
  </si>
  <si>
    <t>Xenox.AFL</t>
  </si>
  <si>
    <t>Nightpolymath</t>
  </si>
  <si>
    <t>satYatunes</t>
  </si>
  <si>
    <t>thejonsolo</t>
  </si>
  <si>
    <t>G-Roove</t>
  </si>
  <si>
    <t>ThePresent</t>
  </si>
  <si>
    <t>JKF Flashico</t>
  </si>
  <si>
    <t>shortmanb</t>
  </si>
  <si>
    <t>psmacmur</t>
  </si>
  <si>
    <t>Ricler</t>
  </si>
  <si>
    <t>richardsemper</t>
  </si>
  <si>
    <t>animehaus</t>
  </si>
  <si>
    <t>SKYZONE</t>
  </si>
  <si>
    <t>Eauson</t>
  </si>
  <si>
    <t>ontrackp</t>
  </si>
  <si>
    <t>RuediRena</t>
  </si>
  <si>
    <t>oopfoo</t>
  </si>
  <si>
    <t>chilled panda</t>
  </si>
  <si>
    <t>Caine123</t>
  </si>
  <si>
    <t>pedalsteeldrummer</t>
  </si>
  <si>
    <t>abovethoughts</t>
  </si>
  <si>
    <t>Yeager</t>
  </si>
  <si>
    <t>Harthstein</t>
  </si>
  <si>
    <t>lemmike</t>
  </si>
  <si>
    <t>J.Ruegg</t>
  </si>
  <si>
    <t>H-man</t>
  </si>
  <si>
    <t>cactoos_dahoo</t>
  </si>
  <si>
    <t>bjporter</t>
  </si>
  <si>
    <t>ClaRago</t>
  </si>
  <si>
    <t>sonnydeluxe</t>
  </si>
  <si>
    <t>Loris DS</t>
  </si>
  <si>
    <t>dzah</t>
  </si>
  <si>
    <t>Key88</t>
  </si>
  <si>
    <t>Voter Name</t>
  </si>
  <si>
    <t>Sum given</t>
  </si>
  <si>
    <t>Ones</t>
  </si>
  <si>
    <t>Twos</t>
  </si>
  <si>
    <t>Threes</t>
  </si>
  <si>
    <t>Fours</t>
  </si>
  <si>
    <t>Fives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</si>
</sst>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</font>
    <font>
      <b/>
      <sz val="10.0"/>
      <color rgb="FF000000"/>
    </font>
    <font>
      <b/>
      <sz val="10.0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horizontal="center" shrinkToFit="0" vertical="bottom" wrapText="1"/>
    </xf>
    <xf borderId="0" fillId="3" fontId="2" numFmtId="0" xfId="0" applyAlignment="1" applyFill="1" applyFont="1">
      <alignment horizontal="center" readingOrder="0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3" fontId="2" numFmtId="0" xfId="0" applyAlignment="1" applyFont="1">
      <alignment horizontal="center" readingOrder="0" shrinkToFit="0" vertical="bottom" wrapText="1"/>
    </xf>
    <xf borderId="0" fillId="4" fontId="3" numFmtId="164" xfId="0" applyAlignment="1" applyFill="1" applyFont="1" applyNumberForma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4" fontId="3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58.5"/>
    <col customWidth="1" min="2" max="2" width="12.13"/>
  </cols>
  <sheetData>
    <row r="1">
      <c r="A1" s="1" t="str">
        <f>'Voting Results'!$AJ$1</f>
        <v>ThePresent - Turn It On Again</v>
      </c>
      <c r="B1" s="2">
        <f>SUM('Voting Results'!AJ1:AJ34)</f>
        <v>131</v>
      </c>
    </row>
    <row r="2">
      <c r="A2" s="1" t="str">
        <f>'Voting Results'!$P$1</f>
        <v>Jasinski - Robot Music</v>
      </c>
      <c r="B2" s="2">
        <f>SUM('Voting Results'!P1:P34)</f>
        <v>129</v>
      </c>
    </row>
    <row r="3">
      <c r="A3" s="1" t="str">
        <f>'Voting Results'!$F$1</f>
        <v>Cactoos - You Are Dust</v>
      </c>
      <c r="B3" s="2">
        <f>SUM('Voting Results'!F1:F34)</f>
        <v>124</v>
      </c>
    </row>
    <row r="4">
      <c r="A4" s="1" t="str">
        <f>'Voting Results'!$M$1</f>
        <v>Harthstein - Stoneforest Odyssey</v>
      </c>
      <c r="B4" s="2">
        <f>SUM('Voting Results'!M1:M34)</f>
        <v>122</v>
      </c>
    </row>
    <row r="5">
      <c r="A5" s="1" t="str">
        <f>'Voting Results'!$G$1</f>
        <v>Caine123 - Kurayami</v>
      </c>
      <c r="B5" s="2">
        <f>SUM('Voting Results'!G1:G34)</f>
        <v>118</v>
      </c>
    </row>
    <row r="6">
      <c r="A6" s="1" t="str">
        <f>'Voting Results'!$AE$1</f>
        <v>SatYatunes - Twilight</v>
      </c>
      <c r="B6" s="2">
        <f>SUM('Voting Results'!AE1:AE34)</f>
        <v>117</v>
      </c>
    </row>
    <row r="7">
      <c r="A7" s="1" t="str">
        <f>'Voting Results'!$AF$1</f>
        <v>Shortmanb - Spectral Fall</v>
      </c>
      <c r="B7" s="2">
        <f>SUM('Voting Results'!AF1:AF34)</f>
        <v>116</v>
      </c>
    </row>
    <row r="8">
      <c r="A8" s="1" t="str">
        <f>'Voting Results'!$E$1</f>
        <v>Bjporter - An Extremely Hypnotic And Repetitive Melodic Doodad</v>
      </c>
      <c r="B8" s="2">
        <f>SUM('Voting Results'!E1:E38)</f>
        <v>115</v>
      </c>
    </row>
    <row r="9">
      <c r="A9" s="1" t="str">
        <f>'Voting Results'!$O$1</f>
        <v>J.Ruegg - Cloud-stral</v>
      </c>
      <c r="B9" s="2">
        <f>SUM('Voting Results'!O1:O34)</f>
        <v>115</v>
      </c>
    </row>
    <row r="10">
      <c r="A10" s="1" t="str">
        <f>'Voting Results'!$L$1</f>
        <v>G-Roove - Spectraland</v>
      </c>
      <c r="B10" s="2">
        <f>SUM('Voting Results'!L1:L34)</f>
        <v>114</v>
      </c>
    </row>
    <row r="11">
      <c r="A11" s="1" t="str">
        <f>'Voting Results'!$AL$1</f>
        <v>Yeager - Monotonous Variations</v>
      </c>
      <c r="B11" s="2">
        <f>SUM('Voting Results'!X1:X34)</f>
        <v>114</v>
      </c>
    </row>
    <row r="12">
      <c r="A12" s="1" t="str">
        <f>'Voting Results'!$X$1</f>
        <v>Ontrackp - Spectral Time Zone</v>
      </c>
      <c r="B12" s="2">
        <f>SUM('Voting Results'!AL1:AL34)</f>
        <v>114</v>
      </c>
    </row>
    <row r="13">
      <c r="A13" s="1" t="str">
        <f>'Voting Results'!$AG$1</f>
        <v>Skyzone - The Angel Trumps</v>
      </c>
      <c r="B13" s="2">
        <f>SUM('Voting Results'!AG1:AG34)</f>
        <v>110</v>
      </c>
    </row>
    <row r="14">
      <c r="A14" s="1" t="str">
        <f>'Voting Results'!$T$1</f>
        <v>Loris DS - Walking Back Through Theime</v>
      </c>
      <c r="B14" s="2">
        <f>SUM('Voting Results'!T1:T34)</f>
        <v>107</v>
      </c>
    </row>
    <row r="15">
      <c r="A15" s="1" t="str">
        <f>'Voting Results'!$AA$1</f>
        <v>Pedalsteeldrummer - Stay Classy</v>
      </c>
      <c r="B15" s="2">
        <f>SUM('Voting Results'!AA1:AA34)</f>
        <v>106</v>
      </c>
    </row>
    <row r="16">
      <c r="A16" s="1" t="str">
        <f>'Voting Results'!$J$1</f>
        <v>Dzah - Spectralized Prototized</v>
      </c>
      <c r="B16" s="2">
        <f>SUM('Voting Results'!J1:J41)</f>
        <v>105</v>
      </c>
    </row>
    <row r="17">
      <c r="A17" s="1" t="str">
        <f>'Voting Results'!$U$1</f>
        <v>Marks-a-Whybikky - Spectral Cookie</v>
      </c>
      <c r="B17" s="2">
        <f>SUM('Voting Results'!U1:U34)</f>
        <v>104</v>
      </c>
    </row>
    <row r="18">
      <c r="A18" s="1" t="str">
        <f>'Voting Results'!$AI$1</f>
        <v>Thehejonsolo - Spectralcide</v>
      </c>
      <c r="B18" s="2">
        <f>SUM('Voting Results'!N1:N39)</f>
        <v>103</v>
      </c>
    </row>
    <row r="19">
      <c r="A19" s="1" t="str">
        <f>'Voting Results'!$N$1</f>
        <v>H-man - G.O.M.B</v>
      </c>
      <c r="B19" s="2">
        <f>SUM('Voting Results'!AI1:AI34)</f>
        <v>103</v>
      </c>
    </row>
    <row r="20">
      <c r="A20" s="1" t="str">
        <f>'Voting Results'!$S$1</f>
        <v>Lemmike - Spectrayear</v>
      </c>
      <c r="B20" s="2">
        <f>SUM('Voting Results'!S1:S36)</f>
        <v>101</v>
      </c>
    </row>
    <row r="21">
      <c r="A21" s="1" t="str">
        <f>'Voting Results'!$AH$1</f>
        <v>Sonnydeluxe - High Noon. With Drones</v>
      </c>
      <c r="B21" s="2">
        <f>SUM('Voting Results'!AH1:AH34)</f>
        <v>101</v>
      </c>
    </row>
    <row r="22">
      <c r="A22" s="1" t="str">
        <f>'Voting Results'!$AB$1</f>
        <v>Psmacmur - Danger Low Voltage</v>
      </c>
      <c r="B22" s="2">
        <f>SUM('Voting Results'!AB1:AB34)</f>
        <v>100</v>
      </c>
    </row>
    <row r="23">
      <c r="A23" s="1" t="str">
        <f>'Voting Results'!$AK$1</f>
        <v>Xenox.AFL - FN-SPECT(R)AcuLar</v>
      </c>
      <c r="B23" s="2">
        <f>SUM('Voting Results'!AC1:AC34)</f>
        <v>100</v>
      </c>
    </row>
    <row r="24">
      <c r="A24" s="1" t="str">
        <f>'Voting Results'!$AC$1</f>
        <v>Richard Semper - An Evening Cruise</v>
      </c>
      <c r="B24" s="2">
        <f>SUM('Voting Results'!AK1:AK34)</f>
        <v>100</v>
      </c>
    </row>
    <row r="25">
      <c r="A25" s="1" t="str">
        <f>'Voting Results'!$K$1</f>
        <v>Eauson - Full Spectral Meltdown</v>
      </c>
      <c r="B25" s="2">
        <f>SUM('Voting Results'!K1:K49)</f>
        <v>97</v>
      </c>
    </row>
    <row r="26">
      <c r="A26" s="1" t="str">
        <f>'Voting Results'!$V$1</f>
        <v>Nightpolymath - Spectrally Yours</v>
      </c>
      <c r="B26" s="2">
        <f>SUM('Voting Results'!V1:V39)</f>
        <v>96</v>
      </c>
    </row>
    <row r="27">
      <c r="A27" s="1" t="str">
        <f>'Voting Results'!$AD$1</f>
        <v>Ricler - Mirror maze</v>
      </c>
      <c r="B27" s="2">
        <f>SUM('Voting Results'!Q1:Q45)</f>
        <v>93</v>
      </c>
    </row>
    <row r="28">
      <c r="A28" s="1" t="str">
        <f>'Voting Results'!$Q$1</f>
        <v>JKF flashico - Dancing With The Elecrtonic Wolves</v>
      </c>
      <c r="B28" s="2">
        <f>SUM('Voting Results'!AD1:AD34)</f>
        <v>93</v>
      </c>
    </row>
    <row r="29">
      <c r="A29" s="1" t="str">
        <f>'Voting Results'!$I$1</f>
        <v>ClaRago - Soft Spot</v>
      </c>
      <c r="B29" s="2">
        <f>SUM('Voting Results'!I1:I55)</f>
        <v>92</v>
      </c>
    </row>
    <row r="30">
      <c r="A30" s="1" t="str">
        <f>'Voting Results'!$H$1</f>
        <v>Chilled panda - One Spectral Christmas</v>
      </c>
      <c r="B30" s="2">
        <f>SUM('Voting Results'!H1:H57)</f>
        <v>90</v>
      </c>
    </row>
    <row r="31">
      <c r="A31" s="1" t="str">
        <f>'Voting Results'!$W$1</f>
        <v>Objectman - See</v>
      </c>
      <c r="B31" s="2">
        <f>SUM('Voting Results'!W1:W43)</f>
        <v>89</v>
      </c>
    </row>
    <row r="32">
      <c r="A32" s="1" t="str">
        <f>'Voting Results'!$Y$1</f>
        <v>Oopfoo - Solstitial Twilight</v>
      </c>
      <c r="B32" s="2">
        <f>SUM('Voting Results'!Y1:Y42)</f>
        <v>88</v>
      </c>
    </row>
    <row r="33">
      <c r="A33" s="1" t="str">
        <f>'Voting Results'!$D$1</f>
        <v>AboveThoughts - Relf Country Palas</v>
      </c>
      <c r="B33" s="2">
        <f>SUM('Voting Results'!D1:D64)</f>
        <v>85</v>
      </c>
    </row>
    <row r="34">
      <c r="A34" s="1" t="str">
        <f>'Voting Results'!$Z$1</f>
        <v>Oorlab - Well Come</v>
      </c>
      <c r="B34" s="2">
        <f>SUM('Voting Results'!Z1:Z43)</f>
        <v>81</v>
      </c>
    </row>
    <row r="35">
      <c r="A35" s="1" t="str">
        <f>'Voting Results'!$R$1</f>
        <v>Key88 - 201312Spectral</v>
      </c>
      <c r="B35" s="2">
        <f>SUM('Voting Results'!R1:R52)</f>
        <v>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5.25"/>
    <col customWidth="1" min="2" max="2" width="12.38"/>
    <col customWidth="1" hidden="1" min="3" max="3" width="5.25"/>
    <col customWidth="1" min="4" max="38" width="13.75"/>
  </cols>
  <sheetData>
    <row r="1">
      <c r="A1" s="3" t="s">
        <v>0</v>
      </c>
      <c r="B1" s="3" t="s">
        <v>1</v>
      </c>
      <c r="C1" s="4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5" t="s">
        <v>33</v>
      </c>
      <c r="AJ1" s="3" t="s">
        <v>34</v>
      </c>
      <c r="AK1" s="3" t="s">
        <v>35</v>
      </c>
      <c r="AL1" s="3" t="s">
        <v>36</v>
      </c>
    </row>
    <row r="2">
      <c r="A2" s="6">
        <v>41648.98070601852</v>
      </c>
      <c r="B2" s="7" t="s">
        <v>37</v>
      </c>
      <c r="C2" s="8"/>
      <c r="D2" s="9">
        <v>1.0</v>
      </c>
      <c r="E2" s="9">
        <v>4.0</v>
      </c>
      <c r="F2" s="9">
        <v>1.0</v>
      </c>
      <c r="G2" s="9">
        <v>1.0</v>
      </c>
      <c r="H2" s="9">
        <v>1.0</v>
      </c>
      <c r="I2" s="9">
        <v>1.0</v>
      </c>
      <c r="J2" s="9">
        <v>1.0</v>
      </c>
      <c r="K2" s="9">
        <v>1.0</v>
      </c>
      <c r="L2" s="9">
        <v>1.0</v>
      </c>
      <c r="M2" s="9">
        <v>1.0</v>
      </c>
      <c r="N2" s="9">
        <v>1.0</v>
      </c>
      <c r="O2" s="9">
        <v>1.0</v>
      </c>
      <c r="P2" s="9">
        <v>5.0</v>
      </c>
      <c r="Q2" s="9">
        <v>1.0</v>
      </c>
      <c r="R2" s="9">
        <v>1.0</v>
      </c>
      <c r="S2" s="9">
        <v>1.0</v>
      </c>
      <c r="T2" s="9">
        <v>1.0</v>
      </c>
      <c r="U2" s="9">
        <v>1.0</v>
      </c>
      <c r="V2" s="9">
        <v>1.0</v>
      </c>
      <c r="W2" s="9">
        <v>1.0</v>
      </c>
      <c r="X2" s="9">
        <v>1.0</v>
      </c>
      <c r="Y2" s="9">
        <v>1.0</v>
      </c>
      <c r="Z2" s="9">
        <v>1.0</v>
      </c>
      <c r="AA2" s="9">
        <v>1.0</v>
      </c>
      <c r="AB2" s="9">
        <v>1.0</v>
      </c>
      <c r="AC2" s="9">
        <v>1.0</v>
      </c>
      <c r="AD2" s="9">
        <v>1.0</v>
      </c>
      <c r="AE2" s="9">
        <v>1.0</v>
      </c>
      <c r="AF2" s="9">
        <v>1.0</v>
      </c>
      <c r="AG2" s="9">
        <v>1.0</v>
      </c>
      <c r="AH2" s="9">
        <v>1.0</v>
      </c>
      <c r="AI2" s="9">
        <v>1.0</v>
      </c>
      <c r="AJ2" s="9">
        <v>1.0</v>
      </c>
      <c r="AK2" s="9">
        <v>1.0</v>
      </c>
      <c r="AL2" s="9">
        <v>3.0</v>
      </c>
    </row>
    <row r="3">
      <c r="A3" s="6">
        <v>41649.15079861111</v>
      </c>
      <c r="B3" s="7" t="s">
        <v>38</v>
      </c>
      <c r="C3" s="8"/>
      <c r="D3" s="9">
        <v>3.0</v>
      </c>
      <c r="E3" s="9">
        <v>4.0</v>
      </c>
      <c r="F3" s="9">
        <v>3.0</v>
      </c>
      <c r="G3" s="9">
        <v>3.0</v>
      </c>
      <c r="H3" s="9">
        <v>3.0</v>
      </c>
      <c r="I3" s="9">
        <v>4.0</v>
      </c>
      <c r="J3" s="9">
        <v>4.0</v>
      </c>
      <c r="K3" s="9">
        <v>3.0</v>
      </c>
      <c r="L3" s="9">
        <v>4.0</v>
      </c>
      <c r="M3" s="9">
        <v>3.0</v>
      </c>
      <c r="N3" s="9">
        <v>4.0</v>
      </c>
      <c r="O3" s="9">
        <v>3.0</v>
      </c>
      <c r="P3" s="9">
        <v>4.0</v>
      </c>
      <c r="Q3" s="9">
        <v>3.0</v>
      </c>
      <c r="R3" s="9">
        <v>3.0</v>
      </c>
      <c r="S3" s="9">
        <v>3.0</v>
      </c>
      <c r="T3" s="9">
        <v>3.0</v>
      </c>
      <c r="U3" s="9">
        <v>3.0</v>
      </c>
      <c r="V3" s="9">
        <v>1.0</v>
      </c>
      <c r="W3" s="9">
        <v>3.0</v>
      </c>
      <c r="X3" s="9">
        <v>4.0</v>
      </c>
      <c r="Y3" s="9">
        <v>3.0</v>
      </c>
      <c r="Z3" s="9">
        <v>3.0</v>
      </c>
      <c r="AA3" s="9">
        <v>3.0</v>
      </c>
      <c r="AB3" s="9">
        <v>3.0</v>
      </c>
      <c r="AC3" s="9">
        <v>3.0</v>
      </c>
      <c r="AD3" s="9">
        <v>3.0</v>
      </c>
      <c r="AE3" s="9">
        <v>3.0</v>
      </c>
      <c r="AF3" s="9">
        <v>4.0</v>
      </c>
      <c r="AG3" s="9">
        <v>3.0</v>
      </c>
      <c r="AH3" s="9">
        <v>3.0</v>
      </c>
      <c r="AI3" s="9">
        <v>4.0</v>
      </c>
      <c r="AJ3" s="9">
        <v>4.0</v>
      </c>
      <c r="AK3" s="9">
        <v>3.0</v>
      </c>
      <c r="AL3" s="9">
        <v>3.0</v>
      </c>
    </row>
    <row r="4">
      <c r="A4" s="6">
        <v>41649.18373842593</v>
      </c>
      <c r="B4" s="7" t="s">
        <v>39</v>
      </c>
      <c r="C4" s="8"/>
      <c r="D4" s="9">
        <v>2.0</v>
      </c>
      <c r="E4" s="9">
        <v>2.0</v>
      </c>
      <c r="F4" s="9">
        <v>4.0</v>
      </c>
      <c r="G4" s="9">
        <v>4.0</v>
      </c>
      <c r="H4" s="9">
        <v>2.0</v>
      </c>
      <c r="I4" s="9">
        <v>2.0</v>
      </c>
      <c r="J4" s="9">
        <v>4.0</v>
      </c>
      <c r="K4" s="9">
        <v>5.0</v>
      </c>
      <c r="L4" s="9">
        <v>5.0</v>
      </c>
      <c r="M4" s="9">
        <v>4.0</v>
      </c>
      <c r="N4" s="9">
        <v>4.0</v>
      </c>
      <c r="O4" s="9">
        <v>5.0</v>
      </c>
      <c r="P4" s="9">
        <v>4.0</v>
      </c>
      <c r="Q4" s="9">
        <v>3.0</v>
      </c>
      <c r="R4" s="9">
        <v>1.0</v>
      </c>
      <c r="S4" s="9">
        <v>4.0</v>
      </c>
      <c r="T4" s="9">
        <v>3.0</v>
      </c>
      <c r="U4" s="9">
        <v>4.0</v>
      </c>
      <c r="V4" s="9">
        <v>2.0</v>
      </c>
      <c r="W4" s="9">
        <v>2.0</v>
      </c>
      <c r="X4" s="9">
        <v>3.0</v>
      </c>
      <c r="Y4" s="9">
        <v>2.0</v>
      </c>
      <c r="Z4" s="9">
        <v>2.0</v>
      </c>
      <c r="AA4" s="9">
        <v>2.0</v>
      </c>
      <c r="AB4" s="9">
        <v>2.0</v>
      </c>
      <c r="AC4" s="9">
        <v>3.0</v>
      </c>
      <c r="AD4" s="9">
        <v>2.0</v>
      </c>
      <c r="AE4" s="9">
        <v>1.0</v>
      </c>
      <c r="AF4" s="9">
        <v>3.0</v>
      </c>
      <c r="AG4" s="9">
        <v>4.0</v>
      </c>
      <c r="AH4" s="9">
        <v>3.0</v>
      </c>
      <c r="AI4" s="9">
        <v>2.0</v>
      </c>
      <c r="AJ4" s="9">
        <v>2.0</v>
      </c>
      <c r="AK4" s="9">
        <v>4.0</v>
      </c>
      <c r="AL4" s="9">
        <v>3.0</v>
      </c>
    </row>
    <row r="5">
      <c r="A5" s="6">
        <v>41649.219247685185</v>
      </c>
      <c r="B5" s="7" t="s">
        <v>40</v>
      </c>
      <c r="C5" s="8"/>
      <c r="D5" s="9">
        <v>4.0</v>
      </c>
      <c r="E5" s="9">
        <v>2.0</v>
      </c>
      <c r="F5" s="9">
        <v>2.0</v>
      </c>
      <c r="G5" s="9">
        <v>2.0</v>
      </c>
      <c r="H5" s="9">
        <v>1.0</v>
      </c>
      <c r="I5" s="9">
        <v>3.0</v>
      </c>
      <c r="J5" s="9">
        <v>3.0</v>
      </c>
      <c r="K5" s="9">
        <v>4.0</v>
      </c>
      <c r="L5" s="9">
        <v>5.0</v>
      </c>
      <c r="M5" s="9">
        <v>3.0</v>
      </c>
      <c r="N5" s="9">
        <v>4.0</v>
      </c>
      <c r="O5" s="9">
        <v>4.0</v>
      </c>
      <c r="P5" s="9">
        <v>4.0</v>
      </c>
      <c r="Q5" s="9">
        <v>3.0</v>
      </c>
      <c r="R5" s="9">
        <v>1.0</v>
      </c>
      <c r="S5" s="9">
        <v>4.0</v>
      </c>
      <c r="T5" s="9">
        <v>5.0</v>
      </c>
      <c r="U5" s="9">
        <v>3.0</v>
      </c>
      <c r="V5" s="9">
        <v>4.0</v>
      </c>
      <c r="W5" s="9">
        <v>2.0</v>
      </c>
      <c r="X5" s="9">
        <v>3.0</v>
      </c>
      <c r="Y5" s="9">
        <v>3.0</v>
      </c>
      <c r="Z5" s="9">
        <v>2.0</v>
      </c>
      <c r="AA5" s="9">
        <v>4.0</v>
      </c>
      <c r="AB5" s="9">
        <v>4.0</v>
      </c>
      <c r="AC5" s="9">
        <v>3.0</v>
      </c>
      <c r="AD5" s="9">
        <v>3.0</v>
      </c>
      <c r="AE5" s="9">
        <v>5.0</v>
      </c>
      <c r="AF5" s="9">
        <v>3.0</v>
      </c>
      <c r="AG5" s="9">
        <v>2.0</v>
      </c>
      <c r="AH5" s="9">
        <v>3.0</v>
      </c>
      <c r="AI5" s="9">
        <v>1.0</v>
      </c>
      <c r="AJ5" s="9">
        <v>4.0</v>
      </c>
      <c r="AK5" s="9">
        <v>5.0</v>
      </c>
      <c r="AL5" s="9">
        <v>3.0</v>
      </c>
    </row>
    <row r="6">
      <c r="A6" s="6">
        <v>41649.45402777778</v>
      </c>
      <c r="B6" s="7" t="s">
        <v>41</v>
      </c>
      <c r="C6" s="8"/>
      <c r="D6" s="9">
        <v>3.0</v>
      </c>
      <c r="E6" s="9">
        <v>3.0</v>
      </c>
      <c r="F6" s="9">
        <v>5.0</v>
      </c>
      <c r="G6" s="9">
        <v>3.0</v>
      </c>
      <c r="H6" s="9">
        <v>2.0</v>
      </c>
      <c r="I6" s="9">
        <v>2.0</v>
      </c>
      <c r="J6" s="9">
        <v>3.0</v>
      </c>
      <c r="K6" s="9">
        <v>2.0</v>
      </c>
      <c r="L6" s="9">
        <v>1.0</v>
      </c>
      <c r="M6" s="9">
        <v>4.0</v>
      </c>
      <c r="N6" s="9">
        <v>2.0</v>
      </c>
      <c r="O6" s="9">
        <v>3.0</v>
      </c>
      <c r="P6" s="9">
        <v>5.0</v>
      </c>
      <c r="Q6" s="9">
        <v>2.0</v>
      </c>
      <c r="R6" s="9">
        <v>1.0</v>
      </c>
      <c r="S6" s="9">
        <v>3.0</v>
      </c>
      <c r="T6" s="9">
        <v>4.0</v>
      </c>
      <c r="U6" s="9">
        <v>3.0</v>
      </c>
      <c r="V6" s="9">
        <v>2.0</v>
      </c>
      <c r="W6" s="9">
        <v>2.0</v>
      </c>
      <c r="X6" s="9">
        <v>3.0</v>
      </c>
      <c r="Y6" s="9">
        <v>1.0</v>
      </c>
      <c r="Z6" s="9">
        <v>2.0</v>
      </c>
      <c r="AA6" s="9">
        <v>4.0</v>
      </c>
      <c r="AB6" s="9">
        <v>2.0</v>
      </c>
      <c r="AC6" s="9">
        <v>3.0</v>
      </c>
      <c r="AD6" s="9">
        <v>2.0</v>
      </c>
      <c r="AE6" s="9">
        <v>3.0</v>
      </c>
      <c r="AF6" s="9">
        <v>4.0</v>
      </c>
      <c r="AG6" s="9">
        <v>3.0</v>
      </c>
      <c r="AH6" s="9">
        <v>2.0</v>
      </c>
      <c r="AI6" s="9">
        <v>3.0</v>
      </c>
      <c r="AJ6" s="9">
        <v>4.0</v>
      </c>
      <c r="AK6" s="9">
        <v>2.0</v>
      </c>
      <c r="AL6" s="9">
        <v>4.0</v>
      </c>
    </row>
    <row r="7">
      <c r="A7" s="6">
        <v>41649.57271990741</v>
      </c>
      <c r="B7" s="7" t="s">
        <v>42</v>
      </c>
      <c r="C7" s="8"/>
      <c r="D7" s="9">
        <v>3.0</v>
      </c>
      <c r="E7" s="9">
        <v>2.0</v>
      </c>
      <c r="F7" s="9">
        <v>3.0</v>
      </c>
      <c r="G7" s="9">
        <v>4.0</v>
      </c>
      <c r="H7" s="9">
        <v>1.0</v>
      </c>
      <c r="I7" s="9">
        <v>2.0</v>
      </c>
      <c r="J7" s="9">
        <v>2.0</v>
      </c>
      <c r="K7" s="9">
        <v>2.0</v>
      </c>
      <c r="L7" s="9">
        <v>3.0</v>
      </c>
      <c r="M7" s="9">
        <v>5.0</v>
      </c>
      <c r="N7" s="9">
        <v>3.0</v>
      </c>
      <c r="O7" s="9">
        <v>3.0</v>
      </c>
      <c r="P7" s="9">
        <v>3.0</v>
      </c>
      <c r="Q7" s="9">
        <v>2.0</v>
      </c>
      <c r="R7" s="9">
        <v>1.0</v>
      </c>
      <c r="S7" s="9">
        <v>2.0</v>
      </c>
      <c r="T7" s="9">
        <v>2.0</v>
      </c>
      <c r="U7" s="9">
        <v>3.0</v>
      </c>
      <c r="V7" s="9">
        <v>2.0</v>
      </c>
      <c r="W7" s="9">
        <v>1.0</v>
      </c>
      <c r="X7" s="9">
        <v>2.0</v>
      </c>
      <c r="Y7" s="9">
        <v>2.0</v>
      </c>
      <c r="Z7" s="9">
        <v>2.0</v>
      </c>
      <c r="AA7" s="9">
        <v>2.0</v>
      </c>
      <c r="AB7" s="9">
        <v>4.0</v>
      </c>
      <c r="AC7" s="9">
        <v>2.0</v>
      </c>
      <c r="AD7" s="9">
        <v>1.0</v>
      </c>
      <c r="AE7" s="9">
        <v>2.0</v>
      </c>
      <c r="AF7" s="9">
        <v>2.0</v>
      </c>
      <c r="AG7" s="9">
        <v>4.0</v>
      </c>
      <c r="AH7" s="9">
        <v>2.0</v>
      </c>
      <c r="AI7" s="9">
        <v>1.0</v>
      </c>
      <c r="AJ7" s="9">
        <v>1.0</v>
      </c>
      <c r="AK7" s="9">
        <v>3.0</v>
      </c>
      <c r="AL7" s="9">
        <v>2.0</v>
      </c>
    </row>
    <row r="8">
      <c r="A8" s="6">
        <v>41649.69349537037</v>
      </c>
      <c r="B8" s="7" t="s">
        <v>43</v>
      </c>
      <c r="C8" s="8"/>
      <c r="D8" s="9">
        <v>3.0</v>
      </c>
      <c r="E8" s="9">
        <v>4.0</v>
      </c>
      <c r="F8" s="9">
        <v>4.0</v>
      </c>
      <c r="G8" s="9">
        <v>5.0</v>
      </c>
      <c r="H8" s="9">
        <v>3.0</v>
      </c>
      <c r="I8" s="9">
        <v>4.0</v>
      </c>
      <c r="J8" s="9">
        <v>4.0</v>
      </c>
      <c r="K8" s="9">
        <v>3.0</v>
      </c>
      <c r="L8" s="9">
        <v>5.0</v>
      </c>
      <c r="M8" s="9">
        <v>5.0</v>
      </c>
      <c r="N8" s="9">
        <v>4.0</v>
      </c>
      <c r="O8" s="9">
        <v>4.0</v>
      </c>
      <c r="P8" s="9">
        <v>4.0</v>
      </c>
      <c r="Q8" s="9">
        <v>1.0</v>
      </c>
      <c r="R8" s="9">
        <v>2.0</v>
      </c>
      <c r="S8" s="9">
        <v>4.0</v>
      </c>
      <c r="T8" s="9">
        <v>3.0</v>
      </c>
      <c r="U8" s="9">
        <v>3.0</v>
      </c>
      <c r="V8" s="9">
        <v>4.0</v>
      </c>
      <c r="W8" s="9">
        <v>3.0</v>
      </c>
      <c r="X8" s="9">
        <v>4.0</v>
      </c>
      <c r="Y8" s="9">
        <v>3.0</v>
      </c>
      <c r="Z8" s="9">
        <v>3.0</v>
      </c>
      <c r="AA8" s="9">
        <v>4.0</v>
      </c>
      <c r="AB8" s="9">
        <v>4.0</v>
      </c>
      <c r="AC8" s="9">
        <v>4.0</v>
      </c>
      <c r="AD8" s="9">
        <v>4.0</v>
      </c>
      <c r="AE8" s="9">
        <v>5.0</v>
      </c>
      <c r="AF8" s="9">
        <v>4.0</v>
      </c>
      <c r="AG8" s="9">
        <v>4.0</v>
      </c>
      <c r="AH8" s="9">
        <v>4.0</v>
      </c>
      <c r="AI8" s="9">
        <v>4.0</v>
      </c>
      <c r="AJ8" s="9">
        <v>5.0</v>
      </c>
      <c r="AK8" s="9">
        <v>3.0</v>
      </c>
      <c r="AL8" s="9">
        <v>5.0</v>
      </c>
    </row>
    <row r="9">
      <c r="A9" s="6">
        <v>41649.75178240741</v>
      </c>
      <c r="B9" s="7" t="s">
        <v>44</v>
      </c>
      <c r="C9" s="8"/>
      <c r="D9" s="9">
        <v>1.0</v>
      </c>
      <c r="E9" s="9">
        <v>3.0</v>
      </c>
      <c r="F9" s="9">
        <v>4.0</v>
      </c>
      <c r="G9" s="9">
        <v>4.0</v>
      </c>
      <c r="H9" s="9">
        <v>4.0</v>
      </c>
      <c r="I9" s="9">
        <v>3.0</v>
      </c>
      <c r="J9" s="9">
        <v>3.0</v>
      </c>
      <c r="K9" s="9">
        <v>2.0</v>
      </c>
      <c r="L9" s="9">
        <v>3.0</v>
      </c>
      <c r="M9" s="9">
        <v>4.0</v>
      </c>
      <c r="N9" s="9">
        <v>3.0</v>
      </c>
      <c r="O9" s="9">
        <v>4.0</v>
      </c>
      <c r="P9" s="9">
        <v>4.0</v>
      </c>
      <c r="Q9" s="9">
        <v>3.0</v>
      </c>
      <c r="R9" s="9">
        <v>2.0</v>
      </c>
      <c r="S9" s="9">
        <v>3.0</v>
      </c>
      <c r="T9" s="9">
        <v>5.0</v>
      </c>
      <c r="U9" s="9">
        <v>3.0</v>
      </c>
      <c r="V9" s="9">
        <v>4.0</v>
      </c>
      <c r="W9" s="9">
        <v>3.0</v>
      </c>
      <c r="X9" s="9">
        <v>4.0</v>
      </c>
      <c r="Y9" s="9">
        <v>3.0</v>
      </c>
      <c r="Z9" s="9">
        <v>2.0</v>
      </c>
      <c r="AA9" s="9">
        <v>3.0</v>
      </c>
      <c r="AB9" s="9">
        <v>3.0</v>
      </c>
      <c r="AC9" s="9">
        <v>3.0</v>
      </c>
      <c r="AD9" s="9">
        <v>3.0</v>
      </c>
      <c r="AE9" s="9">
        <v>4.0</v>
      </c>
      <c r="AF9" s="9">
        <v>1.0</v>
      </c>
      <c r="AG9" s="9">
        <v>3.0</v>
      </c>
      <c r="AH9" s="9">
        <v>3.0</v>
      </c>
      <c r="AI9" s="9">
        <v>3.0</v>
      </c>
      <c r="AJ9" s="9">
        <v>3.0</v>
      </c>
      <c r="AK9" s="9">
        <v>3.0</v>
      </c>
      <c r="AL9" s="9">
        <v>4.0</v>
      </c>
    </row>
    <row r="10">
      <c r="A10" s="6">
        <v>41649.94378472222</v>
      </c>
      <c r="B10" s="7" t="s">
        <v>45</v>
      </c>
      <c r="C10" s="8"/>
      <c r="D10" s="9">
        <v>5.0</v>
      </c>
      <c r="E10" s="9">
        <v>5.0</v>
      </c>
      <c r="F10" s="9">
        <v>4.0</v>
      </c>
      <c r="G10" s="9">
        <v>4.0</v>
      </c>
      <c r="H10" s="9">
        <v>3.0</v>
      </c>
      <c r="I10" s="9">
        <v>2.0</v>
      </c>
      <c r="J10" s="9">
        <v>4.0</v>
      </c>
      <c r="K10" s="9">
        <v>3.0</v>
      </c>
      <c r="L10" s="9">
        <v>4.0</v>
      </c>
      <c r="M10" s="9">
        <v>5.0</v>
      </c>
      <c r="N10" s="9">
        <v>5.0</v>
      </c>
      <c r="O10" s="9">
        <v>4.0</v>
      </c>
      <c r="P10" s="9">
        <v>5.0</v>
      </c>
      <c r="Q10" s="9">
        <v>4.0</v>
      </c>
      <c r="R10" s="9">
        <v>2.0</v>
      </c>
      <c r="S10" s="9">
        <v>4.0</v>
      </c>
      <c r="T10" s="9">
        <v>4.0</v>
      </c>
      <c r="U10" s="9">
        <v>3.0</v>
      </c>
      <c r="V10" s="9">
        <v>3.0</v>
      </c>
      <c r="W10" s="9">
        <v>3.0</v>
      </c>
      <c r="X10" s="9">
        <v>4.0</v>
      </c>
      <c r="Y10" s="9">
        <v>2.0</v>
      </c>
      <c r="Z10" s="9">
        <v>3.0</v>
      </c>
      <c r="AA10" s="9">
        <v>5.0</v>
      </c>
      <c r="AB10" s="9">
        <v>1.0</v>
      </c>
      <c r="AC10" s="9">
        <v>5.0</v>
      </c>
      <c r="AD10" s="9">
        <v>4.0</v>
      </c>
      <c r="AE10" s="9">
        <v>4.0</v>
      </c>
      <c r="AF10" s="9">
        <v>4.0</v>
      </c>
      <c r="AG10" s="9">
        <v>3.0</v>
      </c>
      <c r="AH10" s="9">
        <v>5.0</v>
      </c>
      <c r="AI10" s="9">
        <v>5.0</v>
      </c>
      <c r="AJ10" s="9">
        <v>5.0</v>
      </c>
      <c r="AK10" s="9">
        <v>3.0</v>
      </c>
      <c r="AL10" s="9">
        <v>5.0</v>
      </c>
    </row>
    <row r="11">
      <c r="A11" s="6">
        <v>41650.44803240741</v>
      </c>
      <c r="B11" s="7" t="s">
        <v>46</v>
      </c>
      <c r="C11" s="8"/>
      <c r="D11" s="9">
        <v>3.0</v>
      </c>
      <c r="E11" s="9">
        <v>4.0</v>
      </c>
      <c r="F11" s="9">
        <v>5.0</v>
      </c>
      <c r="G11" s="9">
        <v>4.0</v>
      </c>
      <c r="H11" s="9">
        <v>2.0</v>
      </c>
      <c r="I11" s="9">
        <v>1.0</v>
      </c>
      <c r="J11" s="9">
        <v>5.0</v>
      </c>
      <c r="K11" s="9">
        <v>2.0</v>
      </c>
      <c r="L11" s="9">
        <v>4.0</v>
      </c>
      <c r="M11" s="9">
        <v>1.0</v>
      </c>
      <c r="N11" s="9">
        <v>2.0</v>
      </c>
      <c r="O11" s="9">
        <v>4.0</v>
      </c>
      <c r="P11" s="9">
        <v>2.0</v>
      </c>
      <c r="Q11" s="9">
        <v>1.0</v>
      </c>
      <c r="R11" s="9">
        <v>3.0</v>
      </c>
      <c r="S11" s="9">
        <v>1.0</v>
      </c>
      <c r="T11" s="9">
        <v>3.0</v>
      </c>
      <c r="U11" s="9">
        <v>1.0</v>
      </c>
      <c r="V11" s="9">
        <v>3.0</v>
      </c>
      <c r="W11" s="9">
        <v>2.0</v>
      </c>
      <c r="X11" s="9">
        <v>3.0</v>
      </c>
      <c r="Y11" s="9">
        <v>4.0</v>
      </c>
      <c r="Z11" s="9">
        <v>1.0</v>
      </c>
      <c r="AA11" s="9">
        <v>1.0</v>
      </c>
      <c r="AB11" s="9">
        <v>2.0</v>
      </c>
      <c r="AC11" s="9">
        <v>3.0</v>
      </c>
      <c r="AD11" s="9">
        <v>1.0</v>
      </c>
      <c r="AE11" s="9">
        <v>4.0</v>
      </c>
      <c r="AF11" s="9">
        <v>1.0</v>
      </c>
      <c r="AG11" s="9">
        <v>1.0</v>
      </c>
      <c r="AH11" s="9">
        <v>2.0</v>
      </c>
      <c r="AI11" s="9">
        <v>1.0</v>
      </c>
      <c r="AJ11" s="9">
        <v>2.0</v>
      </c>
      <c r="AK11" s="9">
        <v>1.0</v>
      </c>
      <c r="AL11" s="9">
        <v>4.0</v>
      </c>
    </row>
    <row r="12">
      <c r="A12" s="6">
        <v>41650.60475694444</v>
      </c>
      <c r="B12" s="7" t="s">
        <v>47</v>
      </c>
      <c r="C12" s="8"/>
      <c r="D12" s="9">
        <v>1.0</v>
      </c>
      <c r="E12" s="9">
        <v>4.0</v>
      </c>
      <c r="F12" s="9">
        <v>5.0</v>
      </c>
      <c r="G12" s="9">
        <v>4.0</v>
      </c>
      <c r="H12" s="9">
        <v>4.0</v>
      </c>
      <c r="I12" s="9">
        <v>2.0</v>
      </c>
      <c r="J12" s="9">
        <v>4.0</v>
      </c>
      <c r="K12" s="9">
        <v>2.0</v>
      </c>
      <c r="L12" s="9">
        <v>4.0</v>
      </c>
      <c r="M12" s="9">
        <v>5.0</v>
      </c>
      <c r="N12" s="9">
        <v>2.0</v>
      </c>
      <c r="O12" s="9">
        <v>3.0</v>
      </c>
      <c r="P12" s="9">
        <v>1.0</v>
      </c>
      <c r="Q12" s="9">
        <v>4.0</v>
      </c>
      <c r="R12" s="9">
        <v>1.0</v>
      </c>
      <c r="S12" s="9">
        <v>3.0</v>
      </c>
      <c r="T12" s="9">
        <v>2.0</v>
      </c>
      <c r="U12" s="9">
        <v>1.0</v>
      </c>
      <c r="V12" s="9">
        <v>4.0</v>
      </c>
      <c r="W12" s="9">
        <v>3.0</v>
      </c>
      <c r="X12" s="9">
        <v>5.0</v>
      </c>
      <c r="Y12" s="9">
        <v>3.0</v>
      </c>
      <c r="Z12" s="9">
        <v>2.0</v>
      </c>
      <c r="AA12" s="9">
        <v>3.0</v>
      </c>
      <c r="AB12" s="9">
        <v>4.0</v>
      </c>
      <c r="AC12" s="9">
        <v>1.0</v>
      </c>
      <c r="AD12" s="9">
        <v>4.0</v>
      </c>
      <c r="AE12" s="9">
        <v>5.0</v>
      </c>
      <c r="AF12" s="9">
        <v>3.0</v>
      </c>
      <c r="AG12" s="9">
        <v>4.0</v>
      </c>
      <c r="AH12" s="9">
        <v>3.0</v>
      </c>
      <c r="AI12" s="9">
        <v>4.0</v>
      </c>
      <c r="AJ12" s="9">
        <v>5.0</v>
      </c>
      <c r="AK12" s="9">
        <v>2.0</v>
      </c>
      <c r="AL12" s="9">
        <v>3.0</v>
      </c>
    </row>
    <row r="13">
      <c r="A13" s="6">
        <v>41650.98738425926</v>
      </c>
      <c r="B13" s="7" t="s">
        <v>48</v>
      </c>
      <c r="C13" s="8"/>
      <c r="D13" s="9">
        <v>3.0</v>
      </c>
      <c r="E13" s="9">
        <v>3.0</v>
      </c>
      <c r="F13" s="9">
        <v>2.0</v>
      </c>
      <c r="G13" s="9">
        <v>3.0</v>
      </c>
      <c r="H13" s="9">
        <v>3.0</v>
      </c>
      <c r="I13" s="9">
        <v>2.0</v>
      </c>
      <c r="J13" s="9">
        <v>4.0</v>
      </c>
      <c r="K13" s="9">
        <v>4.0</v>
      </c>
      <c r="L13" s="9">
        <v>4.0</v>
      </c>
      <c r="M13" s="9">
        <v>5.0</v>
      </c>
      <c r="N13" s="9">
        <v>3.0</v>
      </c>
      <c r="O13" s="9">
        <v>3.0</v>
      </c>
      <c r="P13" s="9">
        <v>3.0</v>
      </c>
      <c r="Q13" s="9">
        <v>3.0</v>
      </c>
      <c r="R13" s="9">
        <v>2.0</v>
      </c>
      <c r="S13" s="9">
        <v>1.0</v>
      </c>
      <c r="T13" s="9">
        <v>2.0</v>
      </c>
      <c r="U13" s="9">
        <v>2.0</v>
      </c>
      <c r="V13" s="9">
        <v>3.0</v>
      </c>
      <c r="W13" s="9">
        <v>2.0</v>
      </c>
      <c r="X13" s="9">
        <v>3.0</v>
      </c>
      <c r="Y13" s="9">
        <v>2.0</v>
      </c>
      <c r="Z13" s="9">
        <v>2.0</v>
      </c>
      <c r="AA13" s="9">
        <v>3.0</v>
      </c>
      <c r="AB13" s="9">
        <v>3.0</v>
      </c>
      <c r="AC13" s="9">
        <v>3.0</v>
      </c>
      <c r="AD13" s="9">
        <v>2.0</v>
      </c>
      <c r="AE13" s="9">
        <v>4.0</v>
      </c>
      <c r="AF13" s="9">
        <v>3.0</v>
      </c>
      <c r="AG13" s="9">
        <v>2.0</v>
      </c>
      <c r="AH13" s="9">
        <v>2.0</v>
      </c>
      <c r="AI13" s="9">
        <v>4.0</v>
      </c>
      <c r="AJ13" s="9">
        <v>3.0</v>
      </c>
      <c r="AK13" s="9">
        <v>3.0</v>
      </c>
      <c r="AL13" s="9">
        <v>4.0</v>
      </c>
    </row>
    <row r="14">
      <c r="A14" s="6">
        <v>41651.48913194444</v>
      </c>
      <c r="B14" s="7" t="s">
        <v>49</v>
      </c>
      <c r="C14" s="8"/>
      <c r="D14" s="9">
        <v>1.0</v>
      </c>
      <c r="E14" s="9">
        <v>2.0</v>
      </c>
      <c r="F14" s="9">
        <v>3.0</v>
      </c>
      <c r="G14" s="9">
        <v>2.0</v>
      </c>
      <c r="H14" s="9">
        <v>2.0</v>
      </c>
      <c r="I14" s="9">
        <v>2.0</v>
      </c>
      <c r="J14" s="9">
        <v>2.0</v>
      </c>
      <c r="K14" s="9">
        <v>2.0</v>
      </c>
      <c r="L14" s="9">
        <v>1.0</v>
      </c>
      <c r="M14" s="9">
        <v>3.0</v>
      </c>
      <c r="N14" s="9">
        <v>2.0</v>
      </c>
      <c r="O14" s="9">
        <v>4.0</v>
      </c>
      <c r="P14" s="9">
        <v>2.0</v>
      </c>
      <c r="Q14" s="9">
        <v>2.0</v>
      </c>
      <c r="R14" s="9">
        <v>1.0</v>
      </c>
      <c r="S14" s="9">
        <v>3.0</v>
      </c>
      <c r="T14" s="9">
        <v>2.0</v>
      </c>
      <c r="U14" s="9">
        <v>1.0</v>
      </c>
      <c r="V14" s="9">
        <v>3.0</v>
      </c>
      <c r="W14" s="9">
        <v>2.0</v>
      </c>
      <c r="X14" s="9">
        <v>2.0</v>
      </c>
      <c r="Y14" s="9">
        <v>1.0</v>
      </c>
      <c r="Z14" s="9">
        <v>2.0</v>
      </c>
      <c r="AA14" s="9">
        <v>4.0</v>
      </c>
      <c r="AB14" s="9">
        <v>3.0</v>
      </c>
      <c r="AC14" s="9">
        <v>3.0</v>
      </c>
      <c r="AD14" s="9">
        <v>2.0</v>
      </c>
      <c r="AE14" s="9">
        <v>3.0</v>
      </c>
      <c r="AF14" s="9">
        <v>3.0</v>
      </c>
      <c r="AG14" s="9">
        <v>1.0</v>
      </c>
      <c r="AH14" s="9">
        <v>3.0</v>
      </c>
      <c r="AI14" s="9">
        <v>2.0</v>
      </c>
      <c r="AJ14" s="9">
        <v>5.0</v>
      </c>
      <c r="AK14" s="9">
        <v>3.0</v>
      </c>
      <c r="AL14" s="9">
        <v>1.0</v>
      </c>
    </row>
    <row r="15">
      <c r="A15" s="6">
        <v>41651.582974537036</v>
      </c>
      <c r="B15" s="7" t="s">
        <v>50</v>
      </c>
      <c r="C15" s="8"/>
      <c r="D15" s="9">
        <v>3.0</v>
      </c>
      <c r="E15" s="9">
        <v>3.0</v>
      </c>
      <c r="F15" s="9">
        <v>4.0</v>
      </c>
      <c r="G15" s="9">
        <v>3.0</v>
      </c>
      <c r="H15" s="9">
        <v>4.0</v>
      </c>
      <c r="I15" s="9">
        <v>3.0</v>
      </c>
      <c r="J15" s="9">
        <v>4.0</v>
      </c>
      <c r="K15" s="9">
        <v>1.0</v>
      </c>
      <c r="L15" s="9">
        <v>3.0</v>
      </c>
      <c r="M15" s="9">
        <v>3.0</v>
      </c>
      <c r="N15" s="9">
        <v>4.0</v>
      </c>
      <c r="O15" s="9">
        <v>4.0</v>
      </c>
      <c r="P15" s="9">
        <v>4.0</v>
      </c>
      <c r="Q15" s="9">
        <v>4.0</v>
      </c>
      <c r="R15" s="9">
        <v>2.0</v>
      </c>
      <c r="S15" s="9">
        <v>4.0</v>
      </c>
      <c r="T15" s="9">
        <v>4.0</v>
      </c>
      <c r="U15" s="9">
        <v>4.0</v>
      </c>
      <c r="V15" s="9">
        <v>3.0</v>
      </c>
      <c r="W15" s="9">
        <v>3.0</v>
      </c>
      <c r="X15" s="9">
        <v>3.0</v>
      </c>
      <c r="Y15" s="9">
        <v>4.0</v>
      </c>
      <c r="Z15" s="9">
        <v>4.0</v>
      </c>
      <c r="AA15" s="9">
        <v>5.0</v>
      </c>
      <c r="AB15" s="9">
        <v>3.0</v>
      </c>
      <c r="AC15" s="9">
        <v>4.0</v>
      </c>
      <c r="AD15" s="9">
        <v>4.0</v>
      </c>
      <c r="AE15" s="9">
        <v>4.0</v>
      </c>
      <c r="AF15" s="9">
        <v>4.0</v>
      </c>
      <c r="AG15" s="9">
        <v>4.0</v>
      </c>
      <c r="AH15" s="9">
        <v>4.0</v>
      </c>
      <c r="AI15" s="9">
        <v>3.0</v>
      </c>
      <c r="AJ15" s="9">
        <v>3.0</v>
      </c>
      <c r="AK15" s="9">
        <v>3.0</v>
      </c>
      <c r="AL15" s="9">
        <v>4.0</v>
      </c>
    </row>
    <row r="16">
      <c r="A16" s="6">
        <v>41651.73646990741</v>
      </c>
      <c r="B16" s="7" t="s">
        <v>51</v>
      </c>
      <c r="C16" s="8"/>
      <c r="D16" s="9">
        <v>3.0</v>
      </c>
      <c r="E16" s="9">
        <v>4.0</v>
      </c>
      <c r="F16" s="9">
        <v>3.0</v>
      </c>
      <c r="G16" s="9">
        <v>4.0</v>
      </c>
      <c r="H16" s="9">
        <v>3.0</v>
      </c>
      <c r="I16" s="9">
        <v>5.0</v>
      </c>
      <c r="J16" s="9">
        <v>3.0</v>
      </c>
      <c r="K16" s="9">
        <v>5.0</v>
      </c>
      <c r="L16" s="9">
        <v>4.0</v>
      </c>
      <c r="M16" s="9">
        <v>5.0</v>
      </c>
      <c r="N16" s="9">
        <v>4.0</v>
      </c>
      <c r="O16" s="9">
        <v>4.0</v>
      </c>
      <c r="P16" s="9">
        <v>4.0</v>
      </c>
      <c r="Q16" s="9">
        <v>4.0</v>
      </c>
      <c r="R16" s="9">
        <v>3.0</v>
      </c>
      <c r="S16" s="9">
        <v>3.0</v>
      </c>
      <c r="T16" s="9">
        <v>3.0</v>
      </c>
      <c r="U16" s="9">
        <v>5.0</v>
      </c>
      <c r="V16" s="9">
        <v>4.0</v>
      </c>
      <c r="W16" s="9">
        <v>4.0</v>
      </c>
      <c r="X16" s="9">
        <v>1.0</v>
      </c>
      <c r="Y16" s="9">
        <v>4.0</v>
      </c>
      <c r="Z16" s="9">
        <v>3.0</v>
      </c>
      <c r="AA16" s="9">
        <v>4.0</v>
      </c>
      <c r="AB16" s="9">
        <v>4.0</v>
      </c>
      <c r="AC16" s="9">
        <v>4.0</v>
      </c>
      <c r="AD16" s="9">
        <v>3.0</v>
      </c>
      <c r="AE16" s="9">
        <v>4.0</v>
      </c>
      <c r="AF16" s="9">
        <v>4.0</v>
      </c>
      <c r="AG16" s="9">
        <v>5.0</v>
      </c>
      <c r="AH16" s="9">
        <v>4.0</v>
      </c>
      <c r="AI16" s="9">
        <v>4.0</v>
      </c>
      <c r="AJ16" s="9">
        <v>5.0</v>
      </c>
      <c r="AK16" s="9">
        <v>3.0</v>
      </c>
      <c r="AL16" s="9">
        <v>3.0</v>
      </c>
    </row>
    <row r="17">
      <c r="A17" s="6">
        <v>41651.90719907408</v>
      </c>
      <c r="B17" s="7" t="s">
        <v>52</v>
      </c>
      <c r="C17" s="8"/>
      <c r="D17" s="9">
        <v>5.0</v>
      </c>
      <c r="E17" s="9">
        <v>4.0</v>
      </c>
      <c r="F17" s="9">
        <v>4.0</v>
      </c>
      <c r="G17" s="9">
        <v>4.0</v>
      </c>
      <c r="H17" s="9">
        <v>2.0</v>
      </c>
      <c r="I17" s="9">
        <v>4.0</v>
      </c>
      <c r="J17" s="9">
        <v>4.0</v>
      </c>
      <c r="K17" s="9">
        <v>4.0</v>
      </c>
      <c r="L17" s="9">
        <v>5.0</v>
      </c>
      <c r="M17" s="9">
        <v>5.0</v>
      </c>
      <c r="N17" s="9">
        <v>2.0</v>
      </c>
      <c r="O17" s="9">
        <v>2.0</v>
      </c>
      <c r="P17" s="9">
        <v>5.0</v>
      </c>
      <c r="Q17" s="9">
        <v>3.0</v>
      </c>
      <c r="R17" s="9">
        <v>2.0</v>
      </c>
      <c r="S17" s="9">
        <v>3.0</v>
      </c>
      <c r="T17" s="9">
        <v>5.0</v>
      </c>
      <c r="U17" s="9">
        <v>3.0</v>
      </c>
      <c r="V17" s="9">
        <v>4.0</v>
      </c>
      <c r="W17" s="9">
        <v>4.0</v>
      </c>
      <c r="X17" s="9">
        <v>4.0</v>
      </c>
      <c r="Y17" s="9">
        <v>4.0</v>
      </c>
      <c r="Z17" s="9">
        <v>4.0</v>
      </c>
      <c r="AA17" s="9">
        <v>3.0</v>
      </c>
      <c r="AB17" s="9">
        <v>5.0</v>
      </c>
      <c r="AC17" s="9">
        <v>3.0</v>
      </c>
      <c r="AD17" s="9">
        <v>3.0</v>
      </c>
      <c r="AE17" s="9">
        <v>3.0</v>
      </c>
      <c r="AF17" s="9">
        <v>5.0</v>
      </c>
      <c r="AG17" s="9">
        <v>5.0</v>
      </c>
      <c r="AH17" s="9">
        <v>4.0</v>
      </c>
      <c r="AI17" s="9">
        <v>3.0</v>
      </c>
      <c r="AJ17" s="9">
        <v>5.0</v>
      </c>
      <c r="AK17" s="9">
        <v>4.0</v>
      </c>
      <c r="AL17" s="9">
        <v>4.0</v>
      </c>
    </row>
    <row r="18">
      <c r="A18" s="6">
        <v>41652.14608796296</v>
      </c>
      <c r="B18" s="7" t="s">
        <v>53</v>
      </c>
      <c r="C18" s="8"/>
      <c r="D18" s="9">
        <v>4.0</v>
      </c>
      <c r="E18" s="9">
        <v>3.0</v>
      </c>
      <c r="F18" s="9">
        <v>5.0</v>
      </c>
      <c r="G18" s="9">
        <v>3.0</v>
      </c>
      <c r="H18" s="9">
        <v>2.0</v>
      </c>
      <c r="I18" s="9">
        <v>2.0</v>
      </c>
      <c r="J18" s="9">
        <v>2.0</v>
      </c>
      <c r="K18" s="9">
        <v>3.0</v>
      </c>
      <c r="L18" s="9">
        <v>4.0</v>
      </c>
      <c r="M18" s="9">
        <v>5.0</v>
      </c>
      <c r="N18" s="9">
        <v>3.0</v>
      </c>
      <c r="O18" s="9">
        <v>4.0</v>
      </c>
      <c r="P18" s="9">
        <v>3.0</v>
      </c>
      <c r="Q18" s="9">
        <v>2.0</v>
      </c>
      <c r="R18" s="9">
        <v>1.0</v>
      </c>
      <c r="S18" s="9">
        <v>2.0</v>
      </c>
      <c r="T18" s="9">
        <v>3.0</v>
      </c>
      <c r="U18" s="9">
        <v>2.0</v>
      </c>
      <c r="V18" s="9">
        <v>3.0</v>
      </c>
      <c r="W18" s="9">
        <v>3.0</v>
      </c>
      <c r="X18" s="9">
        <v>3.0</v>
      </c>
      <c r="Y18" s="9">
        <v>1.0</v>
      </c>
      <c r="Z18" s="9">
        <v>3.0</v>
      </c>
      <c r="AA18" s="9">
        <v>3.0</v>
      </c>
      <c r="AB18" s="9">
        <v>3.0</v>
      </c>
      <c r="AC18" s="9">
        <v>2.0</v>
      </c>
      <c r="AD18" s="9">
        <v>2.0</v>
      </c>
      <c r="AE18" s="9">
        <v>3.0</v>
      </c>
      <c r="AF18" s="9">
        <v>3.0</v>
      </c>
      <c r="AG18" s="9">
        <v>3.0</v>
      </c>
      <c r="AH18" s="9">
        <v>3.0</v>
      </c>
      <c r="AI18" s="9">
        <v>3.0</v>
      </c>
      <c r="AJ18" s="9">
        <v>5.0</v>
      </c>
      <c r="AK18" s="9">
        <v>2.0</v>
      </c>
      <c r="AL18" s="9">
        <v>5.0</v>
      </c>
    </row>
    <row r="19">
      <c r="A19" s="6">
        <v>41652.93020833333</v>
      </c>
      <c r="B19" s="7" t="s">
        <v>54</v>
      </c>
      <c r="C19" s="8"/>
      <c r="D19" s="9">
        <v>3.0</v>
      </c>
      <c r="E19" s="9">
        <v>4.0</v>
      </c>
      <c r="F19" s="9">
        <v>4.0</v>
      </c>
      <c r="G19" s="9">
        <v>4.0</v>
      </c>
      <c r="H19" s="9">
        <v>1.0</v>
      </c>
      <c r="I19" s="9">
        <v>4.0</v>
      </c>
      <c r="J19" s="9">
        <v>3.0</v>
      </c>
      <c r="K19" s="9">
        <v>3.0</v>
      </c>
      <c r="L19" s="9">
        <v>5.0</v>
      </c>
      <c r="M19" s="9">
        <v>3.0</v>
      </c>
      <c r="N19" s="9">
        <v>3.0</v>
      </c>
      <c r="O19" s="9">
        <v>3.0</v>
      </c>
      <c r="P19" s="9">
        <v>4.0</v>
      </c>
      <c r="Q19" s="9">
        <v>3.0</v>
      </c>
      <c r="R19" s="9">
        <v>2.0</v>
      </c>
      <c r="S19" s="9">
        <v>2.0</v>
      </c>
      <c r="T19" s="9">
        <v>4.0</v>
      </c>
      <c r="U19" s="9">
        <v>5.0</v>
      </c>
      <c r="V19" s="9">
        <v>4.0</v>
      </c>
      <c r="W19" s="9">
        <v>2.0</v>
      </c>
      <c r="X19" s="9">
        <v>3.0</v>
      </c>
      <c r="Y19" s="9">
        <v>3.0</v>
      </c>
      <c r="Z19" s="9">
        <v>2.0</v>
      </c>
      <c r="AA19" s="9">
        <v>3.0</v>
      </c>
      <c r="AB19" s="9">
        <v>4.0</v>
      </c>
      <c r="AC19" s="9">
        <v>3.0</v>
      </c>
      <c r="AD19" s="9">
        <v>2.0</v>
      </c>
      <c r="AE19" s="9">
        <v>4.0</v>
      </c>
      <c r="AF19" s="9">
        <v>4.0</v>
      </c>
      <c r="AG19" s="9">
        <v>4.0</v>
      </c>
      <c r="AH19" s="9">
        <v>3.0</v>
      </c>
      <c r="AI19" s="9">
        <v>3.0</v>
      </c>
      <c r="AJ19" s="9">
        <v>4.0</v>
      </c>
      <c r="AK19" s="9">
        <v>4.0</v>
      </c>
      <c r="AL19" s="9">
        <v>3.0</v>
      </c>
    </row>
    <row r="20">
      <c r="A20" s="6">
        <v>41653.027291666665</v>
      </c>
      <c r="B20" s="7" t="s">
        <v>55</v>
      </c>
      <c r="C20" s="8"/>
      <c r="D20" s="9">
        <v>2.0</v>
      </c>
      <c r="E20" s="9">
        <v>5.0</v>
      </c>
      <c r="F20" s="9">
        <v>4.0</v>
      </c>
      <c r="G20" s="9">
        <v>1.0</v>
      </c>
      <c r="H20" s="9">
        <v>3.0</v>
      </c>
      <c r="I20" s="9">
        <v>3.0</v>
      </c>
      <c r="J20" s="9">
        <v>4.0</v>
      </c>
      <c r="K20" s="9">
        <v>3.0</v>
      </c>
      <c r="L20" s="9">
        <v>3.0</v>
      </c>
      <c r="M20" s="9">
        <v>3.0</v>
      </c>
      <c r="N20" s="9">
        <v>4.0</v>
      </c>
      <c r="O20" s="9">
        <v>5.0</v>
      </c>
      <c r="P20" s="9">
        <v>4.0</v>
      </c>
      <c r="Q20" s="9">
        <v>3.0</v>
      </c>
      <c r="R20" s="9">
        <v>2.0</v>
      </c>
      <c r="S20" s="9">
        <v>3.0</v>
      </c>
      <c r="T20" s="9">
        <v>4.0</v>
      </c>
      <c r="U20" s="9">
        <v>3.0</v>
      </c>
      <c r="V20" s="9">
        <v>3.0</v>
      </c>
      <c r="W20" s="9">
        <v>3.0</v>
      </c>
      <c r="X20" s="9">
        <v>3.0</v>
      </c>
      <c r="Y20" s="9">
        <v>3.0</v>
      </c>
      <c r="Z20" s="9">
        <v>3.0</v>
      </c>
      <c r="AA20" s="9">
        <v>3.0</v>
      </c>
      <c r="AB20" s="9">
        <v>3.0</v>
      </c>
      <c r="AC20" s="9">
        <v>4.0</v>
      </c>
      <c r="AD20" s="9">
        <v>3.0</v>
      </c>
      <c r="AE20" s="9">
        <v>5.0</v>
      </c>
      <c r="AF20" s="9">
        <v>5.0</v>
      </c>
      <c r="AG20" s="9">
        <v>4.0</v>
      </c>
      <c r="AH20" s="9">
        <v>3.0</v>
      </c>
      <c r="AI20" s="9">
        <v>2.0</v>
      </c>
      <c r="AJ20" s="9">
        <v>4.0</v>
      </c>
      <c r="AK20" s="9">
        <v>3.0</v>
      </c>
      <c r="AL20" s="9">
        <v>3.0</v>
      </c>
    </row>
    <row r="21">
      <c r="A21" s="6">
        <v>41653.04019675926</v>
      </c>
      <c r="B21" s="7" t="s">
        <v>56</v>
      </c>
      <c r="C21" s="8"/>
      <c r="D21" s="9">
        <v>2.0</v>
      </c>
      <c r="E21" s="9">
        <v>2.0</v>
      </c>
      <c r="F21" s="9">
        <v>4.0</v>
      </c>
      <c r="G21" s="9">
        <v>2.0</v>
      </c>
      <c r="H21" s="9">
        <v>2.0</v>
      </c>
      <c r="I21" s="9">
        <v>5.0</v>
      </c>
      <c r="J21" s="9">
        <v>2.0</v>
      </c>
      <c r="K21" s="9">
        <v>2.0</v>
      </c>
      <c r="L21" s="9">
        <v>2.0</v>
      </c>
      <c r="M21" s="9">
        <v>3.0</v>
      </c>
      <c r="N21" s="9">
        <v>2.0</v>
      </c>
      <c r="O21" s="9">
        <v>2.0</v>
      </c>
      <c r="P21" s="9">
        <v>5.0</v>
      </c>
      <c r="Q21" s="9">
        <v>2.0</v>
      </c>
      <c r="R21" s="9">
        <v>2.0</v>
      </c>
      <c r="S21" s="9">
        <v>2.0</v>
      </c>
      <c r="T21" s="9">
        <v>2.0</v>
      </c>
      <c r="U21" s="9">
        <v>4.0</v>
      </c>
      <c r="V21" s="9">
        <v>2.0</v>
      </c>
      <c r="W21" s="9">
        <v>4.0</v>
      </c>
      <c r="X21" s="9">
        <v>2.0</v>
      </c>
      <c r="Y21" s="9">
        <v>2.0</v>
      </c>
      <c r="Z21" s="9">
        <v>2.0</v>
      </c>
      <c r="AA21" s="9">
        <v>1.0</v>
      </c>
      <c r="AB21" s="9">
        <v>2.0</v>
      </c>
      <c r="AC21" s="9">
        <v>2.0</v>
      </c>
      <c r="AD21" s="9">
        <v>3.0</v>
      </c>
      <c r="AE21" s="9">
        <v>2.0</v>
      </c>
      <c r="AF21" s="9">
        <v>2.0</v>
      </c>
      <c r="AG21" s="9">
        <v>2.0</v>
      </c>
      <c r="AH21" s="9">
        <v>3.0</v>
      </c>
      <c r="AI21" s="9">
        <v>2.0</v>
      </c>
      <c r="AJ21" s="9">
        <v>3.0</v>
      </c>
      <c r="AK21" s="9">
        <v>2.0</v>
      </c>
      <c r="AL21" s="9">
        <v>4.0</v>
      </c>
    </row>
    <row r="22">
      <c r="A22" s="6">
        <v>41653.1553125</v>
      </c>
      <c r="B22" s="7" t="s">
        <v>57</v>
      </c>
      <c r="C22" s="8"/>
      <c r="D22" s="9">
        <v>1.0</v>
      </c>
      <c r="E22" s="9">
        <v>3.0</v>
      </c>
      <c r="F22" s="9">
        <v>4.0</v>
      </c>
      <c r="G22" s="9">
        <v>3.0</v>
      </c>
      <c r="H22" s="9">
        <v>3.0</v>
      </c>
      <c r="I22" s="9">
        <v>3.0</v>
      </c>
      <c r="J22" s="9">
        <v>3.0</v>
      </c>
      <c r="K22" s="9">
        <v>5.0</v>
      </c>
      <c r="L22" s="9">
        <v>3.0</v>
      </c>
      <c r="M22" s="9">
        <v>4.0</v>
      </c>
      <c r="N22" s="9">
        <v>4.0</v>
      </c>
      <c r="O22" s="9">
        <v>3.0</v>
      </c>
      <c r="P22" s="9">
        <v>5.0</v>
      </c>
      <c r="Q22" s="9">
        <v>3.0</v>
      </c>
      <c r="R22" s="9">
        <v>3.0</v>
      </c>
      <c r="S22" s="9">
        <v>3.0</v>
      </c>
      <c r="T22" s="9">
        <v>3.0</v>
      </c>
      <c r="U22" s="9">
        <v>4.0</v>
      </c>
      <c r="V22" s="9">
        <v>3.0</v>
      </c>
      <c r="W22" s="9">
        <v>3.0</v>
      </c>
      <c r="X22" s="9">
        <v>3.0</v>
      </c>
      <c r="Y22" s="9">
        <v>3.0</v>
      </c>
      <c r="Z22" s="9">
        <v>3.0</v>
      </c>
      <c r="AA22" s="9">
        <v>3.0</v>
      </c>
      <c r="AB22" s="9">
        <v>3.0</v>
      </c>
      <c r="AC22" s="9">
        <v>3.0</v>
      </c>
      <c r="AD22" s="9">
        <v>3.0</v>
      </c>
      <c r="AE22" s="9">
        <v>3.0</v>
      </c>
      <c r="AF22" s="9">
        <v>3.0</v>
      </c>
      <c r="AG22" s="9">
        <v>3.0</v>
      </c>
      <c r="AH22" s="9">
        <v>3.0</v>
      </c>
      <c r="AI22" s="9">
        <v>3.0</v>
      </c>
      <c r="AJ22" s="9">
        <v>5.0</v>
      </c>
      <c r="AK22" s="9">
        <v>3.0</v>
      </c>
      <c r="AL22" s="9">
        <v>3.0</v>
      </c>
    </row>
    <row r="23">
      <c r="A23" s="6">
        <v>41653.83987268519</v>
      </c>
      <c r="B23" s="7" t="s">
        <v>58</v>
      </c>
      <c r="C23" s="8"/>
      <c r="D23" s="9">
        <v>2.0</v>
      </c>
      <c r="E23" s="9">
        <v>4.0</v>
      </c>
      <c r="F23" s="9">
        <v>4.0</v>
      </c>
      <c r="G23" s="9">
        <v>4.0</v>
      </c>
      <c r="H23" s="9">
        <v>4.0</v>
      </c>
      <c r="I23" s="9">
        <v>3.0</v>
      </c>
      <c r="J23" s="9">
        <v>4.0</v>
      </c>
      <c r="K23" s="9">
        <v>3.0</v>
      </c>
      <c r="L23" s="9">
        <v>5.0</v>
      </c>
      <c r="M23" s="9">
        <v>4.0</v>
      </c>
      <c r="N23" s="9">
        <v>3.0</v>
      </c>
      <c r="O23" s="9">
        <v>4.0</v>
      </c>
      <c r="P23" s="9">
        <v>4.0</v>
      </c>
      <c r="Q23" s="9">
        <v>3.0</v>
      </c>
      <c r="R23" s="9">
        <v>2.0</v>
      </c>
      <c r="S23" s="9">
        <v>4.0</v>
      </c>
      <c r="T23" s="9">
        <v>4.0</v>
      </c>
      <c r="U23" s="9">
        <v>3.0</v>
      </c>
      <c r="V23" s="9">
        <v>3.0</v>
      </c>
      <c r="W23" s="9">
        <v>3.0</v>
      </c>
      <c r="X23" s="9">
        <v>4.0</v>
      </c>
      <c r="Y23" s="9">
        <v>3.0</v>
      </c>
      <c r="Z23" s="9">
        <v>4.0</v>
      </c>
      <c r="AA23" s="9">
        <v>4.0</v>
      </c>
      <c r="AB23" s="9">
        <v>4.0</v>
      </c>
      <c r="AC23" s="9">
        <v>4.0</v>
      </c>
      <c r="AD23" s="9">
        <v>3.0</v>
      </c>
      <c r="AE23" s="9">
        <v>4.0</v>
      </c>
      <c r="AF23" s="9">
        <v>4.0</v>
      </c>
      <c r="AG23" s="9">
        <v>4.0</v>
      </c>
      <c r="AH23" s="9">
        <v>3.0</v>
      </c>
      <c r="AI23" s="9">
        <v>5.0</v>
      </c>
      <c r="AJ23" s="9">
        <v>4.0</v>
      </c>
      <c r="AK23" s="9">
        <v>4.0</v>
      </c>
      <c r="AL23" s="9">
        <v>1.0</v>
      </c>
    </row>
    <row r="24">
      <c r="A24" s="6">
        <v>41653.85053240741</v>
      </c>
      <c r="B24" s="7" t="s">
        <v>59</v>
      </c>
      <c r="C24" s="8"/>
      <c r="D24" s="9">
        <v>2.0</v>
      </c>
      <c r="E24" s="9">
        <v>4.0</v>
      </c>
      <c r="F24" s="9">
        <v>4.0</v>
      </c>
      <c r="G24" s="9">
        <v>5.0</v>
      </c>
      <c r="H24" s="9">
        <v>3.0</v>
      </c>
      <c r="I24" s="9">
        <v>3.0</v>
      </c>
      <c r="J24" s="9">
        <v>2.0</v>
      </c>
      <c r="K24" s="9">
        <v>2.0</v>
      </c>
      <c r="L24" s="9">
        <v>4.0</v>
      </c>
      <c r="M24" s="9">
        <v>1.0</v>
      </c>
      <c r="N24" s="9">
        <v>4.0</v>
      </c>
      <c r="O24" s="9">
        <v>3.0</v>
      </c>
      <c r="P24" s="9">
        <v>3.0</v>
      </c>
      <c r="Q24" s="9">
        <v>3.0</v>
      </c>
      <c r="R24" s="9">
        <v>2.0</v>
      </c>
      <c r="S24" s="9">
        <v>3.0</v>
      </c>
      <c r="T24" s="9">
        <v>3.0</v>
      </c>
      <c r="U24" s="9">
        <v>3.0</v>
      </c>
      <c r="V24" s="9">
        <v>2.0</v>
      </c>
      <c r="W24" s="9">
        <v>2.0</v>
      </c>
      <c r="X24" s="9">
        <v>5.0</v>
      </c>
      <c r="Y24" s="9">
        <v>3.0</v>
      </c>
      <c r="Z24" s="9">
        <v>2.0</v>
      </c>
      <c r="AA24" s="9">
        <v>3.0</v>
      </c>
      <c r="AB24" s="9">
        <v>5.0</v>
      </c>
      <c r="AC24" s="9">
        <v>2.0</v>
      </c>
      <c r="AD24" s="9">
        <v>3.0</v>
      </c>
      <c r="AE24" s="9">
        <v>3.0</v>
      </c>
      <c r="AF24" s="9">
        <v>4.0</v>
      </c>
      <c r="AG24" s="9">
        <v>4.0</v>
      </c>
      <c r="AH24" s="9">
        <v>4.0</v>
      </c>
      <c r="AI24" s="9">
        <v>4.0</v>
      </c>
      <c r="AJ24" s="9">
        <v>5.0</v>
      </c>
      <c r="AK24" s="9">
        <v>2.0</v>
      </c>
      <c r="AL24" s="9">
        <v>2.0</v>
      </c>
    </row>
    <row r="25">
      <c r="A25" s="6">
        <v>41653.984131944446</v>
      </c>
      <c r="B25" s="7" t="s">
        <v>60</v>
      </c>
      <c r="C25" s="8"/>
      <c r="D25" s="9">
        <v>2.0</v>
      </c>
      <c r="E25" s="9">
        <v>3.0</v>
      </c>
      <c r="F25" s="9">
        <v>5.0</v>
      </c>
      <c r="G25" s="9">
        <v>3.0</v>
      </c>
      <c r="H25" s="9">
        <v>3.0</v>
      </c>
      <c r="I25" s="9">
        <v>2.0</v>
      </c>
      <c r="J25" s="9">
        <v>2.0</v>
      </c>
      <c r="K25" s="9">
        <v>4.0</v>
      </c>
      <c r="L25" s="9">
        <v>1.0</v>
      </c>
      <c r="M25" s="9">
        <v>1.0</v>
      </c>
      <c r="N25" s="9">
        <v>2.0</v>
      </c>
      <c r="O25" s="9">
        <v>4.0</v>
      </c>
      <c r="P25" s="9">
        <v>5.0</v>
      </c>
      <c r="Q25" s="9">
        <v>3.0</v>
      </c>
      <c r="R25" s="9">
        <v>1.0</v>
      </c>
      <c r="S25" s="9">
        <v>1.0</v>
      </c>
      <c r="T25" s="9">
        <v>4.0</v>
      </c>
      <c r="U25" s="9">
        <v>5.0</v>
      </c>
      <c r="V25" s="9">
        <v>4.0</v>
      </c>
      <c r="W25" s="9">
        <v>3.0</v>
      </c>
      <c r="X25" s="9">
        <v>4.0</v>
      </c>
      <c r="Y25" s="9">
        <v>3.0</v>
      </c>
      <c r="Z25" s="9">
        <v>4.0</v>
      </c>
      <c r="AA25" s="9">
        <v>4.0</v>
      </c>
      <c r="AB25" s="9">
        <v>1.0</v>
      </c>
      <c r="AC25" s="9">
        <v>1.0</v>
      </c>
      <c r="AD25" s="9">
        <v>1.0</v>
      </c>
      <c r="AE25" s="9">
        <v>4.0</v>
      </c>
      <c r="AF25" s="9">
        <v>4.0</v>
      </c>
      <c r="AG25" s="9">
        <v>2.0</v>
      </c>
      <c r="AH25" s="9">
        <v>3.0</v>
      </c>
      <c r="AI25" s="9">
        <v>4.0</v>
      </c>
      <c r="AJ25" s="9">
        <v>5.0</v>
      </c>
      <c r="AK25" s="9">
        <v>2.0</v>
      </c>
      <c r="AL25" s="9">
        <v>2.0</v>
      </c>
    </row>
    <row r="26">
      <c r="A26" s="6">
        <v>41653.997453703705</v>
      </c>
      <c r="B26" s="7" t="s">
        <v>61</v>
      </c>
      <c r="C26" s="8"/>
      <c r="D26" s="9">
        <v>1.0</v>
      </c>
      <c r="E26" s="9">
        <v>5.0</v>
      </c>
      <c r="F26" s="9">
        <v>5.0</v>
      </c>
      <c r="G26" s="9">
        <v>5.0</v>
      </c>
      <c r="H26" s="9">
        <v>3.0</v>
      </c>
      <c r="I26" s="9">
        <v>1.0</v>
      </c>
      <c r="J26" s="9">
        <v>4.0</v>
      </c>
      <c r="K26" s="9">
        <v>2.0</v>
      </c>
      <c r="L26" s="9">
        <v>3.0</v>
      </c>
      <c r="M26" s="9">
        <v>4.0</v>
      </c>
      <c r="N26" s="9">
        <v>2.0</v>
      </c>
      <c r="O26" s="9">
        <v>1.0</v>
      </c>
      <c r="P26" s="9">
        <v>5.0</v>
      </c>
      <c r="Q26" s="9">
        <v>2.0</v>
      </c>
      <c r="R26" s="9">
        <v>1.0</v>
      </c>
      <c r="S26" s="9">
        <v>4.0</v>
      </c>
      <c r="T26" s="9">
        <v>4.0</v>
      </c>
      <c r="U26" s="9">
        <v>3.0</v>
      </c>
      <c r="V26" s="9">
        <v>2.0</v>
      </c>
      <c r="W26" s="9">
        <v>3.0</v>
      </c>
      <c r="X26" s="9">
        <v>4.0</v>
      </c>
      <c r="Y26" s="9">
        <v>2.0</v>
      </c>
      <c r="Z26" s="9">
        <v>2.0</v>
      </c>
      <c r="AA26" s="9">
        <v>3.0</v>
      </c>
      <c r="AB26" s="9">
        <v>2.0</v>
      </c>
      <c r="AC26" s="9">
        <v>3.0</v>
      </c>
      <c r="AD26" s="9">
        <v>3.0</v>
      </c>
      <c r="AE26" s="9">
        <v>5.0</v>
      </c>
      <c r="AF26" s="9">
        <v>3.0</v>
      </c>
      <c r="AG26" s="9">
        <v>4.0</v>
      </c>
      <c r="AH26" s="9">
        <v>2.0</v>
      </c>
      <c r="AI26" s="9">
        <v>3.0</v>
      </c>
      <c r="AJ26" s="9">
        <v>5.0</v>
      </c>
      <c r="AK26" s="9">
        <v>4.0</v>
      </c>
      <c r="AL26" s="9">
        <v>3.0</v>
      </c>
    </row>
    <row r="27">
      <c r="A27" s="6">
        <v>41654.1621875</v>
      </c>
      <c r="B27" s="7" t="s">
        <v>62</v>
      </c>
      <c r="C27" s="8"/>
      <c r="D27" s="9">
        <v>4.0</v>
      </c>
      <c r="E27" s="9">
        <v>4.0</v>
      </c>
      <c r="F27" s="9">
        <v>3.0</v>
      </c>
      <c r="G27" s="9">
        <v>4.0</v>
      </c>
      <c r="H27" s="9">
        <v>3.0</v>
      </c>
      <c r="I27" s="9">
        <v>4.0</v>
      </c>
      <c r="J27" s="9">
        <v>4.0</v>
      </c>
      <c r="K27" s="9">
        <v>5.0</v>
      </c>
      <c r="L27" s="9">
        <v>5.0</v>
      </c>
      <c r="M27" s="9">
        <v>5.0</v>
      </c>
      <c r="N27" s="9">
        <v>1.0</v>
      </c>
      <c r="O27" s="9">
        <v>5.0</v>
      </c>
      <c r="P27" s="9">
        <v>5.0</v>
      </c>
      <c r="Q27" s="9">
        <v>4.0</v>
      </c>
      <c r="R27" s="9">
        <v>4.0</v>
      </c>
      <c r="S27" s="9">
        <v>5.0</v>
      </c>
      <c r="T27" s="9">
        <v>5.0</v>
      </c>
      <c r="U27" s="9">
        <v>4.0</v>
      </c>
      <c r="V27" s="9">
        <v>4.0</v>
      </c>
      <c r="W27" s="9">
        <v>4.0</v>
      </c>
      <c r="X27" s="9">
        <v>4.0</v>
      </c>
      <c r="Y27" s="9">
        <v>3.0</v>
      </c>
      <c r="Z27" s="9">
        <v>3.0</v>
      </c>
      <c r="AA27" s="9">
        <v>4.0</v>
      </c>
      <c r="AB27" s="9">
        <v>4.0</v>
      </c>
      <c r="AC27" s="9">
        <v>4.0</v>
      </c>
      <c r="AD27" s="9">
        <v>4.0</v>
      </c>
      <c r="AE27" s="9">
        <v>5.0</v>
      </c>
      <c r="AF27" s="9">
        <v>5.0</v>
      </c>
      <c r="AG27" s="9">
        <v>5.0</v>
      </c>
      <c r="AH27" s="9">
        <v>4.0</v>
      </c>
      <c r="AI27" s="9">
        <v>5.0</v>
      </c>
      <c r="AJ27" s="9">
        <v>5.0</v>
      </c>
      <c r="AK27" s="9">
        <v>4.0</v>
      </c>
      <c r="AL27" s="9">
        <v>5.0</v>
      </c>
    </row>
    <row r="28">
      <c r="A28" s="6">
        <v>41654.174791666665</v>
      </c>
      <c r="B28" s="7" t="s">
        <v>63</v>
      </c>
      <c r="C28" s="8"/>
      <c r="D28" s="9">
        <v>2.0</v>
      </c>
      <c r="E28" s="9">
        <v>5.0</v>
      </c>
      <c r="F28" s="9">
        <v>1.0</v>
      </c>
      <c r="G28" s="9">
        <v>5.0</v>
      </c>
      <c r="H28" s="9">
        <v>3.0</v>
      </c>
      <c r="I28" s="9">
        <v>4.0</v>
      </c>
      <c r="J28" s="9">
        <v>4.0</v>
      </c>
      <c r="K28" s="9">
        <v>3.0</v>
      </c>
      <c r="L28" s="9">
        <v>3.0</v>
      </c>
      <c r="M28" s="9">
        <v>4.0</v>
      </c>
      <c r="N28" s="9">
        <v>5.0</v>
      </c>
      <c r="O28" s="9">
        <v>4.0</v>
      </c>
      <c r="P28" s="9">
        <v>5.0</v>
      </c>
      <c r="Q28" s="9">
        <v>3.0</v>
      </c>
      <c r="R28" s="9">
        <v>2.0</v>
      </c>
      <c r="S28" s="9">
        <v>5.0</v>
      </c>
      <c r="T28" s="9">
        <v>3.0</v>
      </c>
      <c r="U28" s="9">
        <v>4.0</v>
      </c>
      <c r="V28" s="9">
        <v>3.0</v>
      </c>
      <c r="W28" s="9">
        <v>2.0</v>
      </c>
      <c r="X28" s="9">
        <v>5.0</v>
      </c>
      <c r="Y28" s="9">
        <v>3.0</v>
      </c>
      <c r="Z28" s="9">
        <v>2.0</v>
      </c>
      <c r="AA28" s="9">
        <v>4.0</v>
      </c>
      <c r="AB28" s="9">
        <v>3.0</v>
      </c>
      <c r="AC28" s="9">
        <v>3.0</v>
      </c>
      <c r="AD28" s="9">
        <v>3.0</v>
      </c>
      <c r="AE28" s="9">
        <v>4.0</v>
      </c>
      <c r="AF28" s="9">
        <v>5.0</v>
      </c>
      <c r="AG28" s="9">
        <v>4.0</v>
      </c>
      <c r="AH28" s="9">
        <v>3.0</v>
      </c>
      <c r="AI28" s="9">
        <v>5.0</v>
      </c>
      <c r="AJ28" s="9">
        <v>4.0</v>
      </c>
      <c r="AK28" s="9">
        <v>3.0</v>
      </c>
      <c r="AL28" s="9">
        <v>4.0</v>
      </c>
    </row>
    <row r="29">
      <c r="A29" s="6">
        <v>41654.24636574074</v>
      </c>
      <c r="B29" s="7" t="s">
        <v>64</v>
      </c>
      <c r="C29" s="8"/>
      <c r="D29" s="9">
        <v>2.0</v>
      </c>
      <c r="E29" s="9">
        <v>1.0</v>
      </c>
      <c r="F29" s="9">
        <v>4.0</v>
      </c>
      <c r="G29" s="9">
        <v>4.0</v>
      </c>
      <c r="H29" s="9">
        <v>3.0</v>
      </c>
      <c r="I29" s="9">
        <v>3.0</v>
      </c>
      <c r="J29" s="9">
        <v>3.0</v>
      </c>
      <c r="K29" s="9">
        <v>2.0</v>
      </c>
      <c r="L29" s="9">
        <v>3.0</v>
      </c>
      <c r="M29" s="9">
        <v>4.0</v>
      </c>
      <c r="N29" s="9">
        <v>2.0</v>
      </c>
      <c r="O29" s="9">
        <v>4.0</v>
      </c>
      <c r="P29" s="9">
        <v>4.0</v>
      </c>
      <c r="Q29" s="9">
        <v>3.0</v>
      </c>
      <c r="R29" s="9">
        <v>2.0</v>
      </c>
      <c r="S29" s="9">
        <v>4.0</v>
      </c>
      <c r="T29" s="9">
        <v>2.0</v>
      </c>
      <c r="U29" s="9">
        <v>3.0</v>
      </c>
      <c r="V29" s="9">
        <v>2.0</v>
      </c>
      <c r="W29" s="9">
        <v>2.0</v>
      </c>
      <c r="X29" s="9">
        <v>5.0</v>
      </c>
      <c r="Y29" s="9">
        <v>3.0</v>
      </c>
      <c r="Z29" s="9">
        <v>1.0</v>
      </c>
      <c r="AA29" s="9">
        <v>3.0</v>
      </c>
      <c r="AB29" s="9">
        <v>2.0</v>
      </c>
      <c r="AC29" s="9">
        <v>3.0</v>
      </c>
      <c r="AD29" s="9">
        <v>3.0</v>
      </c>
      <c r="AE29" s="9">
        <v>4.0</v>
      </c>
      <c r="AF29" s="9">
        <v>4.0</v>
      </c>
      <c r="AG29" s="9">
        <v>4.0</v>
      </c>
      <c r="AH29" s="9">
        <v>3.0</v>
      </c>
      <c r="AI29" s="9">
        <v>2.0</v>
      </c>
      <c r="AJ29" s="9">
        <v>5.0</v>
      </c>
      <c r="AK29" s="9">
        <v>3.0</v>
      </c>
      <c r="AL29" s="9">
        <v>5.0</v>
      </c>
    </row>
    <row r="30">
      <c r="A30" s="6">
        <v>41654.90324074074</v>
      </c>
      <c r="B30" s="7" t="s">
        <v>65</v>
      </c>
      <c r="C30" s="8"/>
      <c r="D30" s="9">
        <v>3.0</v>
      </c>
      <c r="E30" s="9">
        <v>3.0</v>
      </c>
      <c r="F30" s="9">
        <v>5.0</v>
      </c>
      <c r="G30" s="9">
        <v>4.0</v>
      </c>
      <c r="H30" s="9">
        <v>4.0</v>
      </c>
      <c r="I30" s="9">
        <v>1.0</v>
      </c>
      <c r="J30" s="9">
        <v>3.0</v>
      </c>
      <c r="K30" s="9">
        <v>4.0</v>
      </c>
      <c r="L30" s="9">
        <v>4.0</v>
      </c>
      <c r="M30" s="9">
        <v>5.0</v>
      </c>
      <c r="N30" s="9">
        <v>4.0</v>
      </c>
      <c r="O30" s="9">
        <v>4.0</v>
      </c>
      <c r="P30" s="9">
        <v>5.0</v>
      </c>
      <c r="Q30" s="9">
        <v>3.0</v>
      </c>
      <c r="R30" s="9">
        <v>3.0</v>
      </c>
      <c r="S30" s="9">
        <v>5.0</v>
      </c>
      <c r="T30" s="9">
        <v>3.0</v>
      </c>
      <c r="U30" s="9">
        <v>3.0</v>
      </c>
      <c r="V30" s="9">
        <v>3.0</v>
      </c>
      <c r="W30" s="9">
        <v>4.0</v>
      </c>
      <c r="X30" s="9">
        <v>4.0</v>
      </c>
      <c r="Y30" s="9">
        <v>3.0</v>
      </c>
      <c r="Z30" s="9">
        <v>3.0</v>
      </c>
      <c r="AA30" s="9">
        <v>5.0</v>
      </c>
      <c r="AB30" s="9">
        <v>3.0</v>
      </c>
      <c r="AC30" s="9">
        <v>4.0</v>
      </c>
      <c r="AD30" s="9">
        <v>4.0</v>
      </c>
      <c r="AE30" s="9">
        <v>3.0</v>
      </c>
      <c r="AF30" s="9">
        <v>5.0</v>
      </c>
      <c r="AG30" s="9">
        <v>4.0</v>
      </c>
      <c r="AH30" s="9">
        <v>4.0</v>
      </c>
      <c r="AI30" s="9">
        <v>3.0</v>
      </c>
      <c r="AJ30" s="9">
        <v>3.0</v>
      </c>
      <c r="AK30" s="9">
        <v>5.0</v>
      </c>
      <c r="AL30" s="9">
        <v>4.0</v>
      </c>
    </row>
    <row r="31">
      <c r="A31" s="6">
        <v>41654.99917824074</v>
      </c>
      <c r="B31" s="7" t="s">
        <v>66</v>
      </c>
      <c r="C31" s="8"/>
      <c r="D31" s="9">
        <v>3.0</v>
      </c>
      <c r="E31" s="9">
        <v>4.0</v>
      </c>
      <c r="F31" s="9">
        <v>3.0</v>
      </c>
      <c r="G31" s="9">
        <v>5.0</v>
      </c>
      <c r="H31" s="9">
        <v>3.0</v>
      </c>
      <c r="I31" s="9">
        <v>3.0</v>
      </c>
      <c r="J31" s="9">
        <v>4.0</v>
      </c>
      <c r="K31" s="9">
        <v>3.0</v>
      </c>
      <c r="L31" s="9">
        <v>4.0</v>
      </c>
      <c r="M31" s="9">
        <v>4.0</v>
      </c>
      <c r="N31" s="9">
        <v>4.0</v>
      </c>
      <c r="O31" s="9">
        <v>4.0</v>
      </c>
      <c r="P31" s="9">
        <v>4.0</v>
      </c>
      <c r="Q31" s="9">
        <v>3.0</v>
      </c>
      <c r="R31" s="9">
        <v>3.0</v>
      </c>
      <c r="S31" s="9">
        <v>3.0</v>
      </c>
      <c r="T31" s="9">
        <v>3.0</v>
      </c>
      <c r="U31" s="9">
        <v>3.0</v>
      </c>
      <c r="V31" s="9">
        <v>4.0</v>
      </c>
      <c r="W31" s="9">
        <v>3.0</v>
      </c>
      <c r="X31" s="9">
        <v>4.0</v>
      </c>
      <c r="Y31" s="9">
        <v>3.0</v>
      </c>
      <c r="Z31" s="9">
        <v>3.0</v>
      </c>
      <c r="AA31" s="9">
        <v>5.0</v>
      </c>
      <c r="AB31" s="9">
        <v>4.0</v>
      </c>
      <c r="AC31" s="9">
        <v>4.0</v>
      </c>
      <c r="AD31" s="9">
        <v>4.0</v>
      </c>
      <c r="AE31" s="9">
        <v>4.0</v>
      </c>
      <c r="AF31" s="9">
        <v>4.0</v>
      </c>
      <c r="AG31" s="9">
        <v>3.0</v>
      </c>
      <c r="AH31" s="9">
        <v>1.0</v>
      </c>
      <c r="AI31" s="9">
        <v>3.0</v>
      </c>
      <c r="AJ31" s="9">
        <v>4.0</v>
      </c>
      <c r="AK31" s="9">
        <v>4.0</v>
      </c>
      <c r="AL31" s="9">
        <v>4.0</v>
      </c>
    </row>
    <row r="32">
      <c r="A32" s="6">
        <v>41655.04609953704</v>
      </c>
      <c r="B32" s="7" t="s">
        <v>67</v>
      </c>
      <c r="C32" s="8"/>
      <c r="D32" s="9">
        <v>3.0</v>
      </c>
      <c r="E32" s="9">
        <v>5.0</v>
      </c>
      <c r="F32" s="9">
        <v>5.0</v>
      </c>
      <c r="G32" s="9">
        <v>5.0</v>
      </c>
      <c r="H32" s="9">
        <v>2.0</v>
      </c>
      <c r="I32" s="9">
        <v>2.0</v>
      </c>
      <c r="J32" s="9">
        <v>3.0</v>
      </c>
      <c r="K32" s="9">
        <v>3.0</v>
      </c>
      <c r="L32" s="9">
        <v>3.0</v>
      </c>
      <c r="M32" s="9">
        <v>3.0</v>
      </c>
      <c r="N32" s="9">
        <v>4.0</v>
      </c>
      <c r="O32" s="9">
        <v>3.0</v>
      </c>
      <c r="P32" s="9">
        <v>3.0</v>
      </c>
      <c r="Q32" s="9">
        <v>3.0</v>
      </c>
      <c r="R32" s="9">
        <v>3.0</v>
      </c>
      <c r="S32" s="9">
        <v>3.0</v>
      </c>
      <c r="T32" s="9">
        <v>1.0</v>
      </c>
      <c r="U32" s="9">
        <v>3.0</v>
      </c>
      <c r="V32" s="9">
        <v>2.0</v>
      </c>
      <c r="W32" s="9">
        <v>2.0</v>
      </c>
      <c r="X32" s="9">
        <v>4.0</v>
      </c>
      <c r="Y32" s="9">
        <v>3.0</v>
      </c>
      <c r="Z32" s="9">
        <v>2.0</v>
      </c>
      <c r="AA32" s="9">
        <v>2.0</v>
      </c>
      <c r="AB32" s="9">
        <v>3.0</v>
      </c>
      <c r="AC32" s="9">
        <v>3.0</v>
      </c>
      <c r="AD32" s="9">
        <v>3.0</v>
      </c>
      <c r="AE32" s="9">
        <v>3.0</v>
      </c>
      <c r="AF32" s="9">
        <v>4.0</v>
      </c>
      <c r="AG32" s="9">
        <v>3.0</v>
      </c>
      <c r="AH32" s="9">
        <v>2.0</v>
      </c>
      <c r="AI32" s="9">
        <v>4.0</v>
      </c>
      <c r="AJ32" s="9">
        <v>4.0</v>
      </c>
      <c r="AK32" s="9">
        <v>4.0</v>
      </c>
      <c r="AL32" s="9">
        <v>3.0</v>
      </c>
    </row>
    <row r="33">
      <c r="A33" s="6">
        <v>41655.25274305556</v>
      </c>
      <c r="B33" s="7" t="s">
        <v>68</v>
      </c>
      <c r="C33" s="8"/>
      <c r="D33" s="9">
        <v>3.0</v>
      </c>
      <c r="E33" s="9">
        <v>4.0</v>
      </c>
      <c r="F33" s="9">
        <v>4.0</v>
      </c>
      <c r="G33" s="9">
        <v>4.0</v>
      </c>
      <c r="H33" s="9">
        <v>3.0</v>
      </c>
      <c r="I33" s="9">
        <v>3.0</v>
      </c>
      <c r="J33" s="9">
        <v>1.0</v>
      </c>
      <c r="K33" s="9">
        <v>3.0</v>
      </c>
      <c r="L33" s="9">
        <v>4.0</v>
      </c>
      <c r="M33" s="9">
        <v>5.0</v>
      </c>
      <c r="N33" s="9">
        <v>4.0</v>
      </c>
      <c r="O33" s="9">
        <v>4.0</v>
      </c>
      <c r="P33" s="9">
        <v>4.0</v>
      </c>
      <c r="Q33" s="9">
        <v>3.0</v>
      </c>
      <c r="R33" s="9">
        <v>3.0</v>
      </c>
      <c r="S33" s="9">
        <v>4.0</v>
      </c>
      <c r="T33" s="9">
        <v>4.0</v>
      </c>
      <c r="U33" s="9">
        <v>4.0</v>
      </c>
      <c r="V33" s="9">
        <v>3.0</v>
      </c>
      <c r="W33" s="9">
        <v>4.0</v>
      </c>
      <c r="X33" s="9">
        <v>4.0</v>
      </c>
      <c r="Y33" s="9">
        <v>3.0</v>
      </c>
      <c r="Z33" s="9">
        <v>3.0</v>
      </c>
      <c r="AA33" s="9">
        <v>4.0</v>
      </c>
      <c r="AB33" s="9">
        <v>4.0</v>
      </c>
      <c r="AC33" s="9">
        <v>4.0</v>
      </c>
      <c r="AD33" s="9">
        <v>3.0</v>
      </c>
      <c r="AE33" s="9">
        <v>4.0</v>
      </c>
      <c r="AF33" s="9">
        <v>4.0</v>
      </c>
      <c r="AG33" s="9">
        <v>4.0</v>
      </c>
      <c r="AH33" s="9">
        <v>4.0</v>
      </c>
      <c r="AI33" s="9">
        <v>4.0</v>
      </c>
      <c r="AJ33" s="9">
        <v>5.0</v>
      </c>
      <c r="AK33" s="9">
        <v>3.0</v>
      </c>
      <c r="AL33" s="9">
        <v>4.0</v>
      </c>
    </row>
    <row r="34">
      <c r="A34" s="6">
        <v>41655.316157407404</v>
      </c>
      <c r="B34" s="7" t="s">
        <v>69</v>
      </c>
      <c r="C34" s="8"/>
      <c r="D34" s="9">
        <v>2.0</v>
      </c>
      <c r="E34" s="9">
        <v>3.0</v>
      </c>
      <c r="F34" s="9">
        <v>4.0</v>
      </c>
      <c r="G34" s="9">
        <v>3.0</v>
      </c>
      <c r="H34" s="9">
        <v>5.0</v>
      </c>
      <c r="I34" s="9">
        <v>4.0</v>
      </c>
      <c r="J34" s="9">
        <v>3.0</v>
      </c>
      <c r="K34" s="9">
        <v>2.0</v>
      </c>
      <c r="L34" s="9">
        <v>2.0</v>
      </c>
      <c r="M34" s="9">
        <v>3.0</v>
      </c>
      <c r="N34" s="9">
        <v>3.0</v>
      </c>
      <c r="O34" s="9">
        <v>3.0</v>
      </c>
      <c r="P34" s="9">
        <v>2.0</v>
      </c>
      <c r="Q34" s="9">
        <v>4.0</v>
      </c>
      <c r="R34" s="9">
        <v>1.0</v>
      </c>
      <c r="S34" s="9">
        <v>2.0</v>
      </c>
      <c r="T34" s="9">
        <v>4.0</v>
      </c>
      <c r="U34" s="9">
        <v>5.0</v>
      </c>
      <c r="V34" s="9">
        <v>2.0</v>
      </c>
      <c r="W34" s="9">
        <v>2.0</v>
      </c>
      <c r="X34" s="9">
        <v>4.0</v>
      </c>
      <c r="Y34" s="9">
        <v>2.0</v>
      </c>
      <c r="Z34" s="9">
        <v>1.0</v>
      </c>
      <c r="AA34" s="9">
        <v>1.0</v>
      </c>
      <c r="AB34" s="9">
        <v>2.0</v>
      </c>
      <c r="AC34" s="9">
        <v>3.0</v>
      </c>
      <c r="AD34" s="9">
        <v>4.0</v>
      </c>
      <c r="AE34" s="9">
        <v>2.0</v>
      </c>
      <c r="AF34" s="9">
        <v>4.0</v>
      </c>
      <c r="AG34" s="9">
        <v>4.0</v>
      </c>
      <c r="AH34" s="9">
        <v>5.0</v>
      </c>
      <c r="AI34" s="9">
        <v>3.0</v>
      </c>
      <c r="AJ34" s="9">
        <v>4.0</v>
      </c>
      <c r="AK34" s="9">
        <v>2.0</v>
      </c>
      <c r="AL34" s="9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3.88"/>
    <col customWidth="1" min="2" max="2" width="10.0"/>
    <col customWidth="1" min="3" max="3" width="5.25"/>
    <col customWidth="1" min="4" max="4" width="6.0"/>
    <col customWidth="1" min="5" max="5" width="6.38"/>
    <col customWidth="1" min="6" max="6" width="5.88"/>
    <col customWidth="1" min="7" max="7" width="5.5"/>
  </cols>
  <sheetData>
    <row r="1">
      <c r="A1" s="10" t="s">
        <v>70</v>
      </c>
      <c r="B1" s="10" t="s">
        <v>71</v>
      </c>
      <c r="C1" s="10" t="s">
        <v>72</v>
      </c>
      <c r="D1" s="10" t="s">
        <v>73</v>
      </c>
      <c r="E1" s="10" t="s">
        <v>74</v>
      </c>
      <c r="F1" s="10" t="s">
        <v>75</v>
      </c>
      <c r="G1" s="10" t="s">
        <v>76</v>
      </c>
    </row>
    <row r="2">
      <c r="A2" s="11" t="str">
        <f>'Voting Results'!B2</f>
        <v>Xenox.AFL</v>
      </c>
      <c r="B2" s="12">
        <f>SUM('Voting Results'!B2:XJ2)</f>
        <v>44</v>
      </c>
      <c r="C2" s="12">
        <f>COUNTIF('Voting Results'!B2:XJ2, 1)</f>
        <v>32</v>
      </c>
      <c r="D2" s="12">
        <f>COUNTIF('Voting Results'!B2:XJ2, 2)</f>
        <v>0</v>
      </c>
      <c r="E2" s="12">
        <f>COUNTIF('Voting Results'!B2:XJ2, 3)</f>
        <v>1</v>
      </c>
      <c r="F2" s="12">
        <f>COUNTIF('Voting Results'!B2:XJ2, 4)</f>
        <v>1</v>
      </c>
      <c r="G2" s="12">
        <f>COUNTIF('Voting Results'!B2:XJ2, 5)</f>
        <v>1</v>
      </c>
    </row>
    <row r="3">
      <c r="A3" s="11" t="str">
        <f>'Voting Results'!B3</f>
        <v>Nightpolymath</v>
      </c>
      <c r="B3" s="12">
        <f>SUM('Voting Results'!B3:XJ3)</f>
        <v>113</v>
      </c>
      <c r="C3" s="12">
        <f>COUNTIF('Voting Results'!B3:XJ3, 1)</f>
        <v>1</v>
      </c>
      <c r="D3" s="12">
        <f>COUNTIF('Voting Results'!B3:XJ3, 2)</f>
        <v>0</v>
      </c>
      <c r="E3" s="12">
        <f>COUNTIF('Voting Results'!B3:XJ3, 3)</f>
        <v>24</v>
      </c>
      <c r="F3" s="12">
        <f>COUNTIF('Voting Results'!B3:XJ3, 4)</f>
        <v>10</v>
      </c>
      <c r="G3" s="12">
        <f>COUNTIF('Voting Results'!B3:XJ3, 5)</f>
        <v>0</v>
      </c>
    </row>
    <row r="4">
      <c r="A4" s="11" t="str">
        <f>'Voting Results'!B4</f>
        <v>satYatunes</v>
      </c>
      <c r="B4" s="12">
        <f>SUM('Voting Results'!B4:XJ4)</f>
        <v>104</v>
      </c>
      <c r="C4" s="12">
        <f>COUNTIF('Voting Results'!B4:XJ4, 1)</f>
        <v>2</v>
      </c>
      <c r="D4" s="12">
        <f>COUNTIF('Voting Results'!B4:XJ4, 2)</f>
        <v>13</v>
      </c>
      <c r="E4" s="12">
        <f>COUNTIF('Voting Results'!B4:XJ4, 3)</f>
        <v>7</v>
      </c>
      <c r="F4" s="12">
        <f>COUNTIF('Voting Results'!B4:XJ4, 4)</f>
        <v>10</v>
      </c>
      <c r="G4" s="12">
        <f>COUNTIF('Voting Results'!B4:XJ4, 5)</f>
        <v>3</v>
      </c>
    </row>
    <row r="5">
      <c r="A5" s="11" t="str">
        <f>'Voting Results'!B5</f>
        <v>thejonsolo</v>
      </c>
      <c r="B5" s="12">
        <f>SUM('Voting Results'!B5:XJ5)</f>
        <v>111</v>
      </c>
      <c r="C5" s="12">
        <f>COUNTIF('Voting Results'!B5:XJ5, 1)</f>
        <v>3</v>
      </c>
      <c r="D5" s="12">
        <f>COUNTIF('Voting Results'!B5:XJ5, 2)</f>
        <v>6</v>
      </c>
      <c r="E5" s="12">
        <f>COUNTIF('Voting Results'!B5:XJ5, 3)</f>
        <v>12</v>
      </c>
      <c r="F5" s="12">
        <f>COUNTIF('Voting Results'!B5:XJ5, 4)</f>
        <v>10</v>
      </c>
      <c r="G5" s="12">
        <f>COUNTIF('Voting Results'!B5:XJ5, 5)</f>
        <v>4</v>
      </c>
    </row>
    <row r="6">
      <c r="A6" s="11" t="str">
        <f>'Voting Results'!B6</f>
        <v>G-Roove</v>
      </c>
      <c r="B6" s="12">
        <f>SUM('Voting Results'!B6:XJ6)</f>
        <v>97</v>
      </c>
      <c r="C6" s="12">
        <f>COUNTIF('Voting Results'!B6:XJ6, 1)</f>
        <v>3</v>
      </c>
      <c r="D6" s="12">
        <f>COUNTIF('Voting Results'!B6:XJ6, 2)</f>
        <v>12</v>
      </c>
      <c r="E6" s="12">
        <f>COUNTIF('Voting Results'!B6:XJ6, 3)</f>
        <v>12</v>
      </c>
      <c r="F6" s="12">
        <f>COUNTIF('Voting Results'!B6:XJ6, 4)</f>
        <v>6</v>
      </c>
      <c r="G6" s="12">
        <f>COUNTIF('Voting Results'!B6:XJ6, 5)</f>
        <v>2</v>
      </c>
    </row>
    <row r="7">
      <c r="A7" s="11" t="str">
        <f>'Voting Results'!B7</f>
        <v>ThePresent</v>
      </c>
      <c r="B7" s="12">
        <f>SUM('Voting Results'!B7:XJ7)</f>
        <v>81</v>
      </c>
      <c r="C7" s="12">
        <f>COUNTIF('Voting Results'!B7:XJ7, 1)</f>
        <v>6</v>
      </c>
      <c r="D7" s="12">
        <f>COUNTIF('Voting Results'!B7:XJ7, 2)</f>
        <v>17</v>
      </c>
      <c r="E7" s="12">
        <f>COUNTIF('Voting Results'!B7:XJ7, 3)</f>
        <v>8</v>
      </c>
      <c r="F7" s="12">
        <f>COUNTIF('Voting Results'!B7:XJ7, 4)</f>
        <v>3</v>
      </c>
      <c r="G7" s="12">
        <f>COUNTIF('Voting Results'!B7:XJ7, 5)</f>
        <v>1</v>
      </c>
    </row>
    <row r="8">
      <c r="A8" s="11" t="str">
        <f>'Voting Results'!B8</f>
        <v>JKF Flashico</v>
      </c>
      <c r="B8" s="12">
        <f>SUM('Voting Results'!B8:XJ8)</f>
        <v>132</v>
      </c>
      <c r="C8" s="12">
        <f>COUNTIF('Voting Results'!B8:XJ8, 1)</f>
        <v>1</v>
      </c>
      <c r="D8" s="12">
        <f>COUNTIF('Voting Results'!B8:XJ8, 2)</f>
        <v>1</v>
      </c>
      <c r="E8" s="12">
        <f>COUNTIF('Voting Results'!B8:XJ8, 3)</f>
        <v>9</v>
      </c>
      <c r="F8" s="12">
        <f>COUNTIF('Voting Results'!B8:XJ8, 4)</f>
        <v>18</v>
      </c>
      <c r="G8" s="12">
        <f>COUNTIF('Voting Results'!B8:XJ8, 5)</f>
        <v>6</v>
      </c>
    </row>
    <row r="9">
      <c r="A9" s="11" t="str">
        <f>'Voting Results'!B9</f>
        <v>shortmanb</v>
      </c>
      <c r="B9" s="12">
        <f>SUM('Voting Results'!B9:XJ9)</f>
        <v>110</v>
      </c>
      <c r="C9" s="12">
        <f>COUNTIF('Voting Results'!B9:XJ9, 1)</f>
        <v>2</v>
      </c>
      <c r="D9" s="12">
        <f>COUNTIF('Voting Results'!B9:XJ9, 2)</f>
        <v>3</v>
      </c>
      <c r="E9" s="12">
        <f>COUNTIF('Voting Results'!B9:XJ9, 3)</f>
        <v>19</v>
      </c>
      <c r="F9" s="12">
        <f>COUNTIF('Voting Results'!B9:XJ9, 4)</f>
        <v>10</v>
      </c>
      <c r="G9" s="12">
        <f>COUNTIF('Voting Results'!B9:XJ9, 5)</f>
        <v>1</v>
      </c>
    </row>
    <row r="10">
      <c r="A10" s="11" t="str">
        <f>'Voting Results'!B10</f>
        <v>psmacmur</v>
      </c>
      <c r="B10" s="12">
        <f>SUM('Voting Results'!B10:XJ10)</f>
        <v>134</v>
      </c>
      <c r="C10" s="12">
        <f>COUNTIF('Voting Results'!B10:XJ10, 1)</f>
        <v>1</v>
      </c>
      <c r="D10" s="12">
        <f>COUNTIF('Voting Results'!B10:XJ10, 2)</f>
        <v>3</v>
      </c>
      <c r="E10" s="12">
        <f>COUNTIF('Voting Results'!B10:XJ10, 3)</f>
        <v>8</v>
      </c>
      <c r="F10" s="12">
        <f>COUNTIF('Voting Results'!B10:XJ10, 4)</f>
        <v>12</v>
      </c>
      <c r="G10" s="12">
        <f>COUNTIF('Voting Results'!B10:XJ10, 5)</f>
        <v>11</v>
      </c>
    </row>
    <row r="11">
      <c r="A11" s="11" t="str">
        <f>'Voting Results'!B11</f>
        <v>Ricler</v>
      </c>
      <c r="B11" s="12">
        <f>SUM('Voting Results'!B11:XJ11)</f>
        <v>84</v>
      </c>
      <c r="C11" s="12">
        <f>COUNTIF('Voting Results'!B11:XJ11, 1)</f>
        <v>12</v>
      </c>
      <c r="D11" s="12">
        <f>COUNTIF('Voting Results'!B11:XJ11, 2)</f>
        <v>8</v>
      </c>
      <c r="E11" s="12">
        <f>COUNTIF('Voting Results'!B11:XJ11, 3)</f>
        <v>6</v>
      </c>
      <c r="F11" s="12">
        <f>COUNTIF('Voting Results'!B11:XJ11, 4)</f>
        <v>7</v>
      </c>
      <c r="G11" s="12">
        <f>COUNTIF('Voting Results'!B11:XJ11, 5)</f>
        <v>2</v>
      </c>
    </row>
    <row r="12">
      <c r="A12" s="11" t="str">
        <f>'Voting Results'!B12</f>
        <v>richardsemper</v>
      </c>
      <c r="B12" s="12">
        <f>SUM('Voting Results'!B12:XJ12)</f>
        <v>110</v>
      </c>
      <c r="C12" s="12">
        <f>COUNTIF('Voting Results'!B12:XJ12, 1)</f>
        <v>5</v>
      </c>
      <c r="D12" s="12">
        <f>COUNTIF('Voting Results'!B12:XJ12, 2)</f>
        <v>6</v>
      </c>
      <c r="E12" s="12">
        <f>COUNTIF('Voting Results'!B12:XJ12, 3)</f>
        <v>8</v>
      </c>
      <c r="F12" s="12">
        <f>COUNTIF('Voting Results'!B12:XJ12, 4)</f>
        <v>11</v>
      </c>
      <c r="G12" s="12">
        <f>COUNTIF('Voting Results'!B12:XJ12, 5)</f>
        <v>5</v>
      </c>
    </row>
    <row r="13">
      <c r="A13" s="11" t="str">
        <f>'Voting Results'!B13</f>
        <v>animehaus</v>
      </c>
      <c r="B13" s="12">
        <f>SUM('Voting Results'!B13:XJ13)</f>
        <v>100</v>
      </c>
      <c r="C13" s="12">
        <f>COUNTIF('Voting Results'!B13:XJ13, 1)</f>
        <v>1</v>
      </c>
      <c r="D13" s="12">
        <f>COUNTIF('Voting Results'!B13:XJ13, 2)</f>
        <v>11</v>
      </c>
      <c r="E13" s="12">
        <f>COUNTIF('Voting Results'!B13:XJ13, 3)</f>
        <v>16</v>
      </c>
      <c r="F13" s="12">
        <f>COUNTIF('Voting Results'!B13:XJ13, 4)</f>
        <v>6</v>
      </c>
      <c r="G13" s="12">
        <f>COUNTIF('Voting Results'!B13:XJ13, 5)</f>
        <v>1</v>
      </c>
    </row>
    <row r="14">
      <c r="A14" s="11" t="str">
        <f>'Voting Results'!B14</f>
        <v>SKYZONE</v>
      </c>
      <c r="B14" s="12">
        <f>SUM('Voting Results'!B14:XJ14)</f>
        <v>80</v>
      </c>
      <c r="C14" s="12">
        <f>COUNTIF('Voting Results'!B14:XJ14, 1)</f>
        <v>7</v>
      </c>
      <c r="D14" s="12">
        <f>COUNTIF('Voting Results'!B14:XJ14, 2)</f>
        <v>15</v>
      </c>
      <c r="E14" s="12">
        <f>COUNTIF('Voting Results'!B14:XJ14, 3)</f>
        <v>10</v>
      </c>
      <c r="F14" s="12">
        <f>COUNTIF('Voting Results'!B14:XJ14, 4)</f>
        <v>2</v>
      </c>
      <c r="G14" s="12">
        <f>COUNTIF('Voting Results'!B14:XJ14, 5)</f>
        <v>1</v>
      </c>
    </row>
    <row r="15">
      <c r="A15" s="11" t="str">
        <f>'Voting Results'!B15</f>
        <v>Eauson</v>
      </c>
      <c r="B15" s="12">
        <f>SUM('Voting Results'!B15:XJ15)</f>
        <v>123</v>
      </c>
      <c r="C15" s="12">
        <f>COUNTIF('Voting Results'!B15:XJ15, 1)</f>
        <v>1</v>
      </c>
      <c r="D15" s="12">
        <f>COUNTIF('Voting Results'!B15:XJ15, 2)</f>
        <v>1</v>
      </c>
      <c r="E15" s="12">
        <f>COUNTIF('Voting Results'!B15:XJ15, 3)</f>
        <v>13</v>
      </c>
      <c r="F15" s="12">
        <f>COUNTIF('Voting Results'!B15:XJ15, 4)</f>
        <v>19</v>
      </c>
      <c r="G15" s="12">
        <f>COUNTIF('Voting Results'!B15:XJ15, 5)</f>
        <v>1</v>
      </c>
    </row>
    <row r="16">
      <c r="A16" s="11" t="str">
        <f>'Voting Results'!B16</f>
        <v>ontrackp</v>
      </c>
      <c r="B16" s="12">
        <f>SUM('Voting Results'!B16:XJ16)</f>
        <v>132</v>
      </c>
      <c r="C16" s="12">
        <f>COUNTIF('Voting Results'!B16:XJ16, 1)</f>
        <v>1</v>
      </c>
      <c r="D16" s="12">
        <f>COUNTIF('Voting Results'!B16:XJ16, 2)</f>
        <v>0</v>
      </c>
      <c r="E16" s="12">
        <f>COUNTIF('Voting Results'!B16:XJ16, 3)</f>
        <v>11</v>
      </c>
      <c r="F16" s="12">
        <f>COUNTIF('Voting Results'!B16:XJ16, 4)</f>
        <v>17</v>
      </c>
      <c r="G16" s="12">
        <f>COUNTIF('Voting Results'!B16:XJ16, 5)</f>
        <v>6</v>
      </c>
    </row>
    <row r="17">
      <c r="A17" s="11" t="str">
        <f>'Voting Results'!B17</f>
        <v>RuediRena</v>
      </c>
      <c r="B17" s="12">
        <f>SUM('Voting Results'!B17:XJ17)</f>
        <v>133</v>
      </c>
      <c r="C17" s="12">
        <f>COUNTIF('Voting Results'!B17:XJ17, 1)</f>
        <v>0</v>
      </c>
      <c r="D17" s="12">
        <f>COUNTIF('Voting Results'!B17:XJ17, 2)</f>
        <v>4</v>
      </c>
      <c r="E17" s="12">
        <f>COUNTIF('Voting Results'!B17:XJ17, 3)</f>
        <v>8</v>
      </c>
      <c r="F17" s="12">
        <f>COUNTIF('Voting Results'!B17:XJ17, 4)</f>
        <v>14</v>
      </c>
      <c r="G17" s="12">
        <f>COUNTIF('Voting Results'!B17:XJ17, 5)</f>
        <v>9</v>
      </c>
    </row>
    <row r="18">
      <c r="A18" s="11" t="str">
        <f>'Voting Results'!B18</f>
        <v>oopfoo</v>
      </c>
      <c r="B18" s="12">
        <f>SUM('Voting Results'!B18:XJ18)</f>
        <v>103</v>
      </c>
      <c r="C18" s="12">
        <f>COUNTIF('Voting Results'!B18:XJ18, 1)</f>
        <v>2</v>
      </c>
      <c r="D18" s="12">
        <f>COUNTIF('Voting Results'!B18:XJ18, 2)</f>
        <v>9</v>
      </c>
      <c r="E18" s="12">
        <f>COUNTIF('Voting Results'!B18:XJ18, 3)</f>
        <v>17</v>
      </c>
      <c r="F18" s="12">
        <f>COUNTIF('Voting Results'!B18:XJ18, 4)</f>
        <v>3</v>
      </c>
      <c r="G18" s="12">
        <f>COUNTIF('Voting Results'!B18:XJ18, 5)</f>
        <v>4</v>
      </c>
    </row>
    <row r="19">
      <c r="A19" s="11" t="str">
        <f>'Voting Results'!B19</f>
        <v>chilled panda</v>
      </c>
      <c r="B19" s="12">
        <f>SUM('Voting Results'!B19:XJ19)</f>
        <v>115</v>
      </c>
      <c r="C19" s="12">
        <f>COUNTIF('Voting Results'!B19:XJ19, 1)</f>
        <v>1</v>
      </c>
      <c r="D19" s="12">
        <f>COUNTIF('Voting Results'!B19:XJ19, 2)</f>
        <v>5</v>
      </c>
      <c r="E19" s="12">
        <f>COUNTIF('Voting Results'!B19:XJ19, 3)</f>
        <v>14</v>
      </c>
      <c r="F19" s="12">
        <f>COUNTIF('Voting Results'!B19:XJ19, 4)</f>
        <v>13</v>
      </c>
      <c r="G19" s="12">
        <f>COUNTIF('Voting Results'!B19:XJ19, 5)</f>
        <v>2</v>
      </c>
    </row>
    <row r="20">
      <c r="A20" s="11" t="str">
        <f>'Voting Results'!B20</f>
        <v>Caine123</v>
      </c>
      <c r="B20" s="12">
        <f>SUM('Voting Results'!B20:XJ20)</f>
        <v>116</v>
      </c>
      <c r="C20" s="12">
        <f>COUNTIF('Voting Results'!B20:XJ20, 1)</f>
        <v>1</v>
      </c>
      <c r="D20" s="12">
        <f>COUNTIF('Voting Results'!B20:XJ20, 2)</f>
        <v>3</v>
      </c>
      <c r="E20" s="12">
        <f>COUNTIF('Voting Results'!B20:XJ20, 3)</f>
        <v>19</v>
      </c>
      <c r="F20" s="12">
        <f>COUNTIF('Voting Results'!B20:XJ20, 4)</f>
        <v>8</v>
      </c>
      <c r="G20" s="12">
        <f>COUNTIF('Voting Results'!B20:XJ20, 5)</f>
        <v>4</v>
      </c>
    </row>
    <row r="21">
      <c r="A21" s="11" t="str">
        <f>'Voting Results'!B21</f>
        <v>pedalsteeldrummer</v>
      </c>
      <c r="B21" s="12">
        <f>SUM('Voting Results'!B21:XJ21)</f>
        <v>87</v>
      </c>
      <c r="C21" s="12">
        <f>COUNTIF('Voting Results'!B21:XJ21, 1)</f>
        <v>1</v>
      </c>
      <c r="D21" s="12">
        <f>COUNTIF('Voting Results'!B21:XJ21, 2)</f>
        <v>24</v>
      </c>
      <c r="E21" s="12">
        <f>COUNTIF('Voting Results'!B21:XJ21, 3)</f>
        <v>4</v>
      </c>
      <c r="F21" s="12">
        <f>COUNTIF('Voting Results'!B21:XJ21, 4)</f>
        <v>4</v>
      </c>
      <c r="G21" s="12">
        <f>COUNTIF('Voting Results'!B21:XJ21, 5)</f>
        <v>2</v>
      </c>
    </row>
    <row r="22">
      <c r="A22" s="11" t="str">
        <f>'Voting Results'!B22</f>
        <v>abovethoughts</v>
      </c>
      <c r="B22" s="12">
        <f>SUM('Voting Results'!B22:XJ22)</f>
        <v>113</v>
      </c>
      <c r="C22" s="12">
        <f>COUNTIF('Voting Results'!B22:XJ22, 1)</f>
        <v>1</v>
      </c>
      <c r="D22" s="12">
        <f>COUNTIF('Voting Results'!B22:XJ22, 2)</f>
        <v>0</v>
      </c>
      <c r="E22" s="12">
        <f>COUNTIF('Voting Results'!B22:XJ22, 3)</f>
        <v>27</v>
      </c>
      <c r="F22" s="12">
        <f>COUNTIF('Voting Results'!B22:XJ22, 4)</f>
        <v>4</v>
      </c>
      <c r="G22" s="12">
        <f>COUNTIF('Voting Results'!B22:XJ22, 5)</f>
        <v>3</v>
      </c>
    </row>
    <row r="23">
      <c r="A23" s="11" t="str">
        <f>'Voting Results'!B23</f>
        <v>Yeager</v>
      </c>
      <c r="B23" s="12">
        <f>SUM('Voting Results'!B23:XJ23)</f>
        <v>125</v>
      </c>
      <c r="C23" s="12">
        <f>COUNTIF('Voting Results'!B23:XJ23, 1)</f>
        <v>1</v>
      </c>
      <c r="D23" s="12">
        <f>COUNTIF('Voting Results'!B23:XJ23, 2)</f>
        <v>2</v>
      </c>
      <c r="E23" s="12">
        <f>COUNTIF('Voting Results'!B23:XJ23, 3)</f>
        <v>10</v>
      </c>
      <c r="F23" s="12">
        <f>COUNTIF('Voting Results'!B23:XJ23, 4)</f>
        <v>20</v>
      </c>
      <c r="G23" s="12">
        <f>COUNTIF('Voting Results'!B23:XJ23, 5)</f>
        <v>2</v>
      </c>
    </row>
    <row r="24">
      <c r="A24" s="11" t="str">
        <f>'Voting Results'!B24</f>
        <v>Harthstein</v>
      </c>
      <c r="B24" s="12">
        <f>SUM('Voting Results'!B24:XJ24)</f>
        <v>109</v>
      </c>
      <c r="C24" s="12">
        <f>COUNTIF('Voting Results'!B24:XJ24, 1)</f>
        <v>1</v>
      </c>
      <c r="D24" s="12">
        <f>COUNTIF('Voting Results'!B24:XJ24, 2)</f>
        <v>10</v>
      </c>
      <c r="E24" s="12">
        <f>COUNTIF('Voting Results'!B24:XJ24, 3)</f>
        <v>12</v>
      </c>
      <c r="F24" s="12">
        <f>COUNTIF('Voting Results'!B24:XJ24, 4)</f>
        <v>8</v>
      </c>
      <c r="G24" s="12">
        <f>COUNTIF('Voting Results'!B24:XJ24, 5)</f>
        <v>4</v>
      </c>
    </row>
    <row r="25">
      <c r="A25" s="11" t="str">
        <f>'Voting Results'!B25</f>
        <v>lemmike</v>
      </c>
      <c r="B25" s="12">
        <f>SUM('Voting Results'!B25:XJ25)</f>
        <v>102</v>
      </c>
      <c r="C25" s="12">
        <f>COUNTIF('Voting Results'!B25:XJ25, 1)</f>
        <v>7</v>
      </c>
      <c r="D25" s="12">
        <f>COUNTIF('Voting Results'!B25:XJ25, 2)</f>
        <v>7</v>
      </c>
      <c r="E25" s="12">
        <f>COUNTIF('Voting Results'!B25:XJ25, 3)</f>
        <v>7</v>
      </c>
      <c r="F25" s="12">
        <f>COUNTIF('Voting Results'!B25:XJ25, 4)</f>
        <v>10</v>
      </c>
      <c r="G25" s="12">
        <f>COUNTIF('Voting Results'!B25:XJ25, 5)</f>
        <v>4</v>
      </c>
    </row>
    <row r="26">
      <c r="A26" s="11" t="str">
        <f>'Voting Results'!B26</f>
        <v>J.Ruegg</v>
      </c>
      <c r="B26" s="12">
        <f>SUM('Voting Results'!B26:XJ26)</f>
        <v>108</v>
      </c>
      <c r="C26" s="12">
        <f>COUNTIF('Voting Results'!B26:XJ26, 1)</f>
        <v>4</v>
      </c>
      <c r="D26" s="12">
        <f>COUNTIF('Voting Results'!B26:XJ26, 2)</f>
        <v>8</v>
      </c>
      <c r="E26" s="12">
        <f>COUNTIF('Voting Results'!B26:XJ26, 3)</f>
        <v>10</v>
      </c>
      <c r="F26" s="12">
        <f>COUNTIF('Voting Results'!B26:XJ26, 4)</f>
        <v>7</v>
      </c>
      <c r="G26" s="12">
        <f>COUNTIF('Voting Results'!B26:XJ26, 5)</f>
        <v>6</v>
      </c>
    </row>
    <row r="27">
      <c r="A27" s="11" t="str">
        <f>'Voting Results'!B27</f>
        <v>H-man</v>
      </c>
      <c r="B27" s="12">
        <f>SUM('Voting Results'!B27:XJ27)</f>
        <v>146</v>
      </c>
      <c r="C27" s="12">
        <f>COUNTIF('Voting Results'!B27:XJ27, 1)</f>
        <v>1</v>
      </c>
      <c r="D27" s="12">
        <f>COUNTIF('Voting Results'!B27:XJ27, 2)</f>
        <v>0</v>
      </c>
      <c r="E27" s="12">
        <f>COUNTIF('Voting Results'!B27:XJ27, 3)</f>
        <v>4</v>
      </c>
      <c r="F27" s="12">
        <f>COUNTIF('Voting Results'!B27:XJ27, 4)</f>
        <v>17</v>
      </c>
      <c r="G27" s="12">
        <f>COUNTIF('Voting Results'!B27:XJ27, 5)</f>
        <v>13</v>
      </c>
    </row>
    <row r="28">
      <c r="A28" s="11" t="str">
        <f>'Voting Results'!B28</f>
        <v>cactoos_dahoo</v>
      </c>
      <c r="B28" s="12">
        <f>SUM('Voting Results'!B28:XJ28)</f>
        <v>125</v>
      </c>
      <c r="C28" s="12">
        <f>COUNTIF('Voting Results'!B28:XJ28, 1)</f>
        <v>1</v>
      </c>
      <c r="D28" s="12">
        <f>COUNTIF('Voting Results'!B28:XJ28, 2)</f>
        <v>4</v>
      </c>
      <c r="E28" s="12">
        <f>COUNTIF('Voting Results'!B28:XJ28, 3)</f>
        <v>12</v>
      </c>
      <c r="F28" s="12">
        <f>COUNTIF('Voting Results'!B28:XJ28, 4)</f>
        <v>10</v>
      </c>
      <c r="G28" s="12">
        <f>COUNTIF('Voting Results'!B28:XJ28, 5)</f>
        <v>8</v>
      </c>
    </row>
    <row r="29">
      <c r="A29" s="11" t="str">
        <f>'Voting Results'!B29</f>
        <v>bjporter</v>
      </c>
      <c r="B29" s="12">
        <f>SUM('Voting Results'!B29:XJ29)</f>
        <v>107</v>
      </c>
      <c r="C29" s="12">
        <f>COUNTIF('Voting Results'!B29:XJ29, 1)</f>
        <v>2</v>
      </c>
      <c r="D29" s="12">
        <f>COUNTIF('Voting Results'!B29:XJ29, 2)</f>
        <v>9</v>
      </c>
      <c r="E29" s="12">
        <f>COUNTIF('Voting Results'!B29:XJ29, 3)</f>
        <v>12</v>
      </c>
      <c r="F29" s="12">
        <f>COUNTIF('Voting Results'!B29:XJ29, 4)</f>
        <v>9</v>
      </c>
      <c r="G29" s="12">
        <f>COUNTIF('Voting Results'!B29:XJ29, 5)</f>
        <v>3</v>
      </c>
    </row>
    <row r="30">
      <c r="A30" s="11" t="str">
        <f>'Voting Results'!B30</f>
        <v>ClaRago</v>
      </c>
      <c r="B30" s="12">
        <f>SUM('Voting Results'!B30:XJ30)</f>
        <v>130</v>
      </c>
      <c r="C30" s="12">
        <f>COUNTIF('Voting Results'!B30:XJ30, 1)</f>
        <v>1</v>
      </c>
      <c r="D30" s="12">
        <f>COUNTIF('Voting Results'!B30:XJ30, 2)</f>
        <v>0</v>
      </c>
      <c r="E30" s="12">
        <f>COUNTIF('Voting Results'!B30:XJ30, 3)</f>
        <v>14</v>
      </c>
      <c r="F30" s="12">
        <f>COUNTIF('Voting Results'!B30:XJ30, 4)</f>
        <v>13</v>
      </c>
      <c r="G30" s="12">
        <f>COUNTIF('Voting Results'!B30:XJ30, 5)</f>
        <v>7</v>
      </c>
    </row>
    <row r="31">
      <c r="A31" s="11" t="str">
        <f>'Voting Results'!B31</f>
        <v>sonnydeluxe</v>
      </c>
      <c r="B31" s="12">
        <f>SUM('Voting Results'!B31:XJ31)</f>
        <v>124</v>
      </c>
      <c r="C31" s="12">
        <f>COUNTIF('Voting Results'!B31:XJ31, 1)</f>
        <v>1</v>
      </c>
      <c r="D31" s="12">
        <f>COUNTIF('Voting Results'!B31:XJ31, 2)</f>
        <v>0</v>
      </c>
      <c r="E31" s="12">
        <f>COUNTIF('Voting Results'!B31:XJ31, 3)</f>
        <v>15</v>
      </c>
      <c r="F31" s="12">
        <f>COUNTIF('Voting Results'!B31:XJ31, 4)</f>
        <v>17</v>
      </c>
      <c r="G31" s="12">
        <f>COUNTIF('Voting Results'!B31:XJ31, 5)</f>
        <v>2</v>
      </c>
    </row>
    <row r="32">
      <c r="A32" s="11" t="str">
        <f>'Voting Results'!B32</f>
        <v>Loris DS</v>
      </c>
      <c r="B32" s="12">
        <f>SUM('Voting Results'!B32:XJ32)</f>
        <v>108</v>
      </c>
      <c r="C32" s="12">
        <f>COUNTIF('Voting Results'!B32:XJ32, 1)</f>
        <v>1</v>
      </c>
      <c r="D32" s="12">
        <f>COUNTIF('Voting Results'!B32:XJ32, 2)</f>
        <v>7</v>
      </c>
      <c r="E32" s="12">
        <f>COUNTIF('Voting Results'!B32:XJ32, 3)</f>
        <v>18</v>
      </c>
      <c r="F32" s="12">
        <f>COUNTIF('Voting Results'!B32:XJ32, 4)</f>
        <v>6</v>
      </c>
      <c r="G32" s="12">
        <f>COUNTIF('Voting Results'!B32:XJ32, 5)</f>
        <v>3</v>
      </c>
    </row>
    <row r="33">
      <c r="A33" s="11" t="str">
        <f>'Voting Results'!B33</f>
        <v>dzah</v>
      </c>
      <c r="B33" s="12">
        <f>SUM('Voting Results'!B33:XJ33)</f>
        <v>128</v>
      </c>
      <c r="C33" s="12">
        <f>COUNTIF('Voting Results'!B33:XJ33, 1)</f>
        <v>1</v>
      </c>
      <c r="D33" s="12">
        <f>COUNTIF('Voting Results'!B33:XJ33, 2)</f>
        <v>0</v>
      </c>
      <c r="E33" s="12">
        <f>COUNTIF('Voting Results'!B33:XJ33, 3)</f>
        <v>11</v>
      </c>
      <c r="F33" s="12">
        <f>COUNTIF('Voting Results'!B33:XJ33, 4)</f>
        <v>21</v>
      </c>
      <c r="G33" s="12">
        <f>COUNTIF('Voting Results'!B33:XJ33, 5)</f>
        <v>2</v>
      </c>
    </row>
    <row r="34">
      <c r="A34" s="11" t="str">
        <f>'Voting Results'!B34</f>
        <v>Key88</v>
      </c>
      <c r="B34" s="12">
        <f>SUM('Voting Results'!B34:XJ34)</f>
        <v>104</v>
      </c>
      <c r="C34" s="12">
        <f>COUNTIF('Voting Results'!B34:XJ34, 1)</f>
        <v>3</v>
      </c>
      <c r="D34" s="12">
        <f>COUNTIF('Voting Results'!B34:XJ34, 2)</f>
        <v>11</v>
      </c>
      <c r="E34" s="12">
        <f>COUNTIF('Voting Results'!B34:XJ34, 3)</f>
        <v>8</v>
      </c>
      <c r="F34" s="12">
        <f>COUNTIF('Voting Results'!B34:XJ34, 4)</f>
        <v>10</v>
      </c>
      <c r="G34" s="12">
        <f>COUNTIF('Voting Results'!B34:XJ34, 5)</f>
        <v>3</v>
      </c>
    </row>
  </sheetData>
  <drawing r:id="rId1"/>
</worksheet>
</file>
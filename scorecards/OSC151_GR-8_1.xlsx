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Results!$A$1:$I$41</definedName>
  </definedNames>
  <calcPr/>
</workbook>
</file>

<file path=xl/sharedStrings.xml><?xml version="1.0" encoding="utf-8"?>
<sst xmlns="http://schemas.openxmlformats.org/spreadsheetml/2006/main" count="202" uniqueCount="107">
  <si>
    <t>Name</t>
  </si>
  <si>
    <t>Score</t>
  </si>
  <si>
    <t>5's</t>
  </si>
  <si>
    <t>4's</t>
  </si>
  <si>
    <t>3's</t>
  </si>
  <si>
    <t>2's</t>
  </si>
  <si>
    <t>1's</t>
  </si>
  <si>
    <t>jasinski - Step into the fog one paw at a time</t>
  </si>
  <si>
    <t>pts</t>
  </si>
  <si>
    <t>toggleaudio - Reykjavik</t>
  </si>
  <si>
    <t>H-man - Man - Ks-8</t>
  </si>
  <si>
    <t>Aiynzahev - Equinox</t>
  </si>
  <si>
    <t>J.Ruegg - BlackHole</t>
  </si>
  <si>
    <t>MilksterX - Unarmed</t>
  </si>
  <si>
    <t>loris16148 - Radioactive</t>
  </si>
  <si>
    <t>Double Tap - Too many DJs think they're GR-8 turnt...</t>
  </si>
  <si>
    <t>Gigue07 - Gear Box</t>
  </si>
  <si>
    <t>Gmunu - Mountain Factory</t>
  </si>
  <si>
    <t>doctorbob - Gr8ted Cheese To Go</t>
  </si>
  <si>
    <t>Eauson - Phuturetone GR - 8</t>
  </si>
  <si>
    <t>FrogsInPants - Uninvited: Lunch Guest Showdown</t>
  </si>
  <si>
    <t>ELEX - The Life And Times Of Pully The 'Pole</t>
  </si>
  <si>
    <t>VCA-089 - Phuturistic</t>
  </si>
  <si>
    <t>dq</t>
  </si>
  <si>
    <t>TheNeverScene - 4.696913 Rev H</t>
  </si>
  <si>
    <t>mmGhost - Batalkan</t>
  </si>
  <si>
    <t>bh9090 - Kernel Waltz</t>
  </si>
  <si>
    <t>PeterH - Last Man To Die In A Haunted Bunker (Soul...</t>
  </si>
  <si>
    <t>rockingricky - GReat</t>
  </si>
  <si>
    <t>Ranoka - Barley Woods</t>
  </si>
  <si>
    <t>FrankH - Dream Walk</t>
  </si>
  <si>
    <t>ontrackp - Caesar's Ghost, Jimmy</t>
  </si>
  <si>
    <t>liqih - Bootsy Tribute Sketch</t>
  </si>
  <si>
    <t>Impedance Music - Etymology</t>
  </si>
  <si>
    <t>MadMcMan - Um.... Bongos?</t>
  </si>
  <si>
    <t>hockinsk3 - First Flame</t>
  </si>
  <si>
    <t>yplugins - Classical tune</t>
  </si>
  <si>
    <t>Zombowie - Tantamount</t>
  </si>
  <si>
    <t>phankiejankie303 - The Right Amount of Cheese</t>
  </si>
  <si>
    <t>Spring Goose - Grandpa's Pickle</t>
  </si>
  <si>
    <t>Neptune - GR-8</t>
  </si>
  <si>
    <t>emikaela - C What I Did There</t>
  </si>
  <si>
    <t>gorgorgathgorgorgor - The State Of Things</t>
  </si>
  <si>
    <t>N47h4n - I am lost</t>
  </si>
  <si>
    <t>krzyski124i - ear blender</t>
  </si>
  <si>
    <t>tickytock - Driving Downtown</t>
  </si>
  <si>
    <t>3lu5iv3 - Quiet Key</t>
  </si>
  <si>
    <t>davetbass - DaveTBassOSC151</t>
  </si>
  <si>
    <t>Aro - Ready For A GR - 8 War</t>
  </si>
  <si>
    <t>Voter Name (KVR nick)</t>
  </si>
  <si>
    <t>Gen. Score *</t>
  </si>
  <si>
    <t>3lu5iv3</t>
  </si>
  <si>
    <t>aiynzahev</t>
  </si>
  <si>
    <t>Aro</t>
  </si>
  <si>
    <t>bh9090</t>
  </si>
  <si>
    <t>davetbass</t>
  </si>
  <si>
    <t>doctorbob</t>
  </si>
  <si>
    <t>Double Tap</t>
  </si>
  <si>
    <t>Eauson</t>
  </si>
  <si>
    <t>ELEX</t>
  </si>
  <si>
    <t>emikaela</t>
  </si>
  <si>
    <t>FrankH</t>
  </si>
  <si>
    <t>FrogsInPants</t>
  </si>
  <si>
    <t>gigue07</t>
  </si>
  <si>
    <t>Gmunu</t>
  </si>
  <si>
    <t>Gorgorgathgorgorgor</t>
  </si>
  <si>
    <t>H-man</t>
  </si>
  <si>
    <t>hockinsk3</t>
  </si>
  <si>
    <t>Impedance-Music</t>
  </si>
  <si>
    <t>IV</t>
  </si>
  <si>
    <t>J.Ruegg</t>
  </si>
  <si>
    <t>jasinski</t>
  </si>
  <si>
    <t>krzysk123i</t>
  </si>
  <si>
    <t>Liqih</t>
  </si>
  <si>
    <t>loris16148</t>
  </si>
  <si>
    <t>MadMcMan</t>
  </si>
  <si>
    <t>milksterx</t>
  </si>
  <si>
    <t>mmGhost</t>
  </si>
  <si>
    <t>Neptune</t>
  </si>
  <si>
    <t>ontrackp</t>
  </si>
  <si>
    <t>PeterH</t>
  </si>
  <si>
    <t>phankiejankie303</t>
  </si>
  <si>
    <t>Ranoka</t>
  </si>
  <si>
    <t>Rockingricky</t>
  </si>
  <si>
    <t>Spring Goose</t>
  </si>
  <si>
    <t>tickytock</t>
  </si>
  <si>
    <t>toggleaudio</t>
  </si>
  <si>
    <t>VCA-089</t>
  </si>
  <si>
    <t>yplugins</t>
  </si>
  <si>
    <t>Zombowie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</si>
  <si>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</si>
  <si>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</si>
  <si>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</si>
  <si>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</si>
  <si>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</si>
  <si>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</si>
  <si>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</si>
  <si>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</si>
  <si>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Scratch Master Pro</t>
  </si>
  <si>
    <t>DONE</t>
  </si>
  <si>
    <t>Pass</t>
  </si>
  <si>
    <t>N/A</t>
  </si>
  <si>
    <t xml:space="preserve">Bioscape by Luftrum </t>
  </si>
  <si>
    <t>Request Sent</t>
  </si>
  <si>
    <t>Audio Thing Space Echo</t>
  </si>
  <si>
    <t>TheUnfinished: - Zebra Vellum : Dark Edition, - Zebra Continuum : Dark Edition</t>
  </si>
  <si>
    <t>Tantra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</si>
</sst>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i/>
      <color rgb="FF999999"/>
      <name val="Arial"/>
      <scheme val="minor"/>
    </font>
    <font>
      <i/>
      <color rgb="FF999999"/>
      <name val="Arial"/>
    </font>
    <font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theme="1"/>
      <name val="Sans-serif"/>
    </font>
    <font>
      <color rgb="FF444444"/>
      <name val="Sans-serif"/>
    </font>
    <font>
      <color rgb="FF999999"/>
      <name val="Arial"/>
    </font>
    <font>
      <color rgb="FF444444"/>
      <name val="Arial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horizontal="center"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shrinkToFit="0" vertical="bottom" wrapText="0"/>
    </xf>
    <xf borderId="0" fillId="2" fontId="8" numFmtId="0" xfId="0" applyAlignment="1" applyFill="1" applyFont="1">
      <alignment shrinkToFit="0" vertical="bottom" wrapText="0"/>
    </xf>
    <xf borderId="0" fillId="2" fontId="9" numFmtId="0" xfId="0" applyAlignment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left" vertical="bottom"/>
    </xf>
    <xf borderId="0" fillId="0" fontId="11" numFmtId="0" xfId="0" applyAlignment="1" applyFont="1">
      <alignment horizontal="left" readingOrder="0" vertical="bottom"/>
    </xf>
    <xf borderId="0" fillId="3" fontId="11" numFmtId="0" xfId="0" applyAlignment="1" applyFill="1" applyFont="1">
      <alignment horizontal="left" readingOrder="0" vertical="bottom"/>
    </xf>
    <xf borderId="0" fillId="3" fontId="12" numFmtId="0" xfId="0" applyAlignment="1" applyFont="1">
      <alignment horizontal="left" vertical="bottom"/>
    </xf>
    <xf borderId="0" fillId="0" fontId="11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4" fontId="1" numFmtId="0" xfId="0" applyAlignment="1" applyFill="1" applyFont="1">
      <alignment horizontal="center" vertical="bottom"/>
    </xf>
    <xf borderId="0" fillId="0" fontId="1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0" xfId="0" applyAlignment="1" applyFont="1" applyNumberForma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5" fontId="13" numFmtId="0" xfId="0" applyAlignment="1" applyFill="1" applyFont="1">
      <alignment vertical="bottom"/>
    </xf>
    <xf borderId="0" fillId="0" fontId="16" numFmtId="49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18" numFmtId="49" xfId="0" applyAlignment="1" applyFont="1" applyNumberFormat="1">
      <alignment shrinkToFit="0" vertical="bottom" wrapText="0"/>
    </xf>
    <xf borderId="0" fillId="0" fontId="19" numFmtId="49" xfId="0" applyAlignment="1" applyFont="1" applyNumberFormat="1">
      <alignment vertical="bottom"/>
    </xf>
    <xf borderId="0" fillId="0" fontId="20" numFmtId="0" xfId="0" applyAlignment="1" applyFont="1">
      <alignment horizontal="center" vertical="bottom"/>
    </xf>
    <xf borderId="0" fillId="0" fontId="7" numFmtId="49" xfId="0" applyAlignment="1" applyFont="1" applyNumberFormat="1">
      <alignment horizontal="right" vertical="bottom"/>
    </xf>
    <xf borderId="0" fillId="0" fontId="7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4" numFmtId="49" xfId="0" applyAlignment="1" applyFont="1" applyNumberFormat="1">
      <alignment vertical="bottom"/>
    </xf>
    <xf borderId="0" fillId="0" fontId="7" numFmtId="49" xfId="0" applyAlignment="1" applyFont="1" applyNumberFormat="1">
      <alignment vertical="bottom"/>
    </xf>
    <xf borderId="0" fillId="0" fontId="7" numFmtId="4" xfId="0" applyAlignment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0" fillId="0" fontId="2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190500</xdr:colOff>
      <xdr:row>48</xdr:row>
      <xdr:rowOff>19050</xdr:rowOff>
    </xdr:from>
    <xdr:ext cx="2533650" cy="2533650"/>
    <xdr:pic>
      <xdr:nvPicPr>
        <xdr:cNvPr id="158189303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7.0"/>
    <col customWidth="1" min="3" max="3" width="3.88"/>
    <col customWidth="1" min="4" max="4" width="5.88"/>
    <col customWidth="1" min="5" max="9" width="3.63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/>
    </row>
    <row r="2">
      <c r="A2" s="6">
        <v>1.0</v>
      </c>
      <c r="B2" s="7" t="s">
        <v>7</v>
      </c>
      <c r="C2" s="8">
        <v>170.0</v>
      </c>
      <c r="D2" s="5" t="s">
        <v>8</v>
      </c>
      <c r="E2" s="9">
        <v>23.0</v>
      </c>
      <c r="F2" s="9">
        <v>12.0</v>
      </c>
      <c r="G2" s="9">
        <v>1.0</v>
      </c>
      <c r="H2" s="9">
        <v>1.0</v>
      </c>
      <c r="I2" s="9">
        <v>2.0</v>
      </c>
      <c r="J2" s="5"/>
    </row>
    <row r="3">
      <c r="A3" s="10">
        <v>2.0</v>
      </c>
      <c r="B3" s="8" t="s">
        <v>9</v>
      </c>
      <c r="C3" s="8">
        <v>163.0</v>
      </c>
      <c r="D3" s="5" t="s">
        <v>8</v>
      </c>
      <c r="E3" s="9">
        <v>18.0</v>
      </c>
      <c r="F3" s="9">
        <v>14.0</v>
      </c>
      <c r="G3" s="9">
        <v>4.0</v>
      </c>
      <c r="H3" s="9">
        <v>2.0</v>
      </c>
      <c r="I3" s="9">
        <v>1.0</v>
      </c>
      <c r="J3" s="5"/>
    </row>
    <row r="4">
      <c r="A4" s="6">
        <v>3.0</v>
      </c>
      <c r="B4" s="8" t="s">
        <v>10</v>
      </c>
      <c r="C4" s="8">
        <v>162.0</v>
      </c>
      <c r="D4" s="5" t="s">
        <v>8</v>
      </c>
      <c r="E4" s="9">
        <v>16.0</v>
      </c>
      <c r="F4" s="9">
        <v>18.0</v>
      </c>
      <c r="G4" s="9">
        <v>2.0</v>
      </c>
      <c r="H4" s="9">
        <v>1.0</v>
      </c>
      <c r="I4" s="9">
        <v>2.0</v>
      </c>
      <c r="J4" s="5"/>
    </row>
    <row r="5">
      <c r="A5" s="6">
        <v>4.0</v>
      </c>
      <c r="B5" s="8" t="s">
        <v>11</v>
      </c>
      <c r="C5" s="8">
        <v>161.0</v>
      </c>
      <c r="D5" s="5" t="s">
        <v>8</v>
      </c>
      <c r="E5" s="9">
        <v>18.0</v>
      </c>
      <c r="F5" s="9">
        <v>12.0</v>
      </c>
      <c r="G5" s="9">
        <v>6.0</v>
      </c>
      <c r="H5" s="9">
        <v>2.0</v>
      </c>
      <c r="I5" s="9">
        <v>1.0</v>
      </c>
      <c r="J5" s="5"/>
    </row>
    <row r="6">
      <c r="A6" s="10">
        <v>5.0</v>
      </c>
      <c r="B6" s="8" t="s">
        <v>12</v>
      </c>
      <c r="C6" s="8">
        <v>159.0</v>
      </c>
      <c r="D6" s="5" t="s">
        <v>8</v>
      </c>
      <c r="E6" s="9">
        <v>15.0</v>
      </c>
      <c r="F6" s="9">
        <v>16.0</v>
      </c>
      <c r="G6" s="9">
        <v>6.0</v>
      </c>
      <c r="H6" s="9">
        <v>0.0</v>
      </c>
      <c r="I6" s="9">
        <v>2.0</v>
      </c>
      <c r="J6" s="5"/>
    </row>
    <row r="7">
      <c r="A7" s="6">
        <v>6.0</v>
      </c>
      <c r="B7" s="8" t="s">
        <v>13</v>
      </c>
      <c r="C7" s="8">
        <v>157.0</v>
      </c>
      <c r="D7" s="5" t="s">
        <v>8</v>
      </c>
      <c r="E7" s="9">
        <v>10.0</v>
      </c>
      <c r="F7" s="9">
        <v>22.0</v>
      </c>
      <c r="G7" s="9">
        <v>6.0</v>
      </c>
      <c r="H7" s="9">
        <v>0.0</v>
      </c>
      <c r="I7" s="9">
        <v>1.0</v>
      </c>
      <c r="J7" s="5"/>
    </row>
    <row r="8">
      <c r="A8" s="10">
        <v>7.0</v>
      </c>
      <c r="B8" s="8" t="s">
        <v>14</v>
      </c>
      <c r="C8" s="8">
        <v>154.0</v>
      </c>
      <c r="D8" s="5" t="s">
        <v>8</v>
      </c>
      <c r="E8" s="9">
        <v>15.0</v>
      </c>
      <c r="F8" s="9">
        <v>11.0</v>
      </c>
      <c r="G8" s="9">
        <v>10.0</v>
      </c>
      <c r="H8" s="9">
        <v>2.0</v>
      </c>
      <c r="I8" s="9">
        <v>1.0</v>
      </c>
      <c r="J8" s="5"/>
    </row>
    <row r="9">
      <c r="A9" s="6">
        <v>8.0</v>
      </c>
      <c r="B9" s="8" t="s">
        <v>15</v>
      </c>
      <c r="C9" s="8">
        <v>154.0</v>
      </c>
      <c r="D9" s="5" t="s">
        <v>8</v>
      </c>
      <c r="E9" s="9">
        <v>13.0</v>
      </c>
      <c r="F9" s="9">
        <v>15.0</v>
      </c>
      <c r="G9" s="9">
        <v>8.0</v>
      </c>
      <c r="H9" s="9">
        <v>2.0</v>
      </c>
      <c r="I9" s="9">
        <v>1.0</v>
      </c>
      <c r="J9" s="5"/>
    </row>
    <row r="10">
      <c r="A10" s="6">
        <v>9.0</v>
      </c>
      <c r="B10" s="8" t="s">
        <v>16</v>
      </c>
      <c r="C10" s="8">
        <v>151.0</v>
      </c>
      <c r="D10" s="5" t="s">
        <v>8</v>
      </c>
      <c r="E10" s="9">
        <v>11.0</v>
      </c>
      <c r="F10" s="9">
        <v>16.0</v>
      </c>
      <c r="G10" s="9">
        <v>9.0</v>
      </c>
      <c r="H10" s="9">
        <v>2.0</v>
      </c>
      <c r="I10" s="9">
        <v>1.0</v>
      </c>
      <c r="J10" s="5"/>
    </row>
    <row r="11">
      <c r="A11" s="6">
        <v>10.0</v>
      </c>
      <c r="B11" s="8" t="s">
        <v>17</v>
      </c>
      <c r="C11" s="8">
        <v>151.0</v>
      </c>
      <c r="D11" s="5" t="s">
        <v>8</v>
      </c>
      <c r="E11" s="9">
        <v>8.0</v>
      </c>
      <c r="F11" s="9">
        <v>21.0</v>
      </c>
      <c r="G11" s="9">
        <v>8.0</v>
      </c>
      <c r="H11" s="9">
        <v>1.0</v>
      </c>
      <c r="I11" s="9">
        <v>1.0</v>
      </c>
      <c r="J11" s="5"/>
    </row>
    <row r="12">
      <c r="A12" s="10">
        <v>11.0</v>
      </c>
      <c r="B12" s="8" t="s">
        <v>18</v>
      </c>
      <c r="C12" s="8">
        <v>148.0</v>
      </c>
      <c r="D12" s="5" t="s">
        <v>8</v>
      </c>
      <c r="E12" s="9">
        <v>6.0</v>
      </c>
      <c r="F12" s="9">
        <v>21.0</v>
      </c>
      <c r="G12" s="9">
        <v>11.0</v>
      </c>
      <c r="H12" s="9">
        <v>0.0</v>
      </c>
      <c r="I12" s="9">
        <v>1.0</v>
      </c>
      <c r="J12" s="5"/>
    </row>
    <row r="13">
      <c r="A13" s="6">
        <v>12.0</v>
      </c>
      <c r="B13" s="8" t="s">
        <v>19</v>
      </c>
      <c r="C13" s="8">
        <v>147.0</v>
      </c>
      <c r="D13" s="5" t="s">
        <v>8</v>
      </c>
      <c r="E13" s="9">
        <v>9.0</v>
      </c>
      <c r="F13" s="9">
        <v>17.0</v>
      </c>
      <c r="G13" s="9">
        <v>10.0</v>
      </c>
      <c r="H13" s="9">
        <v>1.0</v>
      </c>
      <c r="I13" s="9">
        <v>2.0</v>
      </c>
      <c r="J13" s="5"/>
    </row>
    <row r="14">
      <c r="A14" s="10">
        <v>13.0</v>
      </c>
      <c r="B14" s="8" t="s">
        <v>20</v>
      </c>
      <c r="C14" s="8">
        <v>146.0</v>
      </c>
      <c r="D14" s="5" t="s">
        <v>8</v>
      </c>
      <c r="E14" s="9">
        <v>9.0</v>
      </c>
      <c r="F14" s="9">
        <v>16.0</v>
      </c>
      <c r="G14" s="9">
        <v>10.0</v>
      </c>
      <c r="H14" s="9">
        <v>3.0</v>
      </c>
      <c r="I14" s="9">
        <v>1.0</v>
      </c>
      <c r="J14" s="5"/>
    </row>
    <row r="15">
      <c r="A15" s="6">
        <v>14.0</v>
      </c>
      <c r="B15" s="8" t="s">
        <v>21</v>
      </c>
      <c r="C15" s="8">
        <v>146.0</v>
      </c>
      <c r="D15" s="5" t="s">
        <v>8</v>
      </c>
      <c r="E15" s="9">
        <v>8.0</v>
      </c>
      <c r="F15" s="9">
        <v>19.0</v>
      </c>
      <c r="G15" s="9">
        <v>8.0</v>
      </c>
      <c r="H15" s="9">
        <v>2.0</v>
      </c>
      <c r="I15" s="9">
        <v>2.0</v>
      </c>
      <c r="J15" s="5"/>
    </row>
    <row r="16">
      <c r="A16" s="6">
        <v>15.0</v>
      </c>
      <c r="B16" s="8" t="s">
        <v>22</v>
      </c>
      <c r="C16" s="8">
        <v>146.0</v>
      </c>
      <c r="D16" s="5" t="s">
        <v>8</v>
      </c>
      <c r="E16" s="9">
        <v>7.0</v>
      </c>
      <c r="F16" s="9">
        <v>18.0</v>
      </c>
      <c r="G16" s="9">
        <v>12.0</v>
      </c>
      <c r="H16" s="9">
        <v>1.0</v>
      </c>
      <c r="I16" s="9">
        <v>1.0</v>
      </c>
      <c r="J16" s="11"/>
    </row>
    <row r="17">
      <c r="A17" s="12" t="s">
        <v>23</v>
      </c>
      <c r="B17" s="8" t="s">
        <v>24</v>
      </c>
      <c r="C17" s="8">
        <v>145.0</v>
      </c>
      <c r="D17" s="5" t="s">
        <v>8</v>
      </c>
      <c r="E17" s="9">
        <v>6.0</v>
      </c>
      <c r="F17" s="9">
        <v>19.0</v>
      </c>
      <c r="G17" s="9">
        <v>11.0</v>
      </c>
      <c r="H17" s="9">
        <v>3.0</v>
      </c>
      <c r="I17" s="9">
        <v>0.0</v>
      </c>
      <c r="J17" s="11"/>
    </row>
    <row r="18">
      <c r="A18" s="10">
        <v>16.0</v>
      </c>
      <c r="B18" s="8" t="s">
        <v>25</v>
      </c>
      <c r="C18" s="8">
        <v>144.0</v>
      </c>
      <c r="D18" s="5" t="s">
        <v>8</v>
      </c>
      <c r="E18" s="9">
        <v>8.0</v>
      </c>
      <c r="F18" s="9">
        <v>17.0</v>
      </c>
      <c r="G18" s="9">
        <v>10.0</v>
      </c>
      <c r="H18" s="9">
        <v>2.0</v>
      </c>
      <c r="I18" s="9">
        <v>2.0</v>
      </c>
    </row>
    <row r="19">
      <c r="A19" s="10">
        <v>17.0</v>
      </c>
      <c r="B19" s="8" t="s">
        <v>26</v>
      </c>
      <c r="C19" s="8">
        <v>144.0</v>
      </c>
      <c r="D19" s="5" t="s">
        <v>8</v>
      </c>
      <c r="E19" s="9">
        <v>6.0</v>
      </c>
      <c r="F19" s="9">
        <v>21.0</v>
      </c>
      <c r="G19" s="9">
        <v>8.0</v>
      </c>
      <c r="H19" s="9">
        <v>2.0</v>
      </c>
      <c r="I19" s="9">
        <v>2.0</v>
      </c>
    </row>
    <row r="20">
      <c r="A20" s="6">
        <v>18.0</v>
      </c>
      <c r="B20" s="8" t="s">
        <v>27</v>
      </c>
      <c r="C20" s="8">
        <v>143.0</v>
      </c>
      <c r="D20" s="5" t="s">
        <v>8</v>
      </c>
      <c r="E20" s="9">
        <v>5.0</v>
      </c>
      <c r="F20" s="9">
        <v>18.0</v>
      </c>
      <c r="G20" s="9">
        <v>15.0</v>
      </c>
      <c r="H20" s="9">
        <v>0.0</v>
      </c>
      <c r="I20" s="9">
        <v>1.0</v>
      </c>
    </row>
    <row r="21">
      <c r="A21" s="6">
        <v>19.0</v>
      </c>
      <c r="B21" s="8" t="s">
        <v>28</v>
      </c>
      <c r="C21" s="8">
        <v>141.0</v>
      </c>
      <c r="D21" s="5" t="s">
        <v>8</v>
      </c>
      <c r="E21" s="9">
        <v>3.0</v>
      </c>
      <c r="F21" s="9">
        <v>21.0</v>
      </c>
      <c r="G21" s="9">
        <v>13.0</v>
      </c>
      <c r="H21" s="9">
        <v>1.0</v>
      </c>
      <c r="I21" s="9">
        <v>1.0</v>
      </c>
    </row>
    <row r="22">
      <c r="A22" s="6">
        <v>20.0</v>
      </c>
      <c r="B22" s="8" t="s">
        <v>29</v>
      </c>
      <c r="C22" s="8">
        <v>140.0</v>
      </c>
      <c r="D22" s="5" t="s">
        <v>8</v>
      </c>
      <c r="E22" s="9">
        <v>5.0</v>
      </c>
      <c r="F22" s="9">
        <v>18.0</v>
      </c>
      <c r="G22" s="9">
        <v>12.0</v>
      </c>
      <c r="H22" s="9">
        <v>3.0</v>
      </c>
      <c r="I22" s="9">
        <v>1.0</v>
      </c>
    </row>
    <row r="23">
      <c r="A23" s="10">
        <v>21.0</v>
      </c>
      <c r="B23" s="8" t="s">
        <v>30</v>
      </c>
      <c r="C23" s="8">
        <v>140.0</v>
      </c>
      <c r="D23" s="5" t="s">
        <v>8</v>
      </c>
      <c r="E23" s="9">
        <v>5.0</v>
      </c>
      <c r="F23" s="9">
        <v>16.0</v>
      </c>
      <c r="G23" s="9">
        <v>16.0</v>
      </c>
      <c r="H23" s="9">
        <v>1.0</v>
      </c>
      <c r="I23" s="9">
        <v>1.0</v>
      </c>
    </row>
    <row r="24">
      <c r="A24" s="6">
        <v>22.0</v>
      </c>
      <c r="B24" s="8" t="s">
        <v>31</v>
      </c>
      <c r="C24" s="8">
        <v>140.0</v>
      </c>
      <c r="D24" s="5" t="s">
        <v>8</v>
      </c>
      <c r="E24" s="9">
        <v>2.0</v>
      </c>
      <c r="F24" s="9">
        <v>24.0</v>
      </c>
      <c r="G24" s="9">
        <v>9.0</v>
      </c>
      <c r="H24" s="9">
        <v>3.0</v>
      </c>
      <c r="I24" s="9">
        <v>1.0</v>
      </c>
    </row>
    <row r="25">
      <c r="A25" s="10">
        <v>23.0</v>
      </c>
      <c r="B25" s="8" t="s">
        <v>32</v>
      </c>
      <c r="C25" s="8">
        <v>139.0</v>
      </c>
      <c r="D25" s="5" t="s">
        <v>8</v>
      </c>
      <c r="E25" s="9">
        <v>6.0</v>
      </c>
      <c r="F25" s="9">
        <v>16.0</v>
      </c>
      <c r="G25" s="9">
        <v>12.0</v>
      </c>
      <c r="H25" s="9">
        <v>4.0</v>
      </c>
      <c r="I25" s="9">
        <v>1.0</v>
      </c>
    </row>
    <row r="26">
      <c r="A26" s="6">
        <v>24.0</v>
      </c>
      <c r="B26" s="8" t="s">
        <v>33</v>
      </c>
      <c r="C26" s="8">
        <v>135.0</v>
      </c>
      <c r="D26" s="5" t="s">
        <v>8</v>
      </c>
      <c r="E26" s="9">
        <v>2.0</v>
      </c>
      <c r="F26" s="9">
        <v>19.0</v>
      </c>
      <c r="G26" s="9">
        <v>14.0</v>
      </c>
      <c r="H26" s="9">
        <v>3.0</v>
      </c>
      <c r="I26" s="9">
        <v>1.0</v>
      </c>
    </row>
    <row r="27">
      <c r="A27" s="6">
        <v>25.0</v>
      </c>
      <c r="B27" s="8" t="s">
        <v>34</v>
      </c>
      <c r="C27" s="8">
        <v>134.0</v>
      </c>
      <c r="D27" s="5" t="s">
        <v>8</v>
      </c>
      <c r="E27" s="9">
        <v>4.0</v>
      </c>
      <c r="F27" s="9">
        <v>16.0</v>
      </c>
      <c r="G27" s="9">
        <v>13.0</v>
      </c>
      <c r="H27" s="9">
        <v>5.0</v>
      </c>
      <c r="I27" s="9">
        <v>1.0</v>
      </c>
    </row>
    <row r="28">
      <c r="A28" s="10">
        <v>26.0</v>
      </c>
      <c r="B28" s="8" t="s">
        <v>35</v>
      </c>
      <c r="C28" s="8">
        <v>133.0</v>
      </c>
      <c r="D28" s="5" t="s">
        <v>8</v>
      </c>
      <c r="E28" s="9">
        <v>2.0</v>
      </c>
      <c r="F28" s="9">
        <v>15.0</v>
      </c>
      <c r="G28" s="9">
        <v>20.0</v>
      </c>
      <c r="H28" s="9">
        <v>1.0</v>
      </c>
      <c r="I28" s="9">
        <v>1.0</v>
      </c>
    </row>
    <row r="29">
      <c r="A29" s="6">
        <v>27.0</v>
      </c>
      <c r="B29" s="7" t="s">
        <v>36</v>
      </c>
      <c r="C29" s="8">
        <v>130.0</v>
      </c>
      <c r="D29" s="5" t="s">
        <v>8</v>
      </c>
      <c r="E29" s="9">
        <v>1.0</v>
      </c>
      <c r="F29" s="9">
        <v>13.0</v>
      </c>
      <c r="G29" s="9">
        <v>24.0</v>
      </c>
      <c r="H29" s="9">
        <v>0.0</v>
      </c>
      <c r="I29" s="9">
        <v>1.0</v>
      </c>
    </row>
    <row r="30">
      <c r="A30" s="10">
        <v>28.0</v>
      </c>
      <c r="B30" s="8" t="s">
        <v>37</v>
      </c>
      <c r="C30" s="8">
        <v>129.0</v>
      </c>
      <c r="D30" s="5" t="s">
        <v>8</v>
      </c>
      <c r="E30" s="9">
        <v>4.0</v>
      </c>
      <c r="F30" s="9">
        <v>10.0</v>
      </c>
      <c r="G30" s="9">
        <v>20.0</v>
      </c>
      <c r="H30" s="9">
        <v>4.0</v>
      </c>
      <c r="I30" s="9">
        <v>1.0</v>
      </c>
    </row>
    <row r="31">
      <c r="A31" s="6">
        <v>29.0</v>
      </c>
      <c r="B31" s="8" t="s">
        <v>38</v>
      </c>
      <c r="C31" s="8">
        <v>129.0</v>
      </c>
      <c r="D31" s="5" t="s">
        <v>8</v>
      </c>
      <c r="E31" s="9">
        <v>0.0</v>
      </c>
      <c r="F31" s="9">
        <v>18.0</v>
      </c>
      <c r="G31" s="9">
        <v>17.0</v>
      </c>
      <c r="H31" s="9">
        <v>2.0</v>
      </c>
      <c r="I31" s="9">
        <v>2.0</v>
      </c>
    </row>
    <row r="32">
      <c r="A32" s="6">
        <v>30.0</v>
      </c>
      <c r="B32" s="8" t="s">
        <v>39</v>
      </c>
      <c r="C32" s="8">
        <v>127.0</v>
      </c>
      <c r="D32" s="5" t="s">
        <v>8</v>
      </c>
      <c r="E32" s="9">
        <v>1.0</v>
      </c>
      <c r="F32" s="9">
        <v>16.0</v>
      </c>
      <c r="G32" s="9">
        <v>16.0</v>
      </c>
      <c r="H32" s="9">
        <v>4.0</v>
      </c>
      <c r="I32" s="9">
        <v>2.0</v>
      </c>
    </row>
    <row r="33">
      <c r="A33" s="6">
        <v>31.0</v>
      </c>
      <c r="B33" s="8" t="s">
        <v>40</v>
      </c>
      <c r="C33" s="8">
        <v>127.0</v>
      </c>
      <c r="D33" s="5" t="s">
        <v>8</v>
      </c>
      <c r="E33" s="9">
        <v>1.0</v>
      </c>
      <c r="F33" s="9">
        <v>15.0</v>
      </c>
      <c r="G33" s="9">
        <v>17.0</v>
      </c>
      <c r="H33" s="9">
        <v>5.0</v>
      </c>
      <c r="I33" s="9">
        <v>1.0</v>
      </c>
    </row>
    <row r="34">
      <c r="A34" s="10">
        <v>32.0</v>
      </c>
      <c r="B34" s="8" t="s">
        <v>41</v>
      </c>
      <c r="C34" s="8">
        <v>125.0</v>
      </c>
      <c r="D34" s="5" t="s">
        <v>8</v>
      </c>
      <c r="E34" s="9">
        <v>2.0</v>
      </c>
      <c r="F34" s="9">
        <v>11.0</v>
      </c>
      <c r="G34" s="9">
        <v>20.0</v>
      </c>
      <c r="H34" s="9">
        <v>5.0</v>
      </c>
      <c r="I34" s="9">
        <v>1.0</v>
      </c>
    </row>
    <row r="35">
      <c r="A35" s="6">
        <v>33.0</v>
      </c>
      <c r="B35" s="8" t="s">
        <v>42</v>
      </c>
      <c r="C35" s="8">
        <v>121.0</v>
      </c>
      <c r="D35" s="5" t="s">
        <v>8</v>
      </c>
      <c r="E35" s="9">
        <v>2.0</v>
      </c>
      <c r="F35" s="9">
        <v>10.0</v>
      </c>
      <c r="G35" s="9">
        <v>19.0</v>
      </c>
      <c r="H35" s="9">
        <v>6.0</v>
      </c>
      <c r="I35" s="9">
        <v>2.0</v>
      </c>
    </row>
    <row r="36">
      <c r="A36" s="12" t="s">
        <v>23</v>
      </c>
      <c r="B36" s="7" t="s">
        <v>43</v>
      </c>
      <c r="C36" s="8">
        <v>119.0</v>
      </c>
      <c r="D36" s="5" t="s">
        <v>8</v>
      </c>
      <c r="E36" s="9">
        <v>1.0</v>
      </c>
      <c r="F36" s="9">
        <v>8.0</v>
      </c>
      <c r="G36" s="9">
        <v>22.0</v>
      </c>
      <c r="H36" s="9">
        <v>8.0</v>
      </c>
      <c r="I36" s="9">
        <v>0.0</v>
      </c>
    </row>
    <row r="37">
      <c r="A37" s="6">
        <v>34.0</v>
      </c>
      <c r="B37" s="8" t="s">
        <v>44</v>
      </c>
      <c r="C37" s="8">
        <v>119.0</v>
      </c>
      <c r="D37" s="5" t="s">
        <v>8</v>
      </c>
      <c r="E37" s="9">
        <v>1.0</v>
      </c>
      <c r="F37" s="9">
        <v>7.0</v>
      </c>
      <c r="G37" s="9">
        <v>25.0</v>
      </c>
      <c r="H37" s="9">
        <v>5.0</v>
      </c>
      <c r="I37" s="9">
        <v>1.0</v>
      </c>
    </row>
    <row r="38">
      <c r="A38" s="10">
        <v>35.0</v>
      </c>
      <c r="B38" s="8" t="s">
        <v>45</v>
      </c>
      <c r="C38" s="8">
        <v>117.0</v>
      </c>
      <c r="D38" s="5" t="s">
        <v>8</v>
      </c>
      <c r="E38" s="9">
        <v>0.0</v>
      </c>
      <c r="F38" s="9">
        <v>9.0</v>
      </c>
      <c r="G38" s="9">
        <v>22.0</v>
      </c>
      <c r="H38" s="9">
        <v>7.0</v>
      </c>
      <c r="I38" s="9">
        <v>1.0</v>
      </c>
    </row>
    <row r="39">
      <c r="A39" s="6">
        <v>36.0</v>
      </c>
      <c r="B39" s="8" t="s">
        <v>46</v>
      </c>
      <c r="C39" s="8">
        <v>110.0</v>
      </c>
      <c r="D39" s="5" t="s">
        <v>8</v>
      </c>
      <c r="E39" s="9">
        <v>0.0</v>
      </c>
      <c r="F39" s="9">
        <v>6.0</v>
      </c>
      <c r="G39" s="9">
        <v>22.0</v>
      </c>
      <c r="H39" s="9">
        <v>9.0</v>
      </c>
      <c r="I39" s="9">
        <v>2.0</v>
      </c>
    </row>
    <row r="40">
      <c r="A40" s="6">
        <v>37.0</v>
      </c>
      <c r="B40" s="8" t="s">
        <v>47</v>
      </c>
      <c r="C40" s="8">
        <v>101.0</v>
      </c>
      <c r="D40" s="5" t="s">
        <v>8</v>
      </c>
      <c r="E40" s="9">
        <v>0.0</v>
      </c>
      <c r="F40" s="9">
        <v>3.0</v>
      </c>
      <c r="G40" s="9">
        <v>19.0</v>
      </c>
      <c r="H40" s="9">
        <v>15.0</v>
      </c>
      <c r="I40" s="9">
        <v>2.0</v>
      </c>
    </row>
    <row r="41">
      <c r="A41" s="6">
        <v>38.0</v>
      </c>
      <c r="B41" s="8" t="s">
        <v>48</v>
      </c>
      <c r="C41" s="8">
        <v>99.0</v>
      </c>
      <c r="D41" s="5" t="s">
        <v>8</v>
      </c>
      <c r="E41" s="9">
        <v>0.0</v>
      </c>
      <c r="F41" s="9">
        <v>1.0</v>
      </c>
      <c r="G41" s="9">
        <v>21.0</v>
      </c>
      <c r="H41" s="9">
        <v>15.0</v>
      </c>
      <c r="I41" s="9">
        <v>2.0</v>
      </c>
    </row>
    <row r="42">
      <c r="A42" s="13"/>
    </row>
    <row r="43">
      <c r="A43" s="13"/>
    </row>
    <row r="44">
      <c r="A44" s="13"/>
    </row>
    <row r="45">
      <c r="A45" s="13"/>
    </row>
    <row r="46">
      <c r="A46" s="13"/>
    </row>
    <row r="47">
      <c r="A47" s="13"/>
    </row>
    <row r="48">
      <c r="A48" s="13"/>
    </row>
    <row r="49">
      <c r="A49" s="13"/>
    </row>
    <row r="50">
      <c r="A50" s="13"/>
    </row>
    <row r="51">
      <c r="A51" s="13"/>
    </row>
    <row r="52">
      <c r="A52" s="13"/>
    </row>
    <row r="53">
      <c r="A53" s="13"/>
    </row>
    <row r="54">
      <c r="A54" s="13"/>
    </row>
    <row r="55">
      <c r="A55" s="13"/>
    </row>
    <row r="56">
      <c r="A56" s="13"/>
    </row>
    <row r="57">
      <c r="A57" s="13"/>
    </row>
    <row r="58">
      <c r="A58" s="13"/>
    </row>
    <row r="59">
      <c r="A59" s="13"/>
    </row>
    <row r="60">
      <c r="A60" s="13"/>
    </row>
    <row r="61">
      <c r="A61" s="13"/>
    </row>
    <row r="62">
      <c r="A62" s="13"/>
    </row>
    <row r="63">
      <c r="A63" s="13"/>
    </row>
    <row r="64">
      <c r="A64" s="13"/>
    </row>
    <row r="65">
      <c r="A65" s="13"/>
    </row>
    <row r="66">
      <c r="A66" s="13"/>
    </row>
    <row r="67">
      <c r="A67" s="13"/>
    </row>
    <row r="68">
      <c r="A68" s="13"/>
    </row>
    <row r="69">
      <c r="A69" s="13"/>
    </row>
    <row r="70">
      <c r="A70" s="13"/>
    </row>
    <row r="71">
      <c r="A71" s="13"/>
    </row>
    <row r="72">
      <c r="A72" s="13"/>
    </row>
    <row r="73">
      <c r="A73" s="13"/>
    </row>
    <row r="74">
      <c r="A74" s="13"/>
    </row>
    <row r="75">
      <c r="A75" s="13"/>
    </row>
    <row r="76">
      <c r="A76" s="13"/>
    </row>
    <row r="77">
      <c r="A77" s="13"/>
    </row>
    <row r="78">
      <c r="A78" s="13"/>
    </row>
    <row r="79">
      <c r="A79" s="13"/>
    </row>
    <row r="80">
      <c r="A80" s="13"/>
    </row>
    <row r="81">
      <c r="A81" s="13"/>
    </row>
    <row r="82">
      <c r="A82" s="13"/>
    </row>
    <row r="83">
      <c r="A83" s="13"/>
    </row>
    <row r="84">
      <c r="A84" s="13"/>
    </row>
    <row r="85">
      <c r="A85" s="13"/>
    </row>
    <row r="86">
      <c r="A86" s="13"/>
    </row>
    <row r="87">
      <c r="A87" s="13"/>
    </row>
    <row r="88">
      <c r="A88" s="13"/>
    </row>
    <row r="89">
      <c r="A89" s="13"/>
    </row>
    <row r="90">
      <c r="A90" s="13"/>
    </row>
    <row r="91">
      <c r="A91" s="13"/>
    </row>
    <row r="92">
      <c r="A92" s="13"/>
    </row>
    <row r="93">
      <c r="A93" s="13"/>
    </row>
    <row r="94">
      <c r="A94" s="13"/>
    </row>
    <row r="95">
      <c r="A95" s="13"/>
    </row>
    <row r="96">
      <c r="A96" s="13"/>
    </row>
    <row r="97">
      <c r="A97" s="13"/>
    </row>
    <row r="98">
      <c r="A98" s="13"/>
    </row>
    <row r="99">
      <c r="A99" s="13"/>
    </row>
    <row r="100">
      <c r="A100" s="13"/>
    </row>
    <row r="101">
      <c r="A101" s="13"/>
    </row>
    <row r="102">
      <c r="A102" s="13"/>
    </row>
    <row r="103">
      <c r="A103" s="13"/>
    </row>
    <row r="104">
      <c r="A104" s="13"/>
    </row>
    <row r="105">
      <c r="A105" s="14"/>
    </row>
    <row r="106">
      <c r="A106" s="13"/>
    </row>
    <row r="107">
      <c r="A107" s="13"/>
    </row>
    <row r="108">
      <c r="A108" s="13"/>
    </row>
    <row r="109">
      <c r="A109" s="13"/>
    </row>
    <row r="110">
      <c r="A110" s="13"/>
    </row>
    <row r="111">
      <c r="A111" s="13"/>
    </row>
    <row r="112">
      <c r="A112" s="14"/>
      <c r="F112" s="15"/>
      <c r="G112" s="5"/>
      <c r="H112" s="5"/>
      <c r="I112" s="5"/>
      <c r="J112" s="5"/>
      <c r="K112" s="5"/>
      <c r="L112" s="5"/>
    </row>
    <row r="113">
      <c r="A113" s="13"/>
      <c r="F113" s="5"/>
      <c r="G113" s="5"/>
      <c r="H113" s="5"/>
      <c r="I113" s="5"/>
      <c r="J113" s="5"/>
      <c r="K113" s="5"/>
      <c r="L113" s="5"/>
    </row>
    <row r="114">
      <c r="A114" s="13"/>
      <c r="F114" s="15"/>
      <c r="G114" s="5"/>
      <c r="H114" s="5"/>
      <c r="I114" s="5"/>
      <c r="J114" s="5"/>
      <c r="K114" s="5"/>
      <c r="L114" s="5"/>
    </row>
    <row r="115">
      <c r="A115" s="13"/>
      <c r="F115" s="15"/>
      <c r="G115" s="5"/>
      <c r="H115" s="5"/>
      <c r="I115" s="5"/>
      <c r="J115" s="5"/>
      <c r="K115" s="5"/>
      <c r="L115" s="5"/>
    </row>
    <row r="116">
      <c r="A116" s="13"/>
      <c r="F116" s="15"/>
      <c r="G116" s="5"/>
      <c r="H116" s="5"/>
      <c r="I116" s="5"/>
      <c r="J116" s="5"/>
      <c r="K116" s="5"/>
      <c r="L116" s="5"/>
    </row>
    <row r="117">
      <c r="A117" s="13"/>
      <c r="F117" s="15"/>
      <c r="G117" s="5"/>
      <c r="H117" s="5"/>
      <c r="I117" s="5"/>
      <c r="J117" s="5"/>
      <c r="K117" s="5"/>
      <c r="L117" s="5"/>
    </row>
    <row r="118">
      <c r="A118" s="13"/>
      <c r="F118" s="15"/>
      <c r="G118" s="5"/>
      <c r="H118" s="5"/>
      <c r="I118" s="5"/>
      <c r="J118" s="5"/>
      <c r="K118" s="5"/>
      <c r="L118" s="5"/>
    </row>
    <row r="119">
      <c r="A119" s="13"/>
      <c r="F119" s="5"/>
      <c r="G119" s="5"/>
      <c r="H119" s="5"/>
      <c r="I119" s="5"/>
      <c r="J119" s="5"/>
      <c r="K119" s="5"/>
      <c r="L119" s="5"/>
    </row>
    <row r="120">
      <c r="A120" s="13"/>
      <c r="F120" s="16"/>
      <c r="G120" s="5"/>
      <c r="H120" s="5"/>
      <c r="I120" s="5"/>
      <c r="J120" s="5"/>
      <c r="K120" s="5"/>
      <c r="L120" s="5"/>
    </row>
    <row r="121">
      <c r="A121" s="13"/>
      <c r="F121" s="16"/>
      <c r="G121" s="5"/>
      <c r="H121" s="5"/>
      <c r="I121" s="5"/>
      <c r="J121" s="5"/>
      <c r="K121" s="5"/>
      <c r="L121" s="5"/>
    </row>
    <row r="122">
      <c r="A122" s="13"/>
      <c r="F122" s="16"/>
      <c r="G122" s="5"/>
      <c r="H122" s="5"/>
      <c r="I122" s="5"/>
      <c r="J122" s="5"/>
      <c r="K122" s="5"/>
      <c r="L122" s="5"/>
    </row>
    <row r="123">
      <c r="A123" s="13"/>
      <c r="F123" s="16"/>
      <c r="G123" s="5"/>
      <c r="H123" s="5"/>
      <c r="I123" s="5"/>
      <c r="J123" s="5"/>
      <c r="K123" s="5"/>
      <c r="L123" s="5"/>
    </row>
    <row r="124">
      <c r="A124" s="14"/>
      <c r="F124" s="16"/>
      <c r="G124" s="5"/>
      <c r="H124" s="5"/>
      <c r="I124" s="5"/>
      <c r="J124" s="5"/>
      <c r="K124" s="5"/>
      <c r="L124" s="5"/>
    </row>
    <row r="125">
      <c r="A125" s="13"/>
      <c r="F125" s="16"/>
      <c r="G125" s="5"/>
      <c r="H125" s="5"/>
      <c r="I125" s="5"/>
      <c r="J125" s="5"/>
      <c r="K125" s="5"/>
      <c r="L125" s="5"/>
    </row>
    <row r="126">
      <c r="A126" s="13"/>
      <c r="F126" s="16"/>
      <c r="G126" s="5"/>
      <c r="H126" s="5"/>
      <c r="I126" s="5"/>
      <c r="J126" s="5"/>
      <c r="K126" s="5"/>
      <c r="L126" s="5"/>
    </row>
    <row r="127">
      <c r="A127" s="13"/>
      <c r="F127" s="16"/>
      <c r="G127" s="5"/>
      <c r="H127" s="5"/>
      <c r="I127" s="5"/>
      <c r="J127" s="5"/>
      <c r="K127" s="5"/>
      <c r="L127" s="5"/>
    </row>
    <row r="128">
      <c r="A128" s="13"/>
      <c r="F128" s="16"/>
      <c r="G128" s="5"/>
      <c r="H128" s="5"/>
      <c r="I128" s="5"/>
      <c r="J128" s="5"/>
      <c r="K128" s="5"/>
      <c r="L128" s="5"/>
    </row>
    <row r="129">
      <c r="A129" s="13"/>
      <c r="F129" s="16"/>
      <c r="G129" s="5"/>
      <c r="H129" s="5"/>
      <c r="I129" s="5"/>
      <c r="J129" s="5"/>
      <c r="K129" s="5"/>
      <c r="L129" s="5"/>
    </row>
    <row r="130">
      <c r="A130" s="13"/>
      <c r="F130" s="16"/>
      <c r="G130" s="5"/>
      <c r="H130" s="5"/>
      <c r="I130" s="5"/>
      <c r="J130" s="5"/>
      <c r="K130" s="5"/>
      <c r="L130" s="5"/>
    </row>
    <row r="131">
      <c r="A131" s="13"/>
      <c r="F131" s="16"/>
      <c r="G131" s="5"/>
      <c r="H131" s="5"/>
      <c r="I131" s="5"/>
      <c r="J131" s="5"/>
      <c r="K131" s="5"/>
      <c r="L131" s="5"/>
    </row>
    <row r="132">
      <c r="A132" s="13"/>
      <c r="F132" s="16"/>
      <c r="G132" s="5"/>
      <c r="H132" s="5"/>
      <c r="I132" s="5"/>
      <c r="J132" s="5"/>
      <c r="K132" s="5"/>
      <c r="L132" s="5"/>
    </row>
    <row r="133">
      <c r="A133" s="13"/>
      <c r="F133" s="16"/>
      <c r="G133" s="5"/>
      <c r="H133" s="5"/>
      <c r="I133" s="5"/>
      <c r="J133" s="5"/>
      <c r="K133" s="5"/>
      <c r="L133" s="5"/>
    </row>
    <row r="134">
      <c r="A134" s="13"/>
      <c r="F134" s="16"/>
      <c r="G134" s="5"/>
      <c r="H134" s="5"/>
      <c r="I134" s="5"/>
      <c r="J134" s="5"/>
      <c r="K134" s="5"/>
      <c r="L134" s="5"/>
    </row>
    <row r="135">
      <c r="A135" s="13"/>
      <c r="F135" s="16"/>
      <c r="G135" s="5"/>
      <c r="H135" s="5"/>
      <c r="I135" s="5"/>
      <c r="J135" s="5"/>
      <c r="K135" s="5"/>
      <c r="L135" s="5"/>
    </row>
    <row r="136">
      <c r="A136" s="13"/>
      <c r="F136" s="16"/>
      <c r="G136" s="5"/>
      <c r="H136" s="5"/>
      <c r="I136" s="5"/>
      <c r="J136" s="5"/>
      <c r="K136" s="5"/>
      <c r="L136" s="5"/>
    </row>
    <row r="137">
      <c r="A137" s="13"/>
      <c r="F137" s="16"/>
      <c r="G137" s="5"/>
      <c r="H137" s="5"/>
      <c r="I137" s="5"/>
      <c r="J137" s="5"/>
      <c r="K137" s="5"/>
      <c r="L137" s="5"/>
    </row>
    <row r="138">
      <c r="A138" s="13"/>
      <c r="F138" s="16"/>
      <c r="G138" s="5"/>
      <c r="H138" s="5"/>
      <c r="I138" s="5"/>
      <c r="J138" s="5"/>
      <c r="K138" s="5"/>
      <c r="L138" s="5"/>
    </row>
    <row r="139">
      <c r="A139" s="13"/>
      <c r="F139" s="16"/>
      <c r="G139" s="5"/>
      <c r="H139" s="5"/>
      <c r="I139" s="5"/>
      <c r="J139" s="5"/>
      <c r="K139" s="5"/>
      <c r="L139" s="5"/>
    </row>
    <row r="140">
      <c r="A140" s="13"/>
      <c r="F140" s="16"/>
      <c r="G140" s="5"/>
      <c r="H140" s="5"/>
      <c r="I140" s="5"/>
      <c r="J140" s="5"/>
      <c r="K140" s="5"/>
      <c r="L140" s="5"/>
    </row>
    <row r="141">
      <c r="A141" s="13"/>
      <c r="F141" s="16"/>
      <c r="G141" s="5"/>
      <c r="H141" s="5"/>
      <c r="I141" s="5"/>
      <c r="J141" s="5"/>
      <c r="K141" s="5"/>
      <c r="L141" s="5"/>
    </row>
    <row r="142">
      <c r="A142" s="13"/>
      <c r="F142" s="16"/>
      <c r="G142" s="5"/>
      <c r="H142" s="5"/>
      <c r="I142" s="5"/>
      <c r="J142" s="5"/>
      <c r="K142" s="5"/>
      <c r="L142" s="5"/>
    </row>
    <row r="143">
      <c r="A143" s="13"/>
      <c r="F143" s="16"/>
      <c r="G143" s="5"/>
      <c r="H143" s="5"/>
      <c r="I143" s="5"/>
      <c r="J143" s="5"/>
      <c r="K143" s="5"/>
      <c r="L143" s="5"/>
    </row>
    <row r="144">
      <c r="A144" s="13"/>
      <c r="F144" s="16"/>
      <c r="G144" s="5"/>
      <c r="H144" s="5"/>
      <c r="I144" s="5"/>
      <c r="J144" s="5"/>
      <c r="K144" s="5"/>
      <c r="L144" s="5"/>
    </row>
    <row r="145">
      <c r="A145" s="13"/>
      <c r="F145" s="16"/>
      <c r="G145" s="5"/>
      <c r="H145" s="5"/>
      <c r="I145" s="5"/>
      <c r="J145" s="5"/>
      <c r="K145" s="5"/>
      <c r="L145" s="5"/>
    </row>
    <row r="146">
      <c r="A146" s="13"/>
      <c r="F146" s="16"/>
    </row>
    <row r="147">
      <c r="A147" s="13"/>
      <c r="F147" s="16"/>
    </row>
    <row r="148">
      <c r="A148" s="13"/>
      <c r="F148" s="16"/>
    </row>
    <row r="149">
      <c r="A149" s="13"/>
      <c r="F149" s="16"/>
    </row>
    <row r="150">
      <c r="A150" s="13"/>
      <c r="F150" s="16"/>
    </row>
    <row r="151">
      <c r="A151" s="13"/>
      <c r="F151" s="16"/>
    </row>
    <row r="152">
      <c r="A152" s="13"/>
      <c r="F152" s="16"/>
    </row>
    <row r="153">
      <c r="A153" s="13"/>
      <c r="F153" s="16"/>
    </row>
    <row r="154">
      <c r="A154" s="13"/>
      <c r="F154" s="16"/>
    </row>
    <row r="155">
      <c r="A155" s="13"/>
      <c r="F155" s="16"/>
    </row>
    <row r="156">
      <c r="A156" s="13"/>
      <c r="F156" s="16"/>
    </row>
    <row r="157">
      <c r="A157" s="13"/>
    </row>
    <row r="158">
      <c r="A158" s="13"/>
      <c r="F158" s="15"/>
    </row>
    <row r="159">
      <c r="A159" s="13"/>
      <c r="F159" s="15"/>
    </row>
    <row r="160">
      <c r="A160" s="13"/>
      <c r="F160" s="5"/>
    </row>
    <row r="161">
      <c r="A161" s="13"/>
      <c r="F161" s="15"/>
    </row>
    <row r="162">
      <c r="A162" s="13"/>
      <c r="F162" s="5"/>
    </row>
    <row r="163">
      <c r="A163" s="13"/>
      <c r="F163" s="17"/>
    </row>
    <row r="164">
      <c r="A164" s="13"/>
      <c r="F164" s="18"/>
    </row>
    <row r="165">
      <c r="A165" s="13"/>
    </row>
    <row r="166">
      <c r="A166" s="13"/>
    </row>
    <row r="167">
      <c r="A167" s="13"/>
    </row>
    <row r="168">
      <c r="A168" s="13"/>
    </row>
    <row r="169">
      <c r="A169" s="13"/>
    </row>
    <row r="170">
      <c r="A170" s="13"/>
    </row>
    <row r="171">
      <c r="A171" s="13"/>
    </row>
    <row r="172">
      <c r="A172" s="13"/>
    </row>
    <row r="173">
      <c r="A173" s="13"/>
    </row>
    <row r="174">
      <c r="A174" s="13"/>
    </row>
    <row r="175">
      <c r="A175" s="13"/>
    </row>
    <row r="176">
      <c r="A176" s="13"/>
    </row>
    <row r="177">
      <c r="A177" s="13"/>
    </row>
    <row r="178">
      <c r="A178" s="13"/>
    </row>
    <row r="179">
      <c r="A179" s="13"/>
    </row>
    <row r="180">
      <c r="A180" s="13"/>
    </row>
    <row r="181">
      <c r="A181" s="13"/>
    </row>
    <row r="182">
      <c r="A182" s="13"/>
    </row>
    <row r="183">
      <c r="A183" s="13"/>
    </row>
    <row r="184">
      <c r="A184" s="13"/>
    </row>
    <row r="185">
      <c r="A185" s="13"/>
    </row>
    <row r="186">
      <c r="A186" s="13"/>
    </row>
    <row r="187">
      <c r="A187" s="13"/>
    </row>
    <row r="188">
      <c r="A188" s="13"/>
    </row>
    <row r="189">
      <c r="A189" s="13"/>
    </row>
    <row r="190">
      <c r="A190" s="13"/>
    </row>
    <row r="191">
      <c r="A191" s="13"/>
    </row>
    <row r="192">
      <c r="A192" s="13"/>
    </row>
    <row r="193">
      <c r="A193" s="13"/>
    </row>
    <row r="194">
      <c r="A194" s="13"/>
    </row>
    <row r="195">
      <c r="A195" s="13"/>
    </row>
    <row r="196">
      <c r="A196" s="13"/>
    </row>
    <row r="197">
      <c r="A197" s="13"/>
    </row>
    <row r="198">
      <c r="A198" s="13"/>
    </row>
    <row r="199">
      <c r="A199" s="13"/>
    </row>
    <row r="200">
      <c r="A200" s="13"/>
    </row>
    <row r="201">
      <c r="A201" s="13"/>
    </row>
    <row r="202">
      <c r="A202" s="13"/>
    </row>
    <row r="203">
      <c r="A203" s="13"/>
    </row>
    <row r="204">
      <c r="A204" s="13"/>
    </row>
    <row r="205">
      <c r="A205" s="13"/>
    </row>
    <row r="206">
      <c r="A206" s="13"/>
    </row>
    <row r="207">
      <c r="A207" s="13"/>
    </row>
    <row r="208">
      <c r="A208" s="13"/>
    </row>
    <row r="209">
      <c r="A209" s="13"/>
    </row>
    <row r="210">
      <c r="A210" s="13"/>
    </row>
    <row r="211">
      <c r="A211" s="13"/>
    </row>
    <row r="212">
      <c r="A212" s="13"/>
    </row>
    <row r="213">
      <c r="A213" s="13"/>
    </row>
    <row r="214">
      <c r="A214" s="13"/>
    </row>
    <row r="215">
      <c r="A215" s="13"/>
    </row>
    <row r="216">
      <c r="A216" s="13"/>
    </row>
    <row r="217">
      <c r="A217" s="13"/>
    </row>
    <row r="218">
      <c r="A218" s="13"/>
    </row>
    <row r="219">
      <c r="A219" s="13"/>
    </row>
    <row r="220">
      <c r="A220" s="13"/>
    </row>
    <row r="221">
      <c r="A221" s="13"/>
    </row>
    <row r="222">
      <c r="A222" s="13"/>
    </row>
    <row r="223">
      <c r="A223" s="13"/>
    </row>
    <row r="224">
      <c r="A224" s="13"/>
    </row>
    <row r="225">
      <c r="A225" s="13"/>
    </row>
    <row r="226">
      <c r="A226" s="13"/>
    </row>
    <row r="227">
      <c r="A227" s="13"/>
    </row>
    <row r="228">
      <c r="A228" s="13"/>
    </row>
    <row r="229">
      <c r="A229" s="13"/>
    </row>
    <row r="230">
      <c r="A230" s="13"/>
    </row>
    <row r="231">
      <c r="A231" s="13"/>
    </row>
    <row r="232">
      <c r="A232" s="13"/>
    </row>
    <row r="233">
      <c r="A233" s="13"/>
    </row>
    <row r="234">
      <c r="A234" s="13"/>
    </row>
    <row r="235">
      <c r="A235" s="13"/>
    </row>
    <row r="236">
      <c r="A236" s="13"/>
    </row>
    <row r="237">
      <c r="A237" s="13"/>
    </row>
    <row r="238">
      <c r="A238" s="13"/>
    </row>
    <row r="239">
      <c r="A239" s="13"/>
    </row>
    <row r="240">
      <c r="A240" s="13"/>
    </row>
    <row r="241">
      <c r="A241" s="13"/>
    </row>
    <row r="242">
      <c r="A242" s="13"/>
    </row>
    <row r="243">
      <c r="A243" s="13"/>
    </row>
    <row r="244">
      <c r="A244" s="13"/>
    </row>
    <row r="245">
      <c r="A245" s="13"/>
    </row>
    <row r="246">
      <c r="A246" s="13"/>
    </row>
    <row r="247">
      <c r="A247" s="13"/>
    </row>
    <row r="248">
      <c r="A248" s="13"/>
    </row>
    <row r="249">
      <c r="A249" s="13"/>
    </row>
    <row r="250">
      <c r="A250" s="13"/>
    </row>
    <row r="251">
      <c r="A251" s="13"/>
    </row>
    <row r="252">
      <c r="A252" s="13"/>
    </row>
    <row r="253">
      <c r="A253" s="13"/>
    </row>
    <row r="254">
      <c r="A254" s="13"/>
    </row>
    <row r="255">
      <c r="A255" s="13"/>
    </row>
    <row r="256">
      <c r="A256" s="13"/>
    </row>
    <row r="257">
      <c r="A257" s="13"/>
    </row>
    <row r="258">
      <c r="A258" s="13"/>
    </row>
    <row r="259">
      <c r="A259" s="13"/>
    </row>
    <row r="260">
      <c r="A260" s="13"/>
    </row>
    <row r="261">
      <c r="A261" s="13"/>
    </row>
    <row r="262">
      <c r="A262" s="13"/>
    </row>
    <row r="263">
      <c r="A263" s="13"/>
    </row>
    <row r="264">
      <c r="A264" s="13"/>
    </row>
    <row r="265">
      <c r="A265" s="13"/>
    </row>
    <row r="266">
      <c r="A266" s="13"/>
    </row>
    <row r="267">
      <c r="A267" s="13"/>
    </row>
    <row r="268">
      <c r="A268" s="13"/>
    </row>
    <row r="269">
      <c r="A269" s="13"/>
    </row>
    <row r="270">
      <c r="A270" s="13"/>
    </row>
    <row r="271">
      <c r="A271" s="13"/>
    </row>
    <row r="272">
      <c r="A272" s="13"/>
    </row>
    <row r="273">
      <c r="A273" s="13"/>
    </row>
    <row r="274">
      <c r="A274" s="13"/>
    </row>
    <row r="275">
      <c r="A275" s="13"/>
    </row>
    <row r="276">
      <c r="A276" s="13"/>
    </row>
    <row r="277">
      <c r="A277" s="13"/>
    </row>
    <row r="278">
      <c r="A278" s="13"/>
    </row>
    <row r="279">
      <c r="A279" s="13"/>
    </row>
    <row r="280">
      <c r="A280" s="13"/>
    </row>
    <row r="281">
      <c r="A281" s="13"/>
    </row>
    <row r="282">
      <c r="A282" s="13"/>
    </row>
    <row r="283">
      <c r="A283" s="13"/>
    </row>
    <row r="284">
      <c r="A284" s="13"/>
    </row>
    <row r="285">
      <c r="A285" s="13"/>
    </row>
    <row r="286">
      <c r="A286" s="13"/>
    </row>
    <row r="287">
      <c r="A287" s="13"/>
    </row>
    <row r="288">
      <c r="A288" s="13"/>
    </row>
    <row r="289">
      <c r="A289" s="13"/>
    </row>
    <row r="290">
      <c r="A290" s="13"/>
    </row>
    <row r="291">
      <c r="A291" s="13"/>
    </row>
    <row r="292">
      <c r="A292" s="13"/>
    </row>
    <row r="293">
      <c r="A293" s="13"/>
    </row>
    <row r="294">
      <c r="A294" s="13"/>
    </row>
    <row r="295">
      <c r="A295" s="13"/>
    </row>
    <row r="296">
      <c r="A296" s="13"/>
    </row>
    <row r="297">
      <c r="A297" s="13"/>
    </row>
    <row r="298">
      <c r="A298" s="13"/>
    </row>
    <row r="299">
      <c r="A299" s="13"/>
    </row>
    <row r="300">
      <c r="A300" s="13"/>
    </row>
    <row r="301">
      <c r="A301" s="13"/>
    </row>
    <row r="302">
      <c r="A302" s="13"/>
    </row>
    <row r="303">
      <c r="A303" s="13"/>
    </row>
    <row r="304">
      <c r="A304" s="13"/>
    </row>
    <row r="305">
      <c r="A305" s="13"/>
    </row>
    <row r="306">
      <c r="A306" s="13"/>
    </row>
    <row r="307">
      <c r="A307" s="13"/>
    </row>
    <row r="308">
      <c r="A308" s="13"/>
    </row>
    <row r="309">
      <c r="A309" s="13"/>
    </row>
    <row r="310">
      <c r="A310" s="13"/>
    </row>
    <row r="311">
      <c r="A311" s="13"/>
    </row>
    <row r="312">
      <c r="A312" s="13"/>
    </row>
    <row r="313">
      <c r="A313" s="13"/>
    </row>
    <row r="314">
      <c r="A314" s="13"/>
    </row>
    <row r="315">
      <c r="A315" s="13"/>
    </row>
    <row r="316">
      <c r="A316" s="13"/>
    </row>
    <row r="317">
      <c r="A317" s="13"/>
    </row>
    <row r="318">
      <c r="A318" s="13"/>
    </row>
    <row r="319">
      <c r="A319" s="13"/>
    </row>
    <row r="320">
      <c r="A320" s="13"/>
    </row>
    <row r="321">
      <c r="A321" s="13"/>
    </row>
    <row r="322">
      <c r="A322" s="13"/>
    </row>
    <row r="323">
      <c r="A323" s="13"/>
    </row>
    <row r="324">
      <c r="A324" s="13"/>
    </row>
    <row r="325">
      <c r="A325" s="13"/>
    </row>
    <row r="326">
      <c r="A326" s="13"/>
    </row>
    <row r="327">
      <c r="A327" s="13"/>
    </row>
    <row r="328">
      <c r="A328" s="13"/>
    </row>
    <row r="329">
      <c r="A329" s="13"/>
    </row>
    <row r="330">
      <c r="A330" s="13"/>
    </row>
    <row r="331">
      <c r="A331" s="13"/>
    </row>
    <row r="332">
      <c r="A332" s="13"/>
    </row>
    <row r="333">
      <c r="A333" s="13"/>
    </row>
    <row r="334">
      <c r="A334" s="13"/>
    </row>
    <row r="335">
      <c r="A335" s="13"/>
    </row>
    <row r="336">
      <c r="A336" s="13"/>
    </row>
    <row r="337">
      <c r="A337" s="13"/>
    </row>
    <row r="338">
      <c r="A338" s="13"/>
    </row>
    <row r="339">
      <c r="A339" s="13"/>
    </row>
    <row r="340">
      <c r="A340" s="13"/>
    </row>
    <row r="341">
      <c r="A341" s="13"/>
    </row>
    <row r="342">
      <c r="A342" s="13"/>
    </row>
    <row r="343">
      <c r="A343" s="13"/>
    </row>
    <row r="344">
      <c r="A344" s="13"/>
    </row>
    <row r="345">
      <c r="A345" s="13"/>
    </row>
    <row r="346">
      <c r="A346" s="13"/>
    </row>
    <row r="347">
      <c r="A347" s="13"/>
    </row>
    <row r="348">
      <c r="A348" s="13"/>
    </row>
    <row r="349">
      <c r="A349" s="13"/>
    </row>
    <row r="350">
      <c r="A350" s="13"/>
    </row>
    <row r="351">
      <c r="A351" s="13"/>
    </row>
    <row r="352">
      <c r="A352" s="13"/>
    </row>
    <row r="353">
      <c r="A353" s="13"/>
    </row>
    <row r="354">
      <c r="A354" s="13"/>
    </row>
    <row r="355">
      <c r="A355" s="13"/>
    </row>
    <row r="356">
      <c r="A356" s="13"/>
    </row>
    <row r="357">
      <c r="A357" s="13"/>
    </row>
    <row r="358">
      <c r="A358" s="13"/>
    </row>
    <row r="359">
      <c r="A359" s="13"/>
    </row>
    <row r="360">
      <c r="A360" s="13"/>
    </row>
    <row r="361">
      <c r="A361" s="13"/>
    </row>
    <row r="362">
      <c r="A362" s="13"/>
    </row>
    <row r="363">
      <c r="A363" s="13"/>
    </row>
    <row r="364">
      <c r="A364" s="13"/>
    </row>
    <row r="365">
      <c r="A365" s="13"/>
    </row>
    <row r="366">
      <c r="A366" s="13"/>
    </row>
    <row r="367">
      <c r="A367" s="13"/>
    </row>
    <row r="368">
      <c r="A368" s="13"/>
    </row>
    <row r="369">
      <c r="A369" s="13"/>
    </row>
    <row r="370">
      <c r="A370" s="13"/>
    </row>
    <row r="371">
      <c r="A371" s="13"/>
    </row>
    <row r="372">
      <c r="A372" s="13"/>
    </row>
    <row r="373">
      <c r="A373" s="13"/>
    </row>
    <row r="374">
      <c r="A374" s="13"/>
    </row>
    <row r="375">
      <c r="A375" s="13"/>
    </row>
    <row r="376">
      <c r="A376" s="13"/>
    </row>
    <row r="377">
      <c r="A377" s="13"/>
    </row>
    <row r="378">
      <c r="A378" s="13"/>
    </row>
    <row r="379">
      <c r="A379" s="13"/>
    </row>
    <row r="380">
      <c r="A380" s="13"/>
    </row>
    <row r="381">
      <c r="A381" s="13"/>
    </row>
    <row r="382">
      <c r="A382" s="13"/>
    </row>
    <row r="383">
      <c r="A383" s="13"/>
    </row>
    <row r="384">
      <c r="A384" s="13"/>
    </row>
    <row r="385">
      <c r="A385" s="13"/>
    </row>
    <row r="386">
      <c r="A386" s="13"/>
    </row>
    <row r="387">
      <c r="A387" s="13"/>
    </row>
    <row r="388">
      <c r="A388" s="13"/>
    </row>
    <row r="389">
      <c r="A389" s="13"/>
    </row>
    <row r="390">
      <c r="A390" s="13"/>
    </row>
    <row r="391">
      <c r="A391" s="13"/>
    </row>
    <row r="392">
      <c r="A392" s="13"/>
    </row>
    <row r="393">
      <c r="A393" s="13"/>
    </row>
    <row r="394">
      <c r="A394" s="13"/>
    </row>
    <row r="395">
      <c r="A395" s="13"/>
    </row>
    <row r="396">
      <c r="A396" s="13"/>
    </row>
    <row r="397">
      <c r="A397" s="13"/>
    </row>
    <row r="398">
      <c r="A398" s="13"/>
    </row>
    <row r="399">
      <c r="A399" s="13"/>
    </row>
    <row r="400">
      <c r="A400" s="13"/>
    </row>
    <row r="401">
      <c r="A401" s="13"/>
    </row>
    <row r="402">
      <c r="A402" s="13"/>
    </row>
    <row r="403">
      <c r="A403" s="13"/>
    </row>
    <row r="404">
      <c r="A404" s="13"/>
    </row>
    <row r="405">
      <c r="A405" s="13"/>
    </row>
    <row r="406">
      <c r="A406" s="13"/>
    </row>
    <row r="407">
      <c r="A407" s="13"/>
    </row>
    <row r="408">
      <c r="A408" s="13"/>
    </row>
    <row r="409">
      <c r="A409" s="13"/>
    </row>
    <row r="410">
      <c r="A410" s="13"/>
    </row>
    <row r="411">
      <c r="A411" s="13"/>
    </row>
    <row r="412">
      <c r="A412" s="13"/>
    </row>
    <row r="413">
      <c r="A413" s="13"/>
    </row>
    <row r="414">
      <c r="A414" s="13"/>
    </row>
    <row r="415">
      <c r="A415" s="13"/>
    </row>
    <row r="416">
      <c r="A416" s="13"/>
    </row>
    <row r="417">
      <c r="A417" s="13"/>
    </row>
    <row r="418">
      <c r="A418" s="13"/>
    </row>
    <row r="419">
      <c r="A419" s="13"/>
    </row>
    <row r="420">
      <c r="A420" s="13"/>
    </row>
    <row r="421">
      <c r="A421" s="13"/>
    </row>
    <row r="422">
      <c r="A422" s="13"/>
    </row>
    <row r="423">
      <c r="A423" s="13"/>
    </row>
    <row r="424">
      <c r="A424" s="13"/>
    </row>
    <row r="425">
      <c r="A425" s="13"/>
    </row>
    <row r="426">
      <c r="A426" s="13"/>
    </row>
    <row r="427">
      <c r="A427" s="13"/>
    </row>
    <row r="428">
      <c r="A428" s="13"/>
    </row>
    <row r="429">
      <c r="A429" s="13"/>
    </row>
    <row r="430">
      <c r="A430" s="13"/>
    </row>
    <row r="431">
      <c r="A431" s="13"/>
    </row>
    <row r="432">
      <c r="A432" s="13"/>
    </row>
    <row r="433">
      <c r="A433" s="13"/>
    </row>
    <row r="434">
      <c r="A434" s="13"/>
    </row>
    <row r="435">
      <c r="A435" s="13"/>
    </row>
    <row r="436">
      <c r="A436" s="13"/>
    </row>
    <row r="437">
      <c r="A437" s="13"/>
    </row>
    <row r="438">
      <c r="A438" s="13"/>
    </row>
    <row r="439">
      <c r="A439" s="13"/>
    </row>
    <row r="440">
      <c r="A440" s="13"/>
    </row>
    <row r="441">
      <c r="A441" s="13"/>
    </row>
    <row r="442">
      <c r="A442" s="13"/>
    </row>
    <row r="443">
      <c r="A443" s="13"/>
    </row>
    <row r="444">
      <c r="A444" s="13"/>
    </row>
    <row r="445">
      <c r="A445" s="13"/>
    </row>
    <row r="446">
      <c r="A446" s="13"/>
    </row>
    <row r="447">
      <c r="A447" s="13"/>
    </row>
    <row r="448">
      <c r="A448" s="13"/>
    </row>
    <row r="449">
      <c r="A449" s="13"/>
    </row>
    <row r="450">
      <c r="A450" s="13"/>
    </row>
    <row r="451">
      <c r="A451" s="13"/>
    </row>
    <row r="452">
      <c r="A452" s="13"/>
    </row>
    <row r="453">
      <c r="A453" s="13"/>
    </row>
    <row r="454">
      <c r="A454" s="13"/>
    </row>
    <row r="455">
      <c r="A455" s="13"/>
    </row>
    <row r="456">
      <c r="A456" s="13"/>
    </row>
    <row r="457">
      <c r="A457" s="13"/>
    </row>
    <row r="458">
      <c r="A458" s="13"/>
    </row>
    <row r="459">
      <c r="A459" s="13"/>
    </row>
    <row r="460">
      <c r="A460" s="13"/>
    </row>
    <row r="461">
      <c r="A461" s="13"/>
    </row>
    <row r="462">
      <c r="A462" s="13"/>
    </row>
    <row r="463">
      <c r="A463" s="13"/>
    </row>
    <row r="464">
      <c r="A464" s="13"/>
    </row>
    <row r="465">
      <c r="A465" s="13"/>
    </row>
    <row r="466">
      <c r="A466" s="13"/>
    </row>
    <row r="467">
      <c r="A467" s="13"/>
    </row>
    <row r="468">
      <c r="A468" s="13"/>
    </row>
    <row r="469">
      <c r="A469" s="13"/>
    </row>
    <row r="470">
      <c r="A470" s="13"/>
    </row>
    <row r="471">
      <c r="A471" s="13"/>
    </row>
    <row r="472">
      <c r="A472" s="13"/>
    </row>
    <row r="473">
      <c r="A473" s="13"/>
    </row>
    <row r="474">
      <c r="A474" s="13"/>
    </row>
    <row r="475">
      <c r="A475" s="13"/>
    </row>
    <row r="476">
      <c r="A476" s="13"/>
    </row>
    <row r="477">
      <c r="A477" s="13"/>
    </row>
    <row r="478">
      <c r="A478" s="13"/>
    </row>
    <row r="479">
      <c r="A479" s="13"/>
    </row>
    <row r="480">
      <c r="A480" s="13"/>
    </row>
    <row r="481">
      <c r="A481" s="13"/>
    </row>
    <row r="482">
      <c r="A482" s="13"/>
    </row>
    <row r="483">
      <c r="A483" s="13"/>
    </row>
    <row r="484">
      <c r="A484" s="13"/>
    </row>
    <row r="485">
      <c r="A485" s="13"/>
    </row>
    <row r="486">
      <c r="A486" s="13"/>
    </row>
    <row r="487">
      <c r="A487" s="13"/>
    </row>
    <row r="488">
      <c r="A488" s="13"/>
    </row>
    <row r="489">
      <c r="A489" s="13"/>
    </row>
    <row r="490">
      <c r="A490" s="13"/>
    </row>
    <row r="491">
      <c r="A491" s="13"/>
    </row>
    <row r="492">
      <c r="A492" s="13"/>
    </row>
    <row r="493">
      <c r="A493" s="13"/>
    </row>
    <row r="494">
      <c r="A494" s="13"/>
    </row>
    <row r="495">
      <c r="A495" s="13"/>
    </row>
    <row r="496">
      <c r="A496" s="13"/>
    </row>
    <row r="497">
      <c r="A497" s="13"/>
    </row>
    <row r="498">
      <c r="A498" s="13"/>
    </row>
    <row r="499">
      <c r="A499" s="13"/>
    </row>
    <row r="500">
      <c r="A500" s="13"/>
    </row>
    <row r="501">
      <c r="A501" s="13"/>
    </row>
    <row r="502">
      <c r="A502" s="13"/>
    </row>
    <row r="503">
      <c r="A503" s="13"/>
    </row>
    <row r="504">
      <c r="A504" s="13"/>
    </row>
    <row r="505">
      <c r="A505" s="13"/>
    </row>
    <row r="506">
      <c r="A506" s="13"/>
    </row>
    <row r="507">
      <c r="A507" s="13"/>
    </row>
    <row r="508">
      <c r="A508" s="13"/>
    </row>
    <row r="509">
      <c r="A509" s="13"/>
    </row>
    <row r="510">
      <c r="A510" s="13"/>
    </row>
    <row r="511">
      <c r="A511" s="13"/>
    </row>
    <row r="512">
      <c r="A512" s="13"/>
    </row>
    <row r="513">
      <c r="A513" s="13"/>
    </row>
    <row r="514">
      <c r="A514" s="13"/>
    </row>
    <row r="515">
      <c r="A515" s="13"/>
    </row>
    <row r="516">
      <c r="A516" s="13"/>
    </row>
    <row r="517">
      <c r="A517" s="13"/>
    </row>
    <row r="518">
      <c r="A518" s="13"/>
    </row>
    <row r="519">
      <c r="A519" s="13"/>
    </row>
    <row r="520">
      <c r="A520" s="13"/>
    </row>
    <row r="521">
      <c r="A521" s="13"/>
    </row>
    <row r="522">
      <c r="A522" s="13"/>
    </row>
    <row r="523">
      <c r="A523" s="13"/>
    </row>
    <row r="524">
      <c r="A524" s="13"/>
    </row>
    <row r="525">
      <c r="A525" s="13"/>
    </row>
    <row r="526">
      <c r="A526" s="13"/>
    </row>
    <row r="527">
      <c r="A527" s="13"/>
    </row>
    <row r="528">
      <c r="A528" s="13"/>
    </row>
    <row r="529">
      <c r="A529" s="13"/>
    </row>
    <row r="530">
      <c r="A530" s="13"/>
    </row>
    <row r="531">
      <c r="A531" s="13"/>
    </row>
    <row r="532">
      <c r="A532" s="13"/>
    </row>
    <row r="533">
      <c r="A533" s="13"/>
    </row>
    <row r="534">
      <c r="A534" s="13"/>
    </row>
    <row r="535">
      <c r="A535" s="13"/>
    </row>
    <row r="536">
      <c r="A536" s="13"/>
    </row>
    <row r="537">
      <c r="A537" s="13"/>
    </row>
    <row r="538">
      <c r="A538" s="13"/>
    </row>
    <row r="539">
      <c r="A539" s="13"/>
    </row>
    <row r="540">
      <c r="A540" s="13"/>
    </row>
    <row r="541">
      <c r="A541" s="13"/>
    </row>
    <row r="542">
      <c r="A542" s="13"/>
    </row>
    <row r="543">
      <c r="A543" s="13"/>
    </row>
    <row r="544">
      <c r="A544" s="13"/>
    </row>
    <row r="545">
      <c r="A545" s="13"/>
    </row>
    <row r="546">
      <c r="A546" s="13"/>
    </row>
    <row r="547">
      <c r="A547" s="13"/>
    </row>
    <row r="548">
      <c r="A548" s="13"/>
    </row>
    <row r="549">
      <c r="A549" s="13"/>
    </row>
    <row r="550">
      <c r="A550" s="13"/>
    </row>
    <row r="551">
      <c r="A551" s="13"/>
    </row>
    <row r="552">
      <c r="A552" s="13"/>
    </row>
    <row r="553">
      <c r="A553" s="13"/>
    </row>
    <row r="554">
      <c r="A554" s="13"/>
    </row>
    <row r="555">
      <c r="A555" s="13"/>
    </row>
    <row r="556">
      <c r="A556" s="13"/>
    </row>
    <row r="557">
      <c r="A557" s="13"/>
    </row>
    <row r="558">
      <c r="A558" s="13"/>
    </row>
    <row r="559">
      <c r="A559" s="13"/>
    </row>
    <row r="560">
      <c r="A560" s="13"/>
    </row>
    <row r="561">
      <c r="A561" s="13"/>
    </row>
    <row r="562">
      <c r="A562" s="13"/>
    </row>
    <row r="563">
      <c r="A563" s="13"/>
    </row>
    <row r="564">
      <c r="A564" s="13"/>
    </row>
    <row r="565">
      <c r="A565" s="13"/>
    </row>
    <row r="566">
      <c r="A566" s="13"/>
    </row>
    <row r="567">
      <c r="A567" s="13"/>
    </row>
    <row r="568">
      <c r="A568" s="13"/>
    </row>
    <row r="569">
      <c r="A569" s="13"/>
    </row>
    <row r="570">
      <c r="A570" s="13"/>
    </row>
    <row r="571">
      <c r="A571" s="13"/>
    </row>
    <row r="572">
      <c r="A572" s="13"/>
    </row>
    <row r="573">
      <c r="A573" s="13"/>
    </row>
    <row r="574">
      <c r="A574" s="13"/>
    </row>
    <row r="575">
      <c r="A575" s="13"/>
    </row>
    <row r="576">
      <c r="A576" s="13"/>
    </row>
    <row r="577">
      <c r="A577" s="13"/>
    </row>
    <row r="578">
      <c r="A578" s="13"/>
    </row>
    <row r="579">
      <c r="A579" s="13"/>
    </row>
    <row r="580">
      <c r="A580" s="13"/>
    </row>
    <row r="581">
      <c r="A581" s="13"/>
    </row>
    <row r="582">
      <c r="A582" s="13"/>
    </row>
    <row r="583">
      <c r="A583" s="13"/>
    </row>
    <row r="584">
      <c r="A584" s="13"/>
    </row>
    <row r="585">
      <c r="A585" s="13"/>
    </row>
    <row r="586">
      <c r="A586" s="13"/>
    </row>
    <row r="587">
      <c r="A587" s="13"/>
    </row>
    <row r="588">
      <c r="A588" s="13"/>
    </row>
    <row r="589">
      <c r="A589" s="13"/>
    </row>
    <row r="590">
      <c r="A590" s="13"/>
    </row>
    <row r="591">
      <c r="A591" s="13"/>
    </row>
    <row r="592">
      <c r="A592" s="13"/>
    </row>
    <row r="593">
      <c r="A593" s="13"/>
    </row>
    <row r="594">
      <c r="A594" s="13"/>
    </row>
    <row r="595">
      <c r="A595" s="13"/>
    </row>
    <row r="596">
      <c r="A596" s="13"/>
    </row>
    <row r="597">
      <c r="A597" s="13"/>
    </row>
    <row r="598">
      <c r="A598" s="13"/>
    </row>
    <row r="599">
      <c r="A599" s="13"/>
    </row>
    <row r="600">
      <c r="A600" s="13"/>
    </row>
    <row r="601">
      <c r="A601" s="13"/>
    </row>
    <row r="602">
      <c r="A602" s="13"/>
    </row>
    <row r="603">
      <c r="A603" s="13"/>
    </row>
    <row r="604">
      <c r="A604" s="13"/>
    </row>
    <row r="605">
      <c r="A605" s="13"/>
    </row>
    <row r="606">
      <c r="A606" s="13"/>
    </row>
    <row r="607">
      <c r="A607" s="13"/>
    </row>
    <row r="608">
      <c r="A608" s="13"/>
    </row>
    <row r="609">
      <c r="A609" s="13"/>
    </row>
    <row r="610">
      <c r="A610" s="13"/>
    </row>
    <row r="611">
      <c r="A611" s="13"/>
    </row>
    <row r="612">
      <c r="A612" s="13"/>
    </row>
    <row r="613">
      <c r="A613" s="13"/>
    </row>
    <row r="614">
      <c r="A614" s="13"/>
    </row>
    <row r="615">
      <c r="A615" s="13"/>
    </row>
    <row r="616">
      <c r="A616" s="13"/>
    </row>
    <row r="617">
      <c r="A617" s="13"/>
    </row>
    <row r="618">
      <c r="A618" s="13"/>
    </row>
    <row r="619">
      <c r="A619" s="13"/>
    </row>
    <row r="620">
      <c r="A620" s="13"/>
    </row>
    <row r="621">
      <c r="A621" s="13"/>
    </row>
    <row r="622">
      <c r="A622" s="13"/>
    </row>
    <row r="623">
      <c r="A623" s="13"/>
    </row>
    <row r="624">
      <c r="A624" s="13"/>
    </row>
    <row r="625">
      <c r="A625" s="13"/>
    </row>
    <row r="626">
      <c r="A626" s="13"/>
    </row>
    <row r="627">
      <c r="A627" s="13"/>
    </row>
    <row r="628">
      <c r="A628" s="13"/>
    </row>
    <row r="629">
      <c r="A629" s="13"/>
    </row>
    <row r="630">
      <c r="A630" s="13"/>
    </row>
    <row r="631">
      <c r="A631" s="13"/>
    </row>
    <row r="632">
      <c r="A632" s="13"/>
    </row>
    <row r="633">
      <c r="A633" s="13"/>
    </row>
    <row r="634">
      <c r="A634" s="13"/>
    </row>
    <row r="635">
      <c r="A635" s="13"/>
    </row>
    <row r="636">
      <c r="A636" s="13"/>
    </row>
    <row r="637">
      <c r="A637" s="13"/>
    </row>
    <row r="638">
      <c r="A638" s="13"/>
    </row>
    <row r="639">
      <c r="A639" s="13"/>
    </row>
    <row r="640">
      <c r="A640" s="13"/>
    </row>
    <row r="641">
      <c r="A641" s="13"/>
    </row>
    <row r="642">
      <c r="A642" s="13"/>
    </row>
    <row r="643">
      <c r="A643" s="13"/>
    </row>
    <row r="644">
      <c r="A644" s="13"/>
    </row>
    <row r="645">
      <c r="A645" s="13"/>
    </row>
    <row r="646">
      <c r="A646" s="13"/>
    </row>
    <row r="647">
      <c r="A647" s="13"/>
    </row>
    <row r="648">
      <c r="A648" s="13"/>
    </row>
    <row r="649">
      <c r="A649" s="13"/>
    </row>
    <row r="650">
      <c r="A650" s="13"/>
    </row>
    <row r="651">
      <c r="A651" s="13"/>
    </row>
    <row r="652">
      <c r="A652" s="13"/>
    </row>
    <row r="653">
      <c r="A653" s="13"/>
    </row>
    <row r="654">
      <c r="A654" s="13"/>
    </row>
    <row r="655">
      <c r="A655" s="13"/>
    </row>
    <row r="656">
      <c r="A656" s="13"/>
    </row>
    <row r="657">
      <c r="A657" s="13"/>
    </row>
    <row r="658">
      <c r="A658" s="13"/>
    </row>
    <row r="659">
      <c r="A659" s="13"/>
    </row>
    <row r="660">
      <c r="A660" s="13"/>
    </row>
    <row r="661">
      <c r="A661" s="13"/>
    </row>
    <row r="662">
      <c r="A662" s="13"/>
    </row>
    <row r="663">
      <c r="A663" s="13"/>
    </row>
    <row r="664">
      <c r="A664" s="13"/>
    </row>
    <row r="665">
      <c r="A665" s="13"/>
    </row>
    <row r="666">
      <c r="A666" s="13"/>
    </row>
    <row r="667">
      <c r="A667" s="13"/>
    </row>
    <row r="668">
      <c r="A668" s="13"/>
    </row>
    <row r="669">
      <c r="A669" s="13"/>
    </row>
    <row r="670">
      <c r="A670" s="13"/>
    </row>
    <row r="671">
      <c r="A671" s="13"/>
    </row>
    <row r="672">
      <c r="A672" s="13"/>
    </row>
    <row r="673">
      <c r="A673" s="13"/>
    </row>
    <row r="674">
      <c r="A674" s="13"/>
    </row>
    <row r="675">
      <c r="A675" s="13"/>
    </row>
    <row r="676">
      <c r="A676" s="13"/>
    </row>
    <row r="677">
      <c r="A677" s="13"/>
    </row>
    <row r="678">
      <c r="A678" s="13"/>
    </row>
    <row r="679">
      <c r="A679" s="13"/>
    </row>
    <row r="680">
      <c r="A680" s="13"/>
    </row>
    <row r="681">
      <c r="A681" s="13"/>
    </row>
    <row r="682">
      <c r="A682" s="13"/>
    </row>
    <row r="683">
      <c r="A683" s="13"/>
    </row>
    <row r="684">
      <c r="A684" s="13"/>
    </row>
    <row r="685">
      <c r="A685" s="13"/>
    </row>
    <row r="686">
      <c r="A686" s="13"/>
    </row>
    <row r="687">
      <c r="A687" s="13"/>
    </row>
    <row r="688">
      <c r="A688" s="13"/>
    </row>
    <row r="689">
      <c r="A689" s="13"/>
    </row>
    <row r="690">
      <c r="A690" s="13"/>
    </row>
    <row r="691">
      <c r="A691" s="13"/>
    </row>
    <row r="692">
      <c r="A692" s="13"/>
    </row>
    <row r="693">
      <c r="A693" s="13"/>
    </row>
    <row r="694">
      <c r="A694" s="13"/>
    </row>
    <row r="695">
      <c r="A695" s="13"/>
    </row>
    <row r="696">
      <c r="A696" s="13"/>
    </row>
    <row r="697">
      <c r="A697" s="13"/>
    </row>
    <row r="698">
      <c r="A698" s="13"/>
    </row>
    <row r="699">
      <c r="A699" s="13"/>
    </row>
    <row r="700">
      <c r="A700" s="13"/>
    </row>
    <row r="701">
      <c r="A701" s="13"/>
    </row>
    <row r="702">
      <c r="A702" s="13"/>
    </row>
    <row r="703">
      <c r="A703" s="13"/>
    </row>
    <row r="704">
      <c r="A704" s="13"/>
    </row>
    <row r="705">
      <c r="A705" s="13"/>
    </row>
    <row r="706">
      <c r="A706" s="13"/>
    </row>
    <row r="707">
      <c r="A707" s="13"/>
    </row>
    <row r="708">
      <c r="A708" s="13"/>
    </row>
    <row r="709">
      <c r="A709" s="13"/>
    </row>
    <row r="710">
      <c r="A710" s="13"/>
    </row>
    <row r="711">
      <c r="A711" s="13"/>
    </row>
    <row r="712">
      <c r="A712" s="13"/>
    </row>
    <row r="713">
      <c r="A713" s="13"/>
    </row>
    <row r="714">
      <c r="A714" s="13"/>
    </row>
    <row r="715">
      <c r="A715" s="13"/>
    </row>
    <row r="716">
      <c r="A716" s="13"/>
    </row>
    <row r="717">
      <c r="A717" s="13"/>
    </row>
    <row r="718">
      <c r="A718" s="13"/>
    </row>
    <row r="719">
      <c r="A719" s="13"/>
    </row>
    <row r="720">
      <c r="A720" s="13"/>
    </row>
    <row r="721">
      <c r="A721" s="13"/>
    </row>
    <row r="722">
      <c r="A722" s="13"/>
    </row>
    <row r="723">
      <c r="A723" s="13"/>
    </row>
    <row r="724">
      <c r="A724" s="13"/>
    </row>
    <row r="725">
      <c r="A725" s="13"/>
    </row>
    <row r="726">
      <c r="A726" s="13"/>
    </row>
    <row r="727">
      <c r="A727" s="13"/>
    </row>
    <row r="728">
      <c r="A728" s="13"/>
    </row>
    <row r="729">
      <c r="A729" s="13"/>
    </row>
    <row r="730">
      <c r="A730" s="13"/>
    </row>
    <row r="731">
      <c r="A731" s="13"/>
    </row>
    <row r="732">
      <c r="A732" s="13"/>
    </row>
    <row r="733">
      <c r="A733" s="13"/>
    </row>
    <row r="734">
      <c r="A734" s="13"/>
    </row>
    <row r="735">
      <c r="A735" s="13"/>
    </row>
    <row r="736">
      <c r="A736" s="13"/>
    </row>
    <row r="737">
      <c r="A737" s="13"/>
    </row>
    <row r="738">
      <c r="A738" s="13"/>
    </row>
    <row r="739">
      <c r="A739" s="13"/>
    </row>
    <row r="740">
      <c r="A740" s="13"/>
    </row>
    <row r="741">
      <c r="A741" s="13"/>
    </row>
    <row r="742">
      <c r="A742" s="13"/>
    </row>
    <row r="743">
      <c r="A743" s="13"/>
    </row>
    <row r="744">
      <c r="A744" s="13"/>
    </row>
    <row r="745">
      <c r="A745" s="13"/>
    </row>
    <row r="746">
      <c r="A746" s="13"/>
    </row>
    <row r="747">
      <c r="A747" s="13"/>
    </row>
    <row r="748">
      <c r="A748" s="13"/>
    </row>
    <row r="749">
      <c r="A749" s="13"/>
    </row>
    <row r="750">
      <c r="A750" s="13"/>
    </row>
    <row r="751">
      <c r="A751" s="13"/>
    </row>
    <row r="752">
      <c r="A752" s="13"/>
    </row>
    <row r="753">
      <c r="A753" s="13"/>
    </row>
    <row r="754">
      <c r="A754" s="13"/>
    </row>
    <row r="755">
      <c r="A755" s="13"/>
    </row>
    <row r="756">
      <c r="A756" s="13"/>
    </row>
    <row r="757">
      <c r="A757" s="13"/>
    </row>
    <row r="758">
      <c r="A758" s="13"/>
    </row>
    <row r="759">
      <c r="A759" s="13"/>
    </row>
    <row r="760">
      <c r="A760" s="13"/>
    </row>
    <row r="761">
      <c r="A761" s="13"/>
    </row>
    <row r="762">
      <c r="A762" s="13"/>
    </row>
    <row r="763">
      <c r="A763" s="13"/>
    </row>
    <row r="764">
      <c r="A764" s="13"/>
    </row>
    <row r="765">
      <c r="A765" s="13"/>
    </row>
    <row r="766">
      <c r="A766" s="13"/>
    </row>
    <row r="767">
      <c r="A767" s="13"/>
    </row>
    <row r="768">
      <c r="A768" s="13"/>
    </row>
    <row r="769">
      <c r="A769" s="13"/>
    </row>
    <row r="770">
      <c r="A770" s="13"/>
    </row>
    <row r="771">
      <c r="A771" s="13"/>
    </row>
    <row r="772">
      <c r="A772" s="13"/>
    </row>
    <row r="773">
      <c r="A773" s="13"/>
    </row>
    <row r="774">
      <c r="A774" s="13"/>
    </row>
    <row r="775">
      <c r="A775" s="13"/>
    </row>
    <row r="776">
      <c r="A776" s="13"/>
    </row>
    <row r="777">
      <c r="A777" s="13"/>
    </row>
    <row r="778">
      <c r="A778" s="13"/>
    </row>
    <row r="779">
      <c r="A779" s="13"/>
    </row>
    <row r="780">
      <c r="A780" s="13"/>
    </row>
    <row r="781">
      <c r="A781" s="13"/>
    </row>
    <row r="782">
      <c r="A782" s="13"/>
    </row>
    <row r="783">
      <c r="A783" s="13"/>
    </row>
    <row r="784">
      <c r="A784" s="13"/>
    </row>
    <row r="785">
      <c r="A785" s="13"/>
    </row>
    <row r="786">
      <c r="A786" s="13"/>
    </row>
    <row r="787">
      <c r="A787" s="13"/>
    </row>
    <row r="788">
      <c r="A788" s="13"/>
    </row>
    <row r="789">
      <c r="A789" s="13"/>
    </row>
    <row r="790">
      <c r="A790" s="13"/>
    </row>
    <row r="791">
      <c r="A791" s="13"/>
    </row>
    <row r="792">
      <c r="A792" s="13"/>
    </row>
    <row r="793">
      <c r="A793" s="13"/>
    </row>
    <row r="794">
      <c r="A794" s="13"/>
    </row>
    <row r="795">
      <c r="A795" s="13"/>
    </row>
    <row r="796">
      <c r="A796" s="13"/>
    </row>
    <row r="797">
      <c r="A797" s="13"/>
    </row>
    <row r="798">
      <c r="A798" s="13"/>
    </row>
    <row r="799">
      <c r="A799" s="13"/>
    </row>
    <row r="800">
      <c r="A800" s="13"/>
    </row>
    <row r="801">
      <c r="A801" s="13"/>
    </row>
    <row r="802">
      <c r="A802" s="13"/>
    </row>
    <row r="803">
      <c r="A803" s="13"/>
    </row>
    <row r="804">
      <c r="A804" s="13"/>
    </row>
    <row r="805">
      <c r="A805" s="13"/>
    </row>
    <row r="806">
      <c r="A806" s="13"/>
    </row>
    <row r="807">
      <c r="A807" s="13"/>
    </row>
    <row r="808">
      <c r="A808" s="13"/>
    </row>
    <row r="809">
      <c r="A809" s="13"/>
    </row>
    <row r="810">
      <c r="A810" s="13"/>
    </row>
    <row r="811">
      <c r="A811" s="13"/>
    </row>
    <row r="812">
      <c r="A812" s="13"/>
    </row>
    <row r="813">
      <c r="A813" s="13"/>
    </row>
    <row r="814">
      <c r="A814" s="13"/>
    </row>
    <row r="815">
      <c r="A815" s="13"/>
    </row>
    <row r="816">
      <c r="A816" s="13"/>
    </row>
    <row r="817">
      <c r="A817" s="13"/>
    </row>
    <row r="818">
      <c r="A818" s="13"/>
    </row>
    <row r="819">
      <c r="A819" s="13"/>
    </row>
    <row r="820">
      <c r="A820" s="13"/>
    </row>
    <row r="821">
      <c r="A821" s="13"/>
    </row>
    <row r="822">
      <c r="A822" s="13"/>
    </row>
    <row r="823">
      <c r="A823" s="13"/>
    </row>
    <row r="824">
      <c r="A824" s="13"/>
    </row>
    <row r="825">
      <c r="A825" s="13"/>
    </row>
    <row r="826">
      <c r="A826" s="13"/>
    </row>
    <row r="827">
      <c r="A827" s="13"/>
    </row>
    <row r="828">
      <c r="A828" s="13"/>
    </row>
    <row r="829">
      <c r="A829" s="13"/>
    </row>
    <row r="830">
      <c r="A830" s="13"/>
    </row>
    <row r="831">
      <c r="A831" s="13"/>
    </row>
    <row r="832">
      <c r="A832" s="13"/>
    </row>
    <row r="833">
      <c r="A833" s="13"/>
    </row>
    <row r="834">
      <c r="A834" s="13"/>
    </row>
    <row r="835">
      <c r="A835" s="13"/>
    </row>
    <row r="836">
      <c r="A836" s="13"/>
    </row>
    <row r="837">
      <c r="A837" s="13"/>
    </row>
    <row r="838">
      <c r="A838" s="13"/>
    </row>
    <row r="839">
      <c r="A839" s="13"/>
    </row>
    <row r="840">
      <c r="A840" s="13"/>
    </row>
    <row r="841">
      <c r="A841" s="13"/>
    </row>
    <row r="842">
      <c r="A842" s="13"/>
    </row>
    <row r="843">
      <c r="A843" s="13"/>
    </row>
    <row r="844">
      <c r="A844" s="13"/>
    </row>
    <row r="845">
      <c r="A845" s="13"/>
    </row>
    <row r="846">
      <c r="A846" s="13"/>
    </row>
    <row r="847">
      <c r="A847" s="13"/>
    </row>
    <row r="848">
      <c r="A848" s="13"/>
    </row>
    <row r="849">
      <c r="A849" s="13"/>
    </row>
    <row r="850">
      <c r="A850" s="13"/>
    </row>
    <row r="851">
      <c r="A851" s="13"/>
    </row>
    <row r="852">
      <c r="A852" s="13"/>
    </row>
    <row r="853">
      <c r="A853" s="13"/>
    </row>
    <row r="854">
      <c r="A854" s="13"/>
    </row>
    <row r="855">
      <c r="A855" s="13"/>
    </row>
    <row r="856">
      <c r="A856" s="13"/>
    </row>
    <row r="857">
      <c r="A857" s="13"/>
    </row>
    <row r="858">
      <c r="A858" s="13"/>
    </row>
    <row r="859">
      <c r="A859" s="13"/>
    </row>
    <row r="860">
      <c r="A860" s="13"/>
    </row>
    <row r="861">
      <c r="A861" s="13"/>
    </row>
    <row r="862">
      <c r="A862" s="13"/>
    </row>
    <row r="863">
      <c r="A863" s="13"/>
    </row>
    <row r="864">
      <c r="A864" s="13"/>
    </row>
    <row r="865">
      <c r="A865" s="13"/>
    </row>
    <row r="866">
      <c r="A866" s="13"/>
    </row>
    <row r="867">
      <c r="A867" s="13"/>
    </row>
    <row r="868">
      <c r="A868" s="13"/>
    </row>
    <row r="869">
      <c r="A869" s="13"/>
    </row>
    <row r="870">
      <c r="A870" s="13"/>
    </row>
    <row r="871">
      <c r="A871" s="13"/>
    </row>
    <row r="872">
      <c r="A872" s="13"/>
    </row>
    <row r="873">
      <c r="A873" s="13"/>
    </row>
    <row r="874">
      <c r="A874" s="13"/>
    </row>
    <row r="875">
      <c r="A875" s="13"/>
    </row>
    <row r="876">
      <c r="A876" s="13"/>
    </row>
    <row r="877">
      <c r="A877" s="13"/>
    </row>
    <row r="878">
      <c r="A878" s="13"/>
    </row>
    <row r="879">
      <c r="A879" s="13"/>
    </row>
    <row r="880">
      <c r="A880" s="13"/>
    </row>
    <row r="881">
      <c r="A881" s="13"/>
    </row>
    <row r="882">
      <c r="A882" s="13"/>
    </row>
    <row r="883">
      <c r="A883" s="13"/>
    </row>
    <row r="884">
      <c r="A884" s="13"/>
    </row>
    <row r="885">
      <c r="A885" s="13"/>
    </row>
    <row r="886">
      <c r="A886" s="13"/>
    </row>
    <row r="887">
      <c r="A887" s="13"/>
    </row>
    <row r="888">
      <c r="A888" s="13"/>
    </row>
    <row r="889">
      <c r="A889" s="13"/>
    </row>
    <row r="890">
      <c r="A890" s="13"/>
    </row>
    <row r="891">
      <c r="A891" s="13"/>
    </row>
    <row r="892">
      <c r="A892" s="13"/>
    </row>
    <row r="893">
      <c r="A893" s="13"/>
    </row>
    <row r="894">
      <c r="A894" s="13"/>
    </row>
    <row r="895">
      <c r="A895" s="13"/>
    </row>
    <row r="896">
      <c r="A896" s="13"/>
    </row>
    <row r="897">
      <c r="A897" s="13"/>
    </row>
    <row r="898">
      <c r="A898" s="13"/>
    </row>
    <row r="899">
      <c r="A899" s="13"/>
    </row>
    <row r="900">
      <c r="A900" s="13"/>
    </row>
    <row r="901">
      <c r="A901" s="13"/>
    </row>
    <row r="902">
      <c r="A902" s="13"/>
    </row>
    <row r="903">
      <c r="A903" s="13"/>
    </row>
    <row r="904">
      <c r="A904" s="13"/>
    </row>
    <row r="905">
      <c r="A905" s="13"/>
    </row>
    <row r="906">
      <c r="A906" s="13"/>
    </row>
    <row r="907">
      <c r="A907" s="13"/>
    </row>
    <row r="908">
      <c r="A908" s="13"/>
    </row>
    <row r="909">
      <c r="A909" s="13"/>
    </row>
    <row r="910">
      <c r="A910" s="13"/>
    </row>
    <row r="911">
      <c r="A911" s="13"/>
    </row>
    <row r="912">
      <c r="A912" s="13"/>
    </row>
    <row r="913">
      <c r="A913" s="13"/>
    </row>
    <row r="914">
      <c r="A914" s="13"/>
    </row>
    <row r="915">
      <c r="A915" s="13"/>
    </row>
    <row r="916">
      <c r="A916" s="13"/>
    </row>
    <row r="917">
      <c r="A917" s="13"/>
    </row>
    <row r="918">
      <c r="A918" s="13"/>
    </row>
    <row r="919">
      <c r="A919" s="13"/>
    </row>
    <row r="920">
      <c r="A920" s="13"/>
    </row>
    <row r="921">
      <c r="A921" s="13"/>
    </row>
    <row r="922">
      <c r="A922" s="13"/>
    </row>
    <row r="923">
      <c r="A923" s="13"/>
    </row>
    <row r="924">
      <c r="A924" s="13"/>
    </row>
    <row r="925">
      <c r="A925" s="13"/>
    </row>
    <row r="926">
      <c r="A926" s="13"/>
    </row>
    <row r="927">
      <c r="A927" s="13"/>
    </row>
    <row r="928">
      <c r="A928" s="13"/>
    </row>
    <row r="929">
      <c r="A929" s="13"/>
    </row>
    <row r="930">
      <c r="A930" s="13"/>
    </row>
    <row r="931">
      <c r="A931" s="13"/>
    </row>
    <row r="932">
      <c r="A932" s="13"/>
    </row>
    <row r="933">
      <c r="A933" s="13"/>
    </row>
    <row r="934">
      <c r="A934" s="13"/>
    </row>
    <row r="935">
      <c r="A935" s="13"/>
    </row>
    <row r="936">
      <c r="A936" s="13"/>
    </row>
    <row r="937">
      <c r="A937" s="13"/>
    </row>
    <row r="938">
      <c r="A938" s="13"/>
    </row>
    <row r="939">
      <c r="A939" s="13"/>
    </row>
    <row r="940">
      <c r="A940" s="13"/>
    </row>
    <row r="941">
      <c r="A941" s="13"/>
    </row>
    <row r="942">
      <c r="A942" s="13"/>
    </row>
    <row r="943">
      <c r="A943" s="13"/>
    </row>
    <row r="944">
      <c r="A944" s="13"/>
    </row>
    <row r="945">
      <c r="A945" s="13"/>
    </row>
    <row r="946">
      <c r="A946" s="13"/>
    </row>
    <row r="947">
      <c r="A947" s="13"/>
    </row>
    <row r="948">
      <c r="A948" s="13"/>
    </row>
    <row r="949">
      <c r="A949" s="13"/>
    </row>
    <row r="950">
      <c r="A950" s="13"/>
    </row>
    <row r="951">
      <c r="A951" s="13"/>
    </row>
    <row r="952">
      <c r="A952" s="13"/>
    </row>
    <row r="953">
      <c r="A953" s="13"/>
    </row>
    <row r="954">
      <c r="A954" s="13"/>
    </row>
  </sheetData>
  <autoFilter ref="$A$1:$I$41">
    <sortState ref="A1:I41">
      <sortCondition descending="1" ref="C1:C41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63"/>
    <col customWidth="1" min="2" max="43" width="4.38"/>
  </cols>
  <sheetData>
    <row r="1">
      <c r="A1" s="19" t="s">
        <v>49</v>
      </c>
      <c r="B1" s="20" t="s">
        <v>46</v>
      </c>
      <c r="C1" s="20" t="s">
        <v>11</v>
      </c>
      <c r="D1" s="20" t="s">
        <v>48</v>
      </c>
      <c r="E1" s="20" t="s">
        <v>26</v>
      </c>
      <c r="F1" s="20" t="s">
        <v>47</v>
      </c>
      <c r="G1" s="20" t="s">
        <v>18</v>
      </c>
      <c r="H1" s="20" t="s">
        <v>15</v>
      </c>
      <c r="I1" s="20" t="s">
        <v>19</v>
      </c>
      <c r="J1" s="20" t="s">
        <v>21</v>
      </c>
      <c r="K1" s="20" t="s">
        <v>41</v>
      </c>
      <c r="L1" s="20" t="s">
        <v>30</v>
      </c>
      <c r="M1" s="20" t="s">
        <v>20</v>
      </c>
      <c r="N1" s="20" t="s">
        <v>16</v>
      </c>
      <c r="O1" s="20" t="s">
        <v>17</v>
      </c>
      <c r="P1" s="20" t="s">
        <v>42</v>
      </c>
      <c r="Q1" s="20" t="s">
        <v>10</v>
      </c>
      <c r="R1" s="20" t="s">
        <v>35</v>
      </c>
      <c r="S1" s="20" t="s">
        <v>33</v>
      </c>
      <c r="T1" s="20" t="s">
        <v>12</v>
      </c>
      <c r="U1" s="21" t="s">
        <v>7</v>
      </c>
      <c r="V1" s="20" t="s">
        <v>44</v>
      </c>
      <c r="W1" s="20" t="s">
        <v>32</v>
      </c>
      <c r="X1" s="20" t="s">
        <v>14</v>
      </c>
      <c r="Y1" s="20" t="s">
        <v>34</v>
      </c>
      <c r="Z1" s="20" t="s">
        <v>13</v>
      </c>
      <c r="AA1" s="20" t="s">
        <v>25</v>
      </c>
      <c r="AB1" s="22" t="s">
        <v>43</v>
      </c>
      <c r="AC1" s="20" t="s">
        <v>40</v>
      </c>
      <c r="AD1" s="20" t="s">
        <v>31</v>
      </c>
      <c r="AE1" s="20" t="s">
        <v>27</v>
      </c>
      <c r="AF1" s="20" t="s">
        <v>38</v>
      </c>
      <c r="AG1" s="20" t="s">
        <v>29</v>
      </c>
      <c r="AH1" s="20" t="s">
        <v>28</v>
      </c>
      <c r="AI1" s="20" t="s">
        <v>39</v>
      </c>
      <c r="AJ1" s="23" t="s">
        <v>24</v>
      </c>
      <c r="AK1" s="20" t="s">
        <v>45</v>
      </c>
      <c r="AL1" s="20" t="s">
        <v>9</v>
      </c>
      <c r="AM1" s="20" t="s">
        <v>22</v>
      </c>
      <c r="AN1" s="21" t="s">
        <v>36</v>
      </c>
      <c r="AO1" s="20" t="s">
        <v>37</v>
      </c>
      <c r="AP1" s="24" t="s">
        <v>50</v>
      </c>
      <c r="AQ1" s="25"/>
    </row>
    <row r="2">
      <c r="A2" s="26" t="s">
        <v>51</v>
      </c>
      <c r="B2" s="27">
        <v>1.0</v>
      </c>
      <c r="C2" s="28">
        <v>4.0</v>
      </c>
      <c r="D2" s="28">
        <v>3.0</v>
      </c>
      <c r="E2" s="28">
        <v>4.0</v>
      </c>
      <c r="F2" s="28">
        <v>3.0</v>
      </c>
      <c r="G2" s="28">
        <v>5.0</v>
      </c>
      <c r="H2" s="28">
        <v>5.0</v>
      </c>
      <c r="I2" s="28">
        <v>3.0</v>
      </c>
      <c r="J2" s="28">
        <v>3.0</v>
      </c>
      <c r="K2" s="28">
        <v>2.0</v>
      </c>
      <c r="L2" s="28">
        <v>3.0</v>
      </c>
      <c r="M2" s="28">
        <v>3.0</v>
      </c>
      <c r="N2" s="28">
        <v>4.0</v>
      </c>
      <c r="O2" s="28">
        <v>4.0</v>
      </c>
      <c r="P2" s="28">
        <v>3.0</v>
      </c>
      <c r="Q2" s="28">
        <v>4.0</v>
      </c>
      <c r="R2" s="28">
        <v>3.0</v>
      </c>
      <c r="S2" s="28">
        <v>4.0</v>
      </c>
      <c r="T2" s="28">
        <v>5.0</v>
      </c>
      <c r="U2" s="28">
        <v>4.0</v>
      </c>
      <c r="V2" s="28">
        <v>3.0</v>
      </c>
      <c r="W2" s="28">
        <v>3.0</v>
      </c>
      <c r="X2" s="28">
        <v>5.0</v>
      </c>
      <c r="Y2" s="28">
        <v>3.0</v>
      </c>
      <c r="Z2" s="28">
        <v>4.0</v>
      </c>
      <c r="AA2" s="28">
        <v>5.0</v>
      </c>
      <c r="AB2" s="28">
        <v>3.0</v>
      </c>
      <c r="AC2" s="28">
        <v>3.0</v>
      </c>
      <c r="AD2" s="28">
        <v>3.0</v>
      </c>
      <c r="AE2" s="28">
        <v>3.0</v>
      </c>
      <c r="AF2" s="28">
        <v>4.0</v>
      </c>
      <c r="AG2" s="28">
        <v>3.0</v>
      </c>
      <c r="AH2" s="28">
        <v>4.0</v>
      </c>
      <c r="AI2" s="28">
        <v>4.0</v>
      </c>
      <c r="AJ2" s="28">
        <v>4.0</v>
      </c>
      <c r="AK2" s="28">
        <v>4.0</v>
      </c>
      <c r="AL2" s="28">
        <v>4.0</v>
      </c>
      <c r="AM2" s="28">
        <v>3.0</v>
      </c>
      <c r="AN2" s="28">
        <v>3.0</v>
      </c>
      <c r="AO2" s="28">
        <v>3.0</v>
      </c>
      <c r="AP2" s="29">
        <f t="shared" ref="AP2:AP40" si="1">SUM(B2:AO2)</f>
        <v>141</v>
      </c>
      <c r="AQ2" s="30">
        <f t="shared" ref="AQ2:AQ40" si="2">(AP2-$B$53)/$B$53</f>
        <v>-0.008474576271</v>
      </c>
    </row>
    <row r="3">
      <c r="A3" s="26" t="s">
        <v>52</v>
      </c>
      <c r="B3" s="28">
        <v>3.0</v>
      </c>
      <c r="C3" s="27">
        <v>1.0</v>
      </c>
      <c r="D3" s="28">
        <v>3.0</v>
      </c>
      <c r="E3" s="28">
        <v>3.0</v>
      </c>
      <c r="F3" s="28">
        <v>2.0</v>
      </c>
      <c r="G3" s="28">
        <v>3.0</v>
      </c>
      <c r="H3" s="28">
        <v>3.0</v>
      </c>
      <c r="I3" s="28">
        <v>4.0</v>
      </c>
      <c r="J3" s="28">
        <v>2.0</v>
      </c>
      <c r="K3" s="28">
        <v>2.0</v>
      </c>
      <c r="L3" s="28">
        <v>3.0</v>
      </c>
      <c r="M3" s="28">
        <v>3.0</v>
      </c>
      <c r="N3" s="28">
        <v>4.0</v>
      </c>
      <c r="O3" s="28">
        <v>5.0</v>
      </c>
      <c r="P3" s="28">
        <v>2.0</v>
      </c>
      <c r="Q3" s="28">
        <v>2.0</v>
      </c>
      <c r="R3" s="28">
        <v>3.0</v>
      </c>
      <c r="S3" s="28">
        <v>3.0</v>
      </c>
      <c r="T3" s="28">
        <v>3.0</v>
      </c>
      <c r="U3" s="28">
        <v>5.0</v>
      </c>
      <c r="V3" s="28">
        <v>2.0</v>
      </c>
      <c r="W3" s="28">
        <v>2.0</v>
      </c>
      <c r="X3" s="28">
        <v>2.0</v>
      </c>
      <c r="Y3" s="28">
        <v>3.0</v>
      </c>
      <c r="Z3" s="28">
        <v>4.0</v>
      </c>
      <c r="AA3" s="28">
        <v>5.0</v>
      </c>
      <c r="AB3" s="28">
        <v>2.0</v>
      </c>
      <c r="AC3" s="28">
        <v>2.0</v>
      </c>
      <c r="AD3" s="28">
        <v>2.0</v>
      </c>
      <c r="AE3" s="28">
        <v>3.0</v>
      </c>
      <c r="AF3" s="28">
        <v>3.0</v>
      </c>
      <c r="AG3" s="28">
        <v>2.0</v>
      </c>
      <c r="AH3" s="28">
        <v>3.0</v>
      </c>
      <c r="AI3" s="28">
        <v>2.0</v>
      </c>
      <c r="AJ3" s="28">
        <v>2.0</v>
      </c>
      <c r="AK3" s="28">
        <v>3.0</v>
      </c>
      <c r="AL3" s="28">
        <v>5.0</v>
      </c>
      <c r="AM3" s="28">
        <v>4.0</v>
      </c>
      <c r="AN3" s="28">
        <v>4.0</v>
      </c>
      <c r="AO3" s="28">
        <v>2.0</v>
      </c>
      <c r="AP3" s="29">
        <f t="shared" si="1"/>
        <v>116</v>
      </c>
      <c r="AQ3" s="30">
        <f t="shared" si="2"/>
        <v>-0.1842769564</v>
      </c>
    </row>
    <row r="4">
      <c r="A4" s="26" t="s">
        <v>53</v>
      </c>
      <c r="B4" s="28">
        <v>4.0</v>
      </c>
      <c r="C4" s="28">
        <v>3.0</v>
      </c>
      <c r="D4" s="27">
        <v>1.0</v>
      </c>
      <c r="E4" s="28">
        <v>3.0</v>
      </c>
      <c r="F4" s="28">
        <v>3.0</v>
      </c>
      <c r="G4" s="28">
        <v>3.0</v>
      </c>
      <c r="H4" s="28">
        <v>5.0</v>
      </c>
      <c r="I4" s="28">
        <v>4.0</v>
      </c>
      <c r="J4" s="28">
        <v>3.0</v>
      </c>
      <c r="K4" s="28">
        <v>3.0</v>
      </c>
      <c r="L4" s="28">
        <v>4.0</v>
      </c>
      <c r="M4" s="28">
        <v>5.0</v>
      </c>
      <c r="N4" s="28">
        <v>4.0</v>
      </c>
      <c r="O4" s="28">
        <v>5.0</v>
      </c>
      <c r="P4" s="28">
        <v>3.0</v>
      </c>
      <c r="Q4" s="28">
        <v>3.0</v>
      </c>
      <c r="R4" s="28">
        <v>4.0</v>
      </c>
      <c r="S4" s="28">
        <v>3.0</v>
      </c>
      <c r="T4" s="28">
        <v>3.0</v>
      </c>
      <c r="U4" s="28">
        <v>5.0</v>
      </c>
      <c r="V4" s="28">
        <v>3.0</v>
      </c>
      <c r="W4" s="28">
        <v>5.0</v>
      </c>
      <c r="X4" s="28">
        <v>3.0</v>
      </c>
      <c r="Y4" s="28">
        <v>4.0</v>
      </c>
      <c r="Z4" s="28">
        <v>3.0</v>
      </c>
      <c r="AA4" s="28">
        <v>4.0</v>
      </c>
      <c r="AB4" s="28">
        <v>3.0</v>
      </c>
      <c r="AC4" s="28">
        <v>4.0</v>
      </c>
      <c r="AD4" s="28">
        <v>4.0</v>
      </c>
      <c r="AE4" s="28">
        <v>4.0</v>
      </c>
      <c r="AF4" s="28">
        <v>3.0</v>
      </c>
      <c r="AG4" s="28">
        <v>5.0</v>
      </c>
      <c r="AH4" s="28">
        <v>3.0</v>
      </c>
      <c r="AI4" s="28">
        <v>3.0</v>
      </c>
      <c r="AJ4" s="28">
        <v>3.0</v>
      </c>
      <c r="AK4" s="28">
        <v>3.0</v>
      </c>
      <c r="AL4" s="28">
        <v>3.0</v>
      </c>
      <c r="AM4" s="28">
        <v>3.0</v>
      </c>
      <c r="AN4" s="28">
        <v>3.0</v>
      </c>
      <c r="AO4" s="28">
        <v>3.0</v>
      </c>
      <c r="AP4" s="29">
        <f t="shared" si="1"/>
        <v>140</v>
      </c>
      <c r="AQ4" s="30">
        <f t="shared" si="2"/>
        <v>-0.01550667147</v>
      </c>
    </row>
    <row r="5">
      <c r="A5" s="26" t="s">
        <v>54</v>
      </c>
      <c r="B5" s="28">
        <v>4.0</v>
      </c>
      <c r="C5" s="28">
        <v>4.0</v>
      </c>
      <c r="D5" s="28">
        <v>3.0</v>
      </c>
      <c r="E5" s="27">
        <v>1.0</v>
      </c>
      <c r="F5" s="28">
        <v>3.0</v>
      </c>
      <c r="G5" s="28">
        <v>4.0</v>
      </c>
      <c r="H5" s="28">
        <v>5.0</v>
      </c>
      <c r="I5" s="28">
        <v>5.0</v>
      </c>
      <c r="J5" s="28">
        <v>4.0</v>
      </c>
      <c r="K5" s="28">
        <v>3.0</v>
      </c>
      <c r="L5" s="28">
        <v>3.0</v>
      </c>
      <c r="M5" s="28">
        <v>4.0</v>
      </c>
      <c r="N5" s="28">
        <v>5.0</v>
      </c>
      <c r="O5" s="28">
        <v>4.0</v>
      </c>
      <c r="P5" s="28">
        <v>3.0</v>
      </c>
      <c r="Q5" s="28">
        <v>5.0</v>
      </c>
      <c r="R5" s="28">
        <v>3.0</v>
      </c>
      <c r="S5" s="28">
        <v>3.0</v>
      </c>
      <c r="T5" s="28">
        <v>4.0</v>
      </c>
      <c r="U5" s="28">
        <v>5.0</v>
      </c>
      <c r="V5" s="28">
        <v>3.0</v>
      </c>
      <c r="W5" s="28">
        <v>5.0</v>
      </c>
      <c r="X5" s="28">
        <v>4.0</v>
      </c>
      <c r="Y5" s="28">
        <v>4.0</v>
      </c>
      <c r="Z5" s="28">
        <v>5.0</v>
      </c>
      <c r="AA5" s="28">
        <v>5.0</v>
      </c>
      <c r="AB5" s="28">
        <v>4.0</v>
      </c>
      <c r="AC5" s="28">
        <v>3.0</v>
      </c>
      <c r="AD5" s="28">
        <v>4.0</v>
      </c>
      <c r="AE5" s="28">
        <v>4.0</v>
      </c>
      <c r="AF5" s="28">
        <v>4.0</v>
      </c>
      <c r="AG5" s="28">
        <v>4.0</v>
      </c>
      <c r="AH5" s="28">
        <v>3.0</v>
      </c>
      <c r="AI5" s="28">
        <v>4.0</v>
      </c>
      <c r="AJ5" s="28">
        <v>4.0</v>
      </c>
      <c r="AK5" s="28">
        <v>3.0</v>
      </c>
      <c r="AL5" s="28">
        <v>4.0</v>
      </c>
      <c r="AM5" s="28">
        <v>3.0</v>
      </c>
      <c r="AN5" s="28">
        <v>4.0</v>
      </c>
      <c r="AO5" s="28">
        <v>5.0</v>
      </c>
      <c r="AP5" s="29">
        <f t="shared" si="1"/>
        <v>154</v>
      </c>
      <c r="AQ5" s="30">
        <f t="shared" si="2"/>
        <v>0.08294266138</v>
      </c>
    </row>
    <row r="6">
      <c r="A6" s="26" t="s">
        <v>55</v>
      </c>
      <c r="B6" s="28">
        <v>3.0</v>
      </c>
      <c r="C6" s="28">
        <v>4.0</v>
      </c>
      <c r="D6" s="28">
        <v>3.0</v>
      </c>
      <c r="E6" s="28">
        <v>5.0</v>
      </c>
      <c r="F6" s="27">
        <v>1.0</v>
      </c>
      <c r="G6" s="28">
        <v>5.0</v>
      </c>
      <c r="H6" s="28">
        <v>3.0</v>
      </c>
      <c r="I6" s="28">
        <v>3.0</v>
      </c>
      <c r="J6" s="31">
        <v>3.0</v>
      </c>
      <c r="K6" s="28">
        <v>3.0</v>
      </c>
      <c r="L6" s="28">
        <v>3.0</v>
      </c>
      <c r="M6" s="28">
        <v>3.0</v>
      </c>
      <c r="N6" s="28">
        <v>3.0</v>
      </c>
      <c r="O6" s="28">
        <v>4.0</v>
      </c>
      <c r="P6" s="28">
        <v>4.0</v>
      </c>
      <c r="Q6" s="28">
        <v>4.0</v>
      </c>
      <c r="R6" s="28">
        <v>4.0</v>
      </c>
      <c r="S6" s="28">
        <v>3.0</v>
      </c>
      <c r="T6" s="28">
        <v>4.0</v>
      </c>
      <c r="U6" s="28">
        <v>3.0</v>
      </c>
      <c r="V6" s="28">
        <v>3.0</v>
      </c>
      <c r="W6" s="28">
        <v>3.0</v>
      </c>
      <c r="X6" s="28">
        <v>3.0</v>
      </c>
      <c r="Y6" s="28">
        <v>3.0</v>
      </c>
      <c r="Z6" s="28">
        <v>4.0</v>
      </c>
      <c r="AA6" s="28">
        <v>3.0</v>
      </c>
      <c r="AB6" s="28">
        <v>3.0</v>
      </c>
      <c r="AC6" s="28">
        <v>4.0</v>
      </c>
      <c r="AD6" s="28">
        <v>4.0</v>
      </c>
      <c r="AE6" s="28">
        <v>4.0</v>
      </c>
      <c r="AF6" s="28">
        <v>4.0</v>
      </c>
      <c r="AG6" s="28">
        <v>3.0</v>
      </c>
      <c r="AH6" s="28">
        <v>4.0</v>
      </c>
      <c r="AI6" s="28">
        <v>4.0</v>
      </c>
      <c r="AJ6" s="31">
        <v>3.0</v>
      </c>
      <c r="AK6" s="28">
        <v>3.0</v>
      </c>
      <c r="AL6" s="28">
        <v>3.0</v>
      </c>
      <c r="AM6" s="28">
        <v>4.0</v>
      </c>
      <c r="AN6" s="28">
        <v>4.0</v>
      </c>
      <c r="AO6" s="28">
        <v>4.0</v>
      </c>
      <c r="AP6" s="29">
        <f t="shared" si="1"/>
        <v>138</v>
      </c>
      <c r="AQ6" s="30">
        <f t="shared" si="2"/>
        <v>-0.02957086188</v>
      </c>
    </row>
    <row r="7">
      <c r="A7" s="26" t="s">
        <v>56</v>
      </c>
      <c r="B7" s="28">
        <v>3.0</v>
      </c>
      <c r="C7" s="28">
        <v>5.0</v>
      </c>
      <c r="D7" s="28">
        <v>2.0</v>
      </c>
      <c r="E7" s="28">
        <v>3.0</v>
      </c>
      <c r="F7" s="28">
        <v>2.0</v>
      </c>
      <c r="G7" s="27">
        <v>1.0</v>
      </c>
      <c r="H7" s="28">
        <v>4.0</v>
      </c>
      <c r="I7" s="28">
        <v>3.0</v>
      </c>
      <c r="J7" s="28">
        <v>4.0</v>
      </c>
      <c r="K7" s="28">
        <v>2.0</v>
      </c>
      <c r="L7" s="28">
        <v>5.0</v>
      </c>
      <c r="M7" s="28">
        <v>3.0</v>
      </c>
      <c r="N7" s="28">
        <v>3.0</v>
      </c>
      <c r="O7" s="28">
        <v>3.0</v>
      </c>
      <c r="P7" s="28">
        <v>3.0</v>
      </c>
      <c r="Q7" s="28">
        <v>5.0</v>
      </c>
      <c r="R7" s="28">
        <v>4.0</v>
      </c>
      <c r="S7" s="28">
        <v>3.0</v>
      </c>
      <c r="T7" s="28">
        <v>4.0</v>
      </c>
      <c r="U7" s="28">
        <v>5.0</v>
      </c>
      <c r="V7" s="28">
        <v>3.0</v>
      </c>
      <c r="W7" s="28">
        <v>5.0</v>
      </c>
      <c r="X7" s="28">
        <v>3.0</v>
      </c>
      <c r="Y7" s="28">
        <v>3.0</v>
      </c>
      <c r="Z7" s="28">
        <v>4.0</v>
      </c>
      <c r="AA7" s="28">
        <v>4.0</v>
      </c>
      <c r="AB7" s="28">
        <v>3.0</v>
      </c>
      <c r="AC7" s="28">
        <v>4.0</v>
      </c>
      <c r="AD7" s="28">
        <v>4.0</v>
      </c>
      <c r="AE7" s="28">
        <v>3.0</v>
      </c>
      <c r="AF7" s="28">
        <v>3.0</v>
      </c>
      <c r="AG7" s="28">
        <v>4.0</v>
      </c>
      <c r="AH7" s="28">
        <v>4.0</v>
      </c>
      <c r="AI7" s="28">
        <v>3.0</v>
      </c>
      <c r="AJ7" s="28">
        <v>4.0</v>
      </c>
      <c r="AK7" s="28">
        <v>2.0</v>
      </c>
      <c r="AL7" s="28">
        <v>5.0</v>
      </c>
      <c r="AM7" s="28">
        <v>3.0</v>
      </c>
      <c r="AN7" s="28">
        <v>3.0</v>
      </c>
      <c r="AO7" s="28">
        <v>3.0</v>
      </c>
      <c r="AP7" s="29">
        <f t="shared" si="1"/>
        <v>137</v>
      </c>
      <c r="AQ7" s="30">
        <f t="shared" si="2"/>
        <v>-0.03660295709</v>
      </c>
    </row>
    <row r="8">
      <c r="A8" s="26" t="s">
        <v>57</v>
      </c>
      <c r="B8" s="28">
        <v>3.0</v>
      </c>
      <c r="C8" s="28">
        <v>5.0</v>
      </c>
      <c r="D8" s="28">
        <v>3.0</v>
      </c>
      <c r="E8" s="28">
        <v>4.0</v>
      </c>
      <c r="F8" s="28">
        <v>3.0</v>
      </c>
      <c r="G8" s="28">
        <v>4.0</v>
      </c>
      <c r="H8" s="27">
        <v>1.0</v>
      </c>
      <c r="I8" s="28">
        <v>5.0</v>
      </c>
      <c r="J8" s="28">
        <v>5.0</v>
      </c>
      <c r="K8" s="28">
        <v>4.0</v>
      </c>
      <c r="L8" s="28">
        <v>4.0</v>
      </c>
      <c r="M8" s="28">
        <v>5.0</v>
      </c>
      <c r="N8" s="28">
        <v>4.0</v>
      </c>
      <c r="O8" s="28">
        <v>4.0</v>
      </c>
      <c r="P8" s="28">
        <v>4.0</v>
      </c>
      <c r="Q8" s="28">
        <v>5.0</v>
      </c>
      <c r="R8" s="28">
        <v>4.0</v>
      </c>
      <c r="S8" s="28">
        <v>4.0</v>
      </c>
      <c r="T8" s="28">
        <v>5.0</v>
      </c>
      <c r="U8" s="28">
        <v>5.0</v>
      </c>
      <c r="V8" s="28">
        <v>4.0</v>
      </c>
      <c r="W8" s="28">
        <v>5.0</v>
      </c>
      <c r="X8" s="28">
        <v>5.0</v>
      </c>
      <c r="Y8" s="28">
        <v>4.0</v>
      </c>
      <c r="Z8" s="28">
        <v>5.0</v>
      </c>
      <c r="AA8" s="28">
        <v>5.0</v>
      </c>
      <c r="AB8" s="28">
        <v>3.0</v>
      </c>
      <c r="AC8" s="28">
        <v>4.0</v>
      </c>
      <c r="AD8" s="28">
        <v>4.0</v>
      </c>
      <c r="AE8" s="28">
        <v>3.0</v>
      </c>
      <c r="AF8" s="28">
        <v>4.0</v>
      </c>
      <c r="AG8" s="28">
        <v>4.0</v>
      </c>
      <c r="AH8" s="28">
        <v>4.0</v>
      </c>
      <c r="AI8" s="28">
        <v>4.0</v>
      </c>
      <c r="AJ8" s="28">
        <v>5.0</v>
      </c>
      <c r="AK8" s="28">
        <v>3.0</v>
      </c>
      <c r="AL8" s="28">
        <v>5.0</v>
      </c>
      <c r="AM8" s="28">
        <v>4.0</v>
      </c>
      <c r="AN8" s="28">
        <v>4.0</v>
      </c>
      <c r="AO8" s="28">
        <v>4.0</v>
      </c>
      <c r="AP8" s="29">
        <f t="shared" si="1"/>
        <v>164</v>
      </c>
      <c r="AQ8" s="30">
        <f t="shared" si="2"/>
        <v>0.1532636134</v>
      </c>
    </row>
    <row r="9">
      <c r="A9" s="26" t="s">
        <v>58</v>
      </c>
      <c r="B9" s="28">
        <v>4.0</v>
      </c>
      <c r="C9" s="28">
        <v>4.0</v>
      </c>
      <c r="D9" s="28">
        <v>4.0</v>
      </c>
      <c r="E9" s="28">
        <v>4.0</v>
      </c>
      <c r="F9" s="28">
        <v>4.0</v>
      </c>
      <c r="G9" s="28">
        <v>4.0</v>
      </c>
      <c r="H9" s="28">
        <v>4.0</v>
      </c>
      <c r="I9" s="27">
        <v>1.0</v>
      </c>
      <c r="J9" s="28">
        <v>4.0</v>
      </c>
      <c r="K9" s="28">
        <v>4.0</v>
      </c>
      <c r="L9" s="28">
        <v>4.0</v>
      </c>
      <c r="M9" s="28">
        <v>4.0</v>
      </c>
      <c r="N9" s="28">
        <v>4.0</v>
      </c>
      <c r="O9" s="28">
        <v>4.0</v>
      </c>
      <c r="P9" s="28">
        <v>4.0</v>
      </c>
      <c r="Q9" s="28">
        <v>4.0</v>
      </c>
      <c r="R9" s="28">
        <v>4.0</v>
      </c>
      <c r="S9" s="28">
        <v>4.0</v>
      </c>
      <c r="T9" s="28">
        <v>4.0</v>
      </c>
      <c r="U9" s="28">
        <v>4.0</v>
      </c>
      <c r="V9" s="28">
        <v>4.0</v>
      </c>
      <c r="W9" s="28">
        <v>4.0</v>
      </c>
      <c r="X9" s="28">
        <v>4.0</v>
      </c>
      <c r="Y9" s="28">
        <v>4.0</v>
      </c>
      <c r="Z9" s="28">
        <v>4.0</v>
      </c>
      <c r="AA9" s="28">
        <v>4.0</v>
      </c>
      <c r="AB9" s="28">
        <v>4.0</v>
      </c>
      <c r="AC9" s="28">
        <v>4.0</v>
      </c>
      <c r="AD9" s="28">
        <v>4.0</v>
      </c>
      <c r="AE9" s="28">
        <v>4.0</v>
      </c>
      <c r="AF9" s="28">
        <v>4.0</v>
      </c>
      <c r="AG9" s="28">
        <v>4.0</v>
      </c>
      <c r="AH9" s="28">
        <v>4.0</v>
      </c>
      <c r="AI9" s="28">
        <v>4.0</v>
      </c>
      <c r="AJ9" s="28">
        <v>4.0</v>
      </c>
      <c r="AK9" s="28">
        <v>4.0</v>
      </c>
      <c r="AL9" s="28">
        <v>4.0</v>
      </c>
      <c r="AM9" s="28">
        <v>4.0</v>
      </c>
      <c r="AN9" s="28">
        <v>4.0</v>
      </c>
      <c r="AO9" s="28">
        <v>4.0</v>
      </c>
      <c r="AP9" s="29">
        <f t="shared" si="1"/>
        <v>157</v>
      </c>
      <c r="AQ9" s="30">
        <f t="shared" si="2"/>
        <v>0.104038947</v>
      </c>
    </row>
    <row r="10">
      <c r="A10" s="26" t="s">
        <v>59</v>
      </c>
      <c r="B10" s="28">
        <v>2.0</v>
      </c>
      <c r="C10" s="28">
        <v>5.0</v>
      </c>
      <c r="D10" s="28">
        <v>2.0</v>
      </c>
      <c r="E10" s="28">
        <v>4.0</v>
      </c>
      <c r="F10" s="28">
        <v>2.0</v>
      </c>
      <c r="G10" s="28">
        <v>4.0</v>
      </c>
      <c r="H10" s="28">
        <v>5.0</v>
      </c>
      <c r="I10" s="28">
        <v>4.0</v>
      </c>
      <c r="J10" s="27">
        <v>1.0</v>
      </c>
      <c r="K10" s="28">
        <v>5.0</v>
      </c>
      <c r="L10" s="28">
        <v>5.0</v>
      </c>
      <c r="M10" s="28">
        <v>5.0</v>
      </c>
      <c r="N10" s="28">
        <v>3.0</v>
      </c>
      <c r="O10" s="28">
        <v>4.0</v>
      </c>
      <c r="P10" s="28">
        <v>4.0</v>
      </c>
      <c r="Q10" s="28">
        <v>5.0</v>
      </c>
      <c r="R10" s="28">
        <v>3.0</v>
      </c>
      <c r="S10" s="28">
        <v>4.0</v>
      </c>
      <c r="T10" s="28">
        <v>5.0</v>
      </c>
      <c r="U10" s="28">
        <v>5.0</v>
      </c>
      <c r="V10" s="28">
        <v>3.0</v>
      </c>
      <c r="W10" s="28">
        <v>4.0</v>
      </c>
      <c r="X10" s="28">
        <v>5.0</v>
      </c>
      <c r="Y10" s="28">
        <v>5.0</v>
      </c>
      <c r="Z10" s="28">
        <v>4.0</v>
      </c>
      <c r="AA10" s="28">
        <v>4.0</v>
      </c>
      <c r="AB10" s="28">
        <v>2.0</v>
      </c>
      <c r="AC10" s="28">
        <v>3.0</v>
      </c>
      <c r="AD10" s="28">
        <v>4.0</v>
      </c>
      <c r="AE10" s="28">
        <v>4.0</v>
      </c>
      <c r="AF10" s="28">
        <v>3.0</v>
      </c>
      <c r="AG10" s="28">
        <v>4.0</v>
      </c>
      <c r="AH10" s="28">
        <v>4.0</v>
      </c>
      <c r="AI10" s="28">
        <v>3.0</v>
      </c>
      <c r="AJ10" s="28">
        <v>4.0</v>
      </c>
      <c r="AK10" s="28">
        <v>3.0</v>
      </c>
      <c r="AL10" s="28">
        <v>4.0</v>
      </c>
      <c r="AM10" s="28">
        <v>3.0</v>
      </c>
      <c r="AN10" s="28">
        <v>3.0</v>
      </c>
      <c r="AO10" s="28">
        <v>4.0</v>
      </c>
      <c r="AP10" s="29">
        <f t="shared" si="1"/>
        <v>150</v>
      </c>
      <c r="AQ10" s="30">
        <f t="shared" si="2"/>
        <v>0.05481428056</v>
      </c>
    </row>
    <row r="11">
      <c r="A11" s="26" t="s">
        <v>60</v>
      </c>
      <c r="B11" s="28">
        <v>3.0</v>
      </c>
      <c r="C11" s="28">
        <v>4.0</v>
      </c>
      <c r="D11" s="28">
        <v>2.0</v>
      </c>
      <c r="E11" s="28">
        <v>4.0</v>
      </c>
      <c r="F11" s="28">
        <v>3.0</v>
      </c>
      <c r="G11" s="28">
        <v>4.0</v>
      </c>
      <c r="H11" s="28">
        <v>5.0</v>
      </c>
      <c r="I11" s="28">
        <v>3.0</v>
      </c>
      <c r="J11" s="28">
        <v>4.0</v>
      </c>
      <c r="K11" s="27">
        <v>1.0</v>
      </c>
      <c r="L11" s="28">
        <v>4.0</v>
      </c>
      <c r="M11" s="28">
        <v>4.0</v>
      </c>
      <c r="N11" s="28">
        <v>5.0</v>
      </c>
      <c r="O11" s="28">
        <v>5.0</v>
      </c>
      <c r="P11" s="28">
        <v>3.0</v>
      </c>
      <c r="Q11" s="28">
        <v>5.0</v>
      </c>
      <c r="R11" s="28">
        <v>4.0</v>
      </c>
      <c r="S11" s="28">
        <v>4.0</v>
      </c>
      <c r="T11" s="28">
        <v>4.0</v>
      </c>
      <c r="U11" s="28">
        <v>4.0</v>
      </c>
      <c r="V11" s="28">
        <v>3.0</v>
      </c>
      <c r="W11" s="28">
        <v>4.0</v>
      </c>
      <c r="X11" s="28">
        <v>3.0</v>
      </c>
      <c r="Y11" s="28">
        <v>3.0</v>
      </c>
      <c r="Z11" s="28">
        <v>4.0</v>
      </c>
      <c r="AA11" s="28">
        <v>4.0</v>
      </c>
      <c r="AB11" s="28">
        <v>3.0</v>
      </c>
      <c r="AC11" s="28">
        <v>4.0</v>
      </c>
      <c r="AD11" s="28">
        <v>4.0</v>
      </c>
      <c r="AE11" s="28">
        <v>4.0</v>
      </c>
      <c r="AF11" s="28">
        <v>4.0</v>
      </c>
      <c r="AG11" s="28">
        <v>3.0</v>
      </c>
      <c r="AH11" s="28">
        <v>3.0</v>
      </c>
      <c r="AI11" s="28">
        <v>3.0</v>
      </c>
      <c r="AJ11" s="28">
        <v>4.0</v>
      </c>
      <c r="AK11" s="28">
        <v>3.0</v>
      </c>
      <c r="AL11" s="28">
        <v>5.0</v>
      </c>
      <c r="AM11" s="28">
        <v>4.0</v>
      </c>
      <c r="AN11" s="28">
        <v>3.0</v>
      </c>
      <c r="AO11" s="28">
        <v>3.0</v>
      </c>
      <c r="AP11" s="29">
        <f t="shared" si="1"/>
        <v>146</v>
      </c>
      <c r="AQ11" s="30">
        <f t="shared" si="2"/>
        <v>0.02668589975</v>
      </c>
    </row>
    <row r="12">
      <c r="A12" s="26" t="s">
        <v>61</v>
      </c>
      <c r="B12" s="28">
        <v>3.0</v>
      </c>
      <c r="C12" s="28">
        <v>4.0</v>
      </c>
      <c r="D12" s="28">
        <v>3.0</v>
      </c>
      <c r="E12" s="28">
        <v>4.0</v>
      </c>
      <c r="F12" s="28">
        <v>3.0</v>
      </c>
      <c r="G12" s="28">
        <v>4.0</v>
      </c>
      <c r="H12" s="28">
        <v>3.0</v>
      </c>
      <c r="I12" s="28">
        <v>5.0</v>
      </c>
      <c r="J12" s="28">
        <v>5.0</v>
      </c>
      <c r="K12" s="28">
        <v>5.0</v>
      </c>
      <c r="L12" s="27">
        <v>1.0</v>
      </c>
      <c r="M12" s="28">
        <v>4.0</v>
      </c>
      <c r="N12" s="28">
        <v>5.0</v>
      </c>
      <c r="O12" s="28">
        <v>4.0</v>
      </c>
      <c r="P12" s="28">
        <v>4.0</v>
      </c>
      <c r="Q12" s="28">
        <v>4.0</v>
      </c>
      <c r="R12" s="28">
        <v>4.0</v>
      </c>
      <c r="S12" s="28">
        <v>4.0</v>
      </c>
      <c r="T12" s="28">
        <v>3.0</v>
      </c>
      <c r="U12" s="28">
        <v>5.0</v>
      </c>
      <c r="V12" s="28">
        <v>3.0</v>
      </c>
      <c r="W12" s="28">
        <v>5.0</v>
      </c>
      <c r="X12" s="28">
        <v>4.0</v>
      </c>
      <c r="Y12" s="28">
        <v>4.0</v>
      </c>
      <c r="Z12" s="28">
        <v>4.0</v>
      </c>
      <c r="AA12" s="28">
        <v>3.0</v>
      </c>
      <c r="AB12" s="28">
        <v>3.0</v>
      </c>
      <c r="AC12" s="28">
        <v>4.0</v>
      </c>
      <c r="AD12" s="28">
        <v>5.0</v>
      </c>
      <c r="AE12" s="28">
        <v>5.0</v>
      </c>
      <c r="AF12" s="28">
        <v>3.0</v>
      </c>
      <c r="AG12" s="28">
        <v>4.0</v>
      </c>
      <c r="AH12" s="28">
        <v>4.0</v>
      </c>
      <c r="AI12" s="28">
        <v>4.0</v>
      </c>
      <c r="AJ12" s="28">
        <v>3.0</v>
      </c>
      <c r="AK12" s="28">
        <v>3.0</v>
      </c>
      <c r="AL12" s="28">
        <v>5.0</v>
      </c>
      <c r="AM12" s="28">
        <v>3.0</v>
      </c>
      <c r="AN12" s="28">
        <v>4.0</v>
      </c>
      <c r="AO12" s="28">
        <v>4.0</v>
      </c>
      <c r="AP12" s="29">
        <f t="shared" si="1"/>
        <v>154</v>
      </c>
      <c r="AQ12" s="30">
        <f t="shared" si="2"/>
        <v>0.08294266138</v>
      </c>
    </row>
    <row r="13">
      <c r="A13" s="26" t="s">
        <v>62</v>
      </c>
      <c r="B13" s="28">
        <v>3.0</v>
      </c>
      <c r="C13" s="28">
        <v>4.0</v>
      </c>
      <c r="D13" s="28">
        <v>3.0</v>
      </c>
      <c r="E13" s="28">
        <v>4.0</v>
      </c>
      <c r="F13" s="28">
        <v>3.0</v>
      </c>
      <c r="G13" s="28">
        <v>3.0</v>
      </c>
      <c r="H13" s="28">
        <v>4.0</v>
      </c>
      <c r="I13" s="28">
        <v>4.0</v>
      </c>
      <c r="J13" s="28">
        <v>4.0</v>
      </c>
      <c r="K13" s="28">
        <v>4.0</v>
      </c>
      <c r="L13" s="28">
        <v>4.0</v>
      </c>
      <c r="M13" s="27">
        <v>1.0</v>
      </c>
      <c r="N13" s="28">
        <v>3.0</v>
      </c>
      <c r="O13" s="28">
        <v>4.0</v>
      </c>
      <c r="P13" s="28">
        <v>4.0</v>
      </c>
      <c r="Q13" s="28">
        <v>5.0</v>
      </c>
      <c r="R13" s="28">
        <v>3.0</v>
      </c>
      <c r="S13" s="28">
        <v>4.0</v>
      </c>
      <c r="T13" s="28">
        <v>4.0</v>
      </c>
      <c r="U13" s="28">
        <v>5.0</v>
      </c>
      <c r="V13" s="28">
        <v>3.0</v>
      </c>
      <c r="W13" s="28">
        <v>4.0</v>
      </c>
      <c r="X13" s="28">
        <v>4.0</v>
      </c>
      <c r="Y13" s="28">
        <v>4.0</v>
      </c>
      <c r="Z13" s="28">
        <v>4.0</v>
      </c>
      <c r="AA13" s="28">
        <v>3.0</v>
      </c>
      <c r="AB13" s="28">
        <v>3.0</v>
      </c>
      <c r="AC13" s="28">
        <v>3.0</v>
      </c>
      <c r="AD13" s="28">
        <v>4.0</v>
      </c>
      <c r="AE13" s="28">
        <v>3.0</v>
      </c>
      <c r="AF13" s="28">
        <v>4.0</v>
      </c>
      <c r="AG13" s="28">
        <v>4.0</v>
      </c>
      <c r="AH13" s="28">
        <v>5.0</v>
      </c>
      <c r="AI13" s="28">
        <v>3.0</v>
      </c>
      <c r="AJ13" s="28">
        <v>4.0</v>
      </c>
      <c r="AK13" s="28">
        <v>4.0</v>
      </c>
      <c r="AL13" s="28">
        <v>5.0</v>
      </c>
      <c r="AM13" s="28">
        <v>4.0</v>
      </c>
      <c r="AN13" s="28">
        <v>3.0</v>
      </c>
      <c r="AO13" s="28">
        <v>5.0</v>
      </c>
      <c r="AP13" s="29">
        <f t="shared" si="1"/>
        <v>149</v>
      </c>
      <c r="AQ13" s="30">
        <f t="shared" si="2"/>
        <v>0.04778218536</v>
      </c>
    </row>
    <row r="14">
      <c r="A14" s="26" t="s">
        <v>63</v>
      </c>
      <c r="B14" s="28">
        <v>3.0</v>
      </c>
      <c r="C14" s="28">
        <v>5.0</v>
      </c>
      <c r="D14" s="28">
        <v>2.0</v>
      </c>
      <c r="E14" s="28">
        <v>4.0</v>
      </c>
      <c r="F14" s="28">
        <v>4.0</v>
      </c>
      <c r="G14" s="28">
        <v>4.0</v>
      </c>
      <c r="H14" s="28">
        <v>3.0</v>
      </c>
      <c r="I14" s="28">
        <v>3.0</v>
      </c>
      <c r="J14" s="28">
        <v>4.0</v>
      </c>
      <c r="K14" s="28">
        <v>3.0</v>
      </c>
      <c r="L14" s="28">
        <v>4.0</v>
      </c>
      <c r="M14" s="28">
        <v>4.0</v>
      </c>
      <c r="N14" s="27">
        <v>1.0</v>
      </c>
      <c r="O14" s="28">
        <v>3.0</v>
      </c>
      <c r="P14" s="28">
        <v>3.0</v>
      </c>
      <c r="Q14" s="28">
        <v>4.0</v>
      </c>
      <c r="R14" s="28">
        <v>3.0</v>
      </c>
      <c r="S14" s="28">
        <v>2.0</v>
      </c>
      <c r="T14" s="28">
        <v>3.0</v>
      </c>
      <c r="U14" s="28">
        <v>4.0</v>
      </c>
      <c r="V14" s="28">
        <v>2.0</v>
      </c>
      <c r="W14" s="28">
        <v>3.0</v>
      </c>
      <c r="X14" s="28">
        <v>3.0</v>
      </c>
      <c r="Y14" s="28">
        <v>2.0</v>
      </c>
      <c r="Z14" s="28">
        <v>3.0</v>
      </c>
      <c r="AA14" s="28">
        <v>4.0</v>
      </c>
      <c r="AB14" s="28">
        <v>3.0</v>
      </c>
      <c r="AC14" s="28">
        <v>4.0</v>
      </c>
      <c r="AD14" s="28">
        <v>3.0</v>
      </c>
      <c r="AE14" s="28">
        <v>3.0</v>
      </c>
      <c r="AF14" s="28">
        <v>3.0</v>
      </c>
      <c r="AG14" s="28">
        <v>4.0</v>
      </c>
      <c r="AH14" s="28">
        <v>3.0</v>
      </c>
      <c r="AI14" s="28">
        <v>2.0</v>
      </c>
      <c r="AJ14" s="28">
        <v>2.0</v>
      </c>
      <c r="AK14" s="28">
        <v>3.0</v>
      </c>
      <c r="AL14" s="28">
        <v>5.0</v>
      </c>
      <c r="AM14" s="28">
        <v>3.0</v>
      </c>
      <c r="AN14" s="28">
        <v>3.0</v>
      </c>
      <c r="AO14" s="28">
        <v>2.0</v>
      </c>
      <c r="AP14" s="29">
        <f t="shared" si="1"/>
        <v>126</v>
      </c>
      <c r="AQ14" s="30">
        <f t="shared" si="2"/>
        <v>-0.1139560043</v>
      </c>
    </row>
    <row r="15">
      <c r="A15" s="26" t="s">
        <v>64</v>
      </c>
      <c r="B15" s="28">
        <v>3.0</v>
      </c>
      <c r="C15" s="28">
        <v>5.0</v>
      </c>
      <c r="D15" s="28">
        <v>2.0</v>
      </c>
      <c r="E15" s="28">
        <v>3.0</v>
      </c>
      <c r="F15" s="28">
        <v>2.0</v>
      </c>
      <c r="G15" s="28">
        <v>3.0</v>
      </c>
      <c r="H15" s="28">
        <v>4.0</v>
      </c>
      <c r="I15" s="28">
        <v>3.0</v>
      </c>
      <c r="J15" s="28">
        <v>4.0</v>
      </c>
      <c r="K15" s="28">
        <v>3.0</v>
      </c>
      <c r="L15" s="28">
        <v>3.0</v>
      </c>
      <c r="M15" s="28">
        <v>3.0</v>
      </c>
      <c r="N15" s="28">
        <v>4.0</v>
      </c>
      <c r="O15" s="27">
        <v>1.0</v>
      </c>
      <c r="P15" s="28">
        <v>3.0</v>
      </c>
      <c r="Q15" s="28">
        <v>5.0</v>
      </c>
      <c r="R15" s="28">
        <v>3.0</v>
      </c>
      <c r="S15" s="28">
        <v>3.0</v>
      </c>
      <c r="T15" s="28">
        <v>5.0</v>
      </c>
      <c r="U15" s="28">
        <v>4.0</v>
      </c>
      <c r="V15" s="28">
        <v>3.0</v>
      </c>
      <c r="W15" s="28">
        <v>4.0</v>
      </c>
      <c r="X15" s="28">
        <v>4.0</v>
      </c>
      <c r="Y15" s="28">
        <v>4.0</v>
      </c>
      <c r="Z15" s="28">
        <v>5.0</v>
      </c>
      <c r="AA15" s="28">
        <v>3.0</v>
      </c>
      <c r="AB15" s="28">
        <v>2.0</v>
      </c>
      <c r="AC15" s="28">
        <v>3.0</v>
      </c>
      <c r="AD15" s="28">
        <v>3.0</v>
      </c>
      <c r="AE15" s="28">
        <v>4.0</v>
      </c>
      <c r="AF15" s="28">
        <v>3.0</v>
      </c>
      <c r="AG15" s="28">
        <v>3.0</v>
      </c>
      <c r="AH15" s="28">
        <v>4.0</v>
      </c>
      <c r="AI15" s="28">
        <v>4.0</v>
      </c>
      <c r="AJ15" s="28">
        <v>3.0</v>
      </c>
      <c r="AK15" s="28">
        <v>4.0</v>
      </c>
      <c r="AL15" s="28">
        <v>4.0</v>
      </c>
      <c r="AM15" s="28">
        <v>4.0</v>
      </c>
      <c r="AN15" s="28">
        <v>3.0</v>
      </c>
      <c r="AO15" s="28">
        <v>3.0</v>
      </c>
      <c r="AP15" s="29">
        <f t="shared" si="1"/>
        <v>136</v>
      </c>
      <c r="AQ15" s="30">
        <f t="shared" si="2"/>
        <v>-0.04363505229</v>
      </c>
    </row>
    <row r="16">
      <c r="A16" s="26" t="s">
        <v>65</v>
      </c>
      <c r="B16" s="28">
        <v>2.0</v>
      </c>
      <c r="C16" s="28">
        <v>4.0</v>
      </c>
      <c r="D16" s="28">
        <v>2.0</v>
      </c>
      <c r="E16" s="28">
        <v>4.0</v>
      </c>
      <c r="F16" s="28">
        <v>2.0</v>
      </c>
      <c r="G16" s="28">
        <v>3.0</v>
      </c>
      <c r="H16" s="28">
        <v>3.0</v>
      </c>
      <c r="I16" s="28">
        <v>5.0</v>
      </c>
      <c r="J16" s="28">
        <v>3.0</v>
      </c>
      <c r="K16" s="28">
        <v>3.0</v>
      </c>
      <c r="L16" s="28">
        <v>3.0</v>
      </c>
      <c r="M16" s="28">
        <v>4.0</v>
      </c>
      <c r="N16" s="28">
        <v>3.0</v>
      </c>
      <c r="O16" s="28">
        <v>4.0</v>
      </c>
      <c r="P16" s="27">
        <v>1.0</v>
      </c>
      <c r="Q16" s="28">
        <v>5.0</v>
      </c>
      <c r="R16" s="28">
        <v>4.0</v>
      </c>
      <c r="S16" s="28">
        <v>3.0</v>
      </c>
      <c r="T16" s="28">
        <v>5.0</v>
      </c>
      <c r="U16" s="28">
        <v>5.0</v>
      </c>
      <c r="V16" s="28">
        <v>4.0</v>
      </c>
      <c r="W16" s="28">
        <v>3.0</v>
      </c>
      <c r="X16" s="28">
        <v>5.0</v>
      </c>
      <c r="Y16" s="28">
        <v>4.0</v>
      </c>
      <c r="Z16" s="28">
        <v>5.0</v>
      </c>
      <c r="AA16" s="28">
        <v>3.0</v>
      </c>
      <c r="AB16" s="28">
        <v>3.0</v>
      </c>
      <c r="AC16" s="28">
        <v>2.0</v>
      </c>
      <c r="AD16" s="28">
        <v>4.0</v>
      </c>
      <c r="AE16" s="28">
        <v>4.0</v>
      </c>
      <c r="AF16" s="28">
        <v>3.0</v>
      </c>
      <c r="AG16" s="28">
        <v>4.0</v>
      </c>
      <c r="AH16" s="28">
        <v>2.0</v>
      </c>
      <c r="AI16" s="28">
        <v>5.0</v>
      </c>
      <c r="AJ16" s="28">
        <v>3.0</v>
      </c>
      <c r="AK16" s="28">
        <v>4.0</v>
      </c>
      <c r="AL16" s="28">
        <v>3.0</v>
      </c>
      <c r="AM16" s="28">
        <v>3.0</v>
      </c>
      <c r="AN16" s="28">
        <v>3.0</v>
      </c>
      <c r="AO16" s="28">
        <v>3.0</v>
      </c>
      <c r="AP16" s="29">
        <f t="shared" si="1"/>
        <v>138</v>
      </c>
      <c r="AQ16" s="30">
        <f t="shared" si="2"/>
        <v>-0.02957086188</v>
      </c>
    </row>
    <row r="17">
      <c r="A17" s="26" t="s">
        <v>66</v>
      </c>
      <c r="B17" s="28">
        <v>2.0</v>
      </c>
      <c r="C17" s="28">
        <v>5.0</v>
      </c>
      <c r="D17" s="28">
        <v>2.0</v>
      </c>
      <c r="E17" s="28">
        <v>5.0</v>
      </c>
      <c r="F17" s="28">
        <v>2.0</v>
      </c>
      <c r="G17" s="28">
        <v>5.0</v>
      </c>
      <c r="H17" s="28">
        <v>4.0</v>
      </c>
      <c r="I17" s="28">
        <v>5.0</v>
      </c>
      <c r="J17" s="28">
        <v>4.0</v>
      </c>
      <c r="K17" s="28">
        <v>3.0</v>
      </c>
      <c r="L17" s="28">
        <v>4.0</v>
      </c>
      <c r="M17" s="28">
        <v>4.0</v>
      </c>
      <c r="N17" s="28">
        <v>4.0</v>
      </c>
      <c r="O17" s="28">
        <v>4.0</v>
      </c>
      <c r="P17" s="28">
        <v>3.0</v>
      </c>
      <c r="Q17" s="27">
        <v>1.0</v>
      </c>
      <c r="R17" s="28">
        <v>3.0</v>
      </c>
      <c r="S17" s="28">
        <v>4.0</v>
      </c>
      <c r="T17" s="28">
        <v>5.0</v>
      </c>
      <c r="U17" s="28">
        <v>5.0</v>
      </c>
      <c r="V17" s="28">
        <v>3.0</v>
      </c>
      <c r="W17" s="28">
        <v>3.0</v>
      </c>
      <c r="X17" s="28">
        <v>5.0</v>
      </c>
      <c r="Y17" s="28">
        <v>3.0</v>
      </c>
      <c r="Z17" s="28">
        <v>5.0</v>
      </c>
      <c r="AA17" s="28">
        <v>4.0</v>
      </c>
      <c r="AB17" s="28">
        <v>3.0</v>
      </c>
      <c r="AC17" s="28">
        <v>3.0</v>
      </c>
      <c r="AD17" s="28">
        <v>4.0</v>
      </c>
      <c r="AE17" s="28">
        <v>4.0</v>
      </c>
      <c r="AF17" s="28">
        <v>3.0</v>
      </c>
      <c r="AG17" s="28">
        <v>4.0</v>
      </c>
      <c r="AH17" s="28">
        <v>4.0</v>
      </c>
      <c r="AI17" s="28">
        <v>4.0</v>
      </c>
      <c r="AJ17" s="28">
        <v>5.0</v>
      </c>
      <c r="AK17" s="28">
        <v>2.0</v>
      </c>
      <c r="AL17" s="28">
        <v>5.0</v>
      </c>
      <c r="AM17" s="28">
        <v>5.0</v>
      </c>
      <c r="AN17" s="28">
        <v>3.0</v>
      </c>
      <c r="AO17" s="28">
        <v>3.0</v>
      </c>
      <c r="AP17" s="29">
        <f t="shared" si="1"/>
        <v>149</v>
      </c>
      <c r="AQ17" s="30">
        <f t="shared" si="2"/>
        <v>0.04778218536</v>
      </c>
    </row>
    <row r="18">
      <c r="A18" s="26" t="s">
        <v>67</v>
      </c>
      <c r="B18" s="28">
        <v>3.0</v>
      </c>
      <c r="C18" s="28">
        <v>3.0</v>
      </c>
      <c r="D18" s="28">
        <v>2.0</v>
      </c>
      <c r="E18" s="28">
        <v>3.0</v>
      </c>
      <c r="F18" s="28">
        <v>1.0</v>
      </c>
      <c r="G18" s="28">
        <v>4.0</v>
      </c>
      <c r="H18" s="28">
        <v>3.0</v>
      </c>
      <c r="I18" s="28">
        <v>4.0</v>
      </c>
      <c r="J18" s="28">
        <v>3.0</v>
      </c>
      <c r="K18" s="28">
        <v>2.0</v>
      </c>
      <c r="L18" s="28">
        <v>5.0</v>
      </c>
      <c r="M18" s="28">
        <v>2.0</v>
      </c>
      <c r="N18" s="28">
        <v>3.0</v>
      </c>
      <c r="O18" s="28">
        <v>5.0</v>
      </c>
      <c r="P18" s="28">
        <v>2.0</v>
      </c>
      <c r="Q18" s="28">
        <v>5.0</v>
      </c>
      <c r="R18" s="27">
        <v>1.0</v>
      </c>
      <c r="S18" s="28">
        <v>2.0</v>
      </c>
      <c r="T18" s="28">
        <v>3.0</v>
      </c>
      <c r="U18" s="28">
        <v>4.0</v>
      </c>
      <c r="V18" s="28">
        <v>2.0</v>
      </c>
      <c r="W18" s="28">
        <v>4.0</v>
      </c>
      <c r="X18" s="28">
        <v>3.0</v>
      </c>
      <c r="Y18" s="28">
        <v>2.0</v>
      </c>
      <c r="Z18" s="28">
        <v>5.0</v>
      </c>
      <c r="AA18" s="28">
        <v>2.0</v>
      </c>
      <c r="AB18" s="28">
        <v>2.0</v>
      </c>
      <c r="AC18" s="28">
        <v>3.0</v>
      </c>
      <c r="AD18" s="28">
        <v>2.0</v>
      </c>
      <c r="AE18" s="28">
        <v>3.0</v>
      </c>
      <c r="AF18" s="28">
        <v>1.0</v>
      </c>
      <c r="AG18" s="28">
        <v>3.0</v>
      </c>
      <c r="AH18" s="28">
        <v>3.0</v>
      </c>
      <c r="AI18" s="28">
        <v>4.0</v>
      </c>
      <c r="AJ18" s="28">
        <v>2.0</v>
      </c>
      <c r="AK18" s="28">
        <v>3.0</v>
      </c>
      <c r="AL18" s="28">
        <v>5.0</v>
      </c>
      <c r="AM18" s="28">
        <v>4.0</v>
      </c>
      <c r="AN18" s="28">
        <v>5.0</v>
      </c>
      <c r="AO18" s="28">
        <v>3.0</v>
      </c>
      <c r="AP18" s="29">
        <f t="shared" si="1"/>
        <v>121</v>
      </c>
      <c r="AQ18" s="30">
        <f t="shared" si="2"/>
        <v>-0.1491164803</v>
      </c>
    </row>
    <row r="19">
      <c r="A19" s="26" t="s">
        <v>68</v>
      </c>
      <c r="B19" s="28">
        <v>3.0</v>
      </c>
      <c r="C19" s="28">
        <v>5.0</v>
      </c>
      <c r="D19" s="28">
        <v>3.0</v>
      </c>
      <c r="E19" s="28">
        <v>4.0</v>
      </c>
      <c r="F19" s="28">
        <v>3.0</v>
      </c>
      <c r="G19" s="28">
        <v>4.0</v>
      </c>
      <c r="H19" s="28">
        <v>4.0</v>
      </c>
      <c r="I19" s="28">
        <v>4.0</v>
      </c>
      <c r="J19" s="28">
        <v>4.0</v>
      </c>
      <c r="K19" s="28">
        <v>3.0</v>
      </c>
      <c r="L19" s="28">
        <v>4.0</v>
      </c>
      <c r="M19" s="28">
        <v>4.0</v>
      </c>
      <c r="N19" s="28">
        <v>4.0</v>
      </c>
      <c r="O19" s="28">
        <v>4.0</v>
      </c>
      <c r="P19" s="28">
        <v>3.0</v>
      </c>
      <c r="Q19" s="28">
        <v>4.0</v>
      </c>
      <c r="R19" s="28">
        <v>5.0</v>
      </c>
      <c r="S19" s="27">
        <v>1.0</v>
      </c>
      <c r="T19" s="28">
        <v>5.0</v>
      </c>
      <c r="U19" s="28">
        <v>5.0</v>
      </c>
      <c r="V19" s="28">
        <v>3.0</v>
      </c>
      <c r="W19" s="28">
        <v>4.0</v>
      </c>
      <c r="X19" s="28">
        <v>5.0</v>
      </c>
      <c r="Y19" s="28">
        <v>3.0</v>
      </c>
      <c r="Z19" s="28">
        <v>4.0</v>
      </c>
      <c r="AA19" s="28">
        <v>4.0</v>
      </c>
      <c r="AB19" s="28">
        <v>3.0</v>
      </c>
      <c r="AC19" s="28">
        <v>3.0</v>
      </c>
      <c r="AD19" s="28">
        <v>4.0</v>
      </c>
      <c r="AE19" s="28">
        <v>4.0</v>
      </c>
      <c r="AF19" s="28">
        <v>4.0</v>
      </c>
      <c r="AG19" s="28">
        <v>4.0</v>
      </c>
      <c r="AH19" s="28">
        <v>4.0</v>
      </c>
      <c r="AI19" s="28">
        <v>4.0</v>
      </c>
      <c r="AJ19" s="28">
        <v>4.0</v>
      </c>
      <c r="AK19" s="28">
        <v>3.0</v>
      </c>
      <c r="AL19" s="28">
        <v>5.0</v>
      </c>
      <c r="AM19" s="28">
        <v>4.0</v>
      </c>
      <c r="AN19" s="28">
        <v>3.0</v>
      </c>
      <c r="AO19" s="28">
        <v>3.0</v>
      </c>
      <c r="AP19" s="29">
        <f t="shared" si="1"/>
        <v>151</v>
      </c>
      <c r="AQ19" s="30">
        <f t="shared" si="2"/>
        <v>0.06184637577</v>
      </c>
    </row>
    <row r="20">
      <c r="A20" s="32" t="s">
        <v>69</v>
      </c>
      <c r="B20" s="28">
        <v>2.0</v>
      </c>
      <c r="C20" s="28">
        <v>5.0</v>
      </c>
      <c r="D20" s="28">
        <v>3.0</v>
      </c>
      <c r="E20" s="28">
        <v>5.0</v>
      </c>
      <c r="F20" s="28">
        <v>4.0</v>
      </c>
      <c r="G20" s="28">
        <v>5.0</v>
      </c>
      <c r="H20" s="28">
        <v>5.0</v>
      </c>
      <c r="I20" s="28">
        <v>4.0</v>
      </c>
      <c r="J20" s="28">
        <v>5.0</v>
      </c>
      <c r="K20" s="28">
        <v>4.0</v>
      </c>
      <c r="L20" s="28">
        <v>4.0</v>
      </c>
      <c r="M20" s="31">
        <v>3.0</v>
      </c>
      <c r="N20" s="28">
        <v>5.0</v>
      </c>
      <c r="O20" s="31">
        <v>3.0</v>
      </c>
      <c r="P20" s="28">
        <v>3.0</v>
      </c>
      <c r="Q20" s="28">
        <v>5.0</v>
      </c>
      <c r="R20" s="28">
        <v>4.0</v>
      </c>
      <c r="S20" s="31">
        <v>3.0</v>
      </c>
      <c r="T20" s="28">
        <v>5.0</v>
      </c>
      <c r="U20" s="28">
        <v>5.0</v>
      </c>
      <c r="V20" s="28">
        <v>3.0</v>
      </c>
      <c r="W20" s="28">
        <v>4.0</v>
      </c>
      <c r="X20" s="28">
        <v>4.0</v>
      </c>
      <c r="Y20" s="28">
        <v>5.0</v>
      </c>
      <c r="Z20" s="28">
        <v>4.0</v>
      </c>
      <c r="AA20" s="28">
        <v>3.0</v>
      </c>
      <c r="AB20" s="28">
        <v>4.0</v>
      </c>
      <c r="AC20" s="28">
        <v>4.0</v>
      </c>
      <c r="AD20" s="28">
        <v>5.0</v>
      </c>
      <c r="AE20" s="28">
        <v>5.0</v>
      </c>
      <c r="AF20" s="28">
        <v>3.0</v>
      </c>
      <c r="AG20" s="28">
        <v>5.0</v>
      </c>
      <c r="AH20" s="28">
        <v>5.0</v>
      </c>
      <c r="AI20" s="28">
        <v>4.0</v>
      </c>
      <c r="AJ20" s="31">
        <v>3.0</v>
      </c>
      <c r="AK20" s="28">
        <v>3.0</v>
      </c>
      <c r="AL20" s="28">
        <v>5.0</v>
      </c>
      <c r="AM20" s="28">
        <v>5.0</v>
      </c>
      <c r="AN20" s="28">
        <v>3.0</v>
      </c>
      <c r="AO20" s="28">
        <v>5.0</v>
      </c>
      <c r="AP20" s="29">
        <f t="shared" si="1"/>
        <v>164</v>
      </c>
      <c r="AQ20" s="30">
        <f t="shared" si="2"/>
        <v>0.1532636134</v>
      </c>
    </row>
    <row r="21">
      <c r="A21" s="26" t="s">
        <v>70</v>
      </c>
      <c r="B21" s="28">
        <v>3.0</v>
      </c>
      <c r="C21" s="28">
        <v>5.0</v>
      </c>
      <c r="D21" s="28">
        <v>3.0</v>
      </c>
      <c r="E21" s="28">
        <v>4.0</v>
      </c>
      <c r="F21" s="28">
        <v>3.0</v>
      </c>
      <c r="G21" s="28">
        <v>4.0</v>
      </c>
      <c r="H21" s="28">
        <v>4.0</v>
      </c>
      <c r="I21" s="28">
        <v>4.0</v>
      </c>
      <c r="J21" s="28">
        <v>4.0</v>
      </c>
      <c r="K21" s="28">
        <v>3.0</v>
      </c>
      <c r="L21" s="28">
        <v>3.0</v>
      </c>
      <c r="M21" s="28">
        <v>4.0</v>
      </c>
      <c r="N21" s="28">
        <v>4.0</v>
      </c>
      <c r="O21" s="28">
        <v>4.0</v>
      </c>
      <c r="P21" s="28">
        <v>4.0</v>
      </c>
      <c r="Q21" s="28">
        <v>4.0</v>
      </c>
      <c r="R21" s="28">
        <v>3.0</v>
      </c>
      <c r="S21" s="28">
        <v>4.0</v>
      </c>
      <c r="T21" s="27">
        <v>1.0</v>
      </c>
      <c r="U21" s="28">
        <v>5.0</v>
      </c>
      <c r="V21" s="28">
        <v>3.0</v>
      </c>
      <c r="W21" s="28">
        <v>3.0</v>
      </c>
      <c r="X21" s="28">
        <v>5.0</v>
      </c>
      <c r="Y21" s="28">
        <v>4.0</v>
      </c>
      <c r="Z21" s="28">
        <v>5.0</v>
      </c>
      <c r="AA21" s="28">
        <v>4.0</v>
      </c>
      <c r="AB21" s="28">
        <v>3.0</v>
      </c>
      <c r="AC21" s="28">
        <v>3.0</v>
      </c>
      <c r="AD21" s="28">
        <v>4.0</v>
      </c>
      <c r="AE21" s="28">
        <v>4.0</v>
      </c>
      <c r="AF21" s="28">
        <v>4.0</v>
      </c>
      <c r="AG21" s="28">
        <v>3.0</v>
      </c>
      <c r="AH21" s="28">
        <v>3.0</v>
      </c>
      <c r="AI21" s="28">
        <v>3.0</v>
      </c>
      <c r="AJ21" s="28">
        <v>4.0</v>
      </c>
      <c r="AK21" s="28">
        <v>3.0</v>
      </c>
      <c r="AL21" s="28">
        <v>5.0</v>
      </c>
      <c r="AM21" s="28">
        <v>4.0</v>
      </c>
      <c r="AN21" s="28">
        <v>3.0</v>
      </c>
      <c r="AO21" s="28">
        <v>4.0</v>
      </c>
      <c r="AP21" s="29">
        <f t="shared" si="1"/>
        <v>147</v>
      </c>
      <c r="AQ21" s="30">
        <f t="shared" si="2"/>
        <v>0.03371799495</v>
      </c>
    </row>
    <row r="22">
      <c r="A22" s="26" t="s">
        <v>71</v>
      </c>
      <c r="B22" s="28">
        <v>2.0</v>
      </c>
      <c r="C22" s="28">
        <v>4.0</v>
      </c>
      <c r="D22" s="28">
        <v>2.0</v>
      </c>
      <c r="E22" s="28">
        <v>5.0</v>
      </c>
      <c r="F22" s="28">
        <v>2.0</v>
      </c>
      <c r="G22" s="28">
        <v>4.0</v>
      </c>
      <c r="H22" s="28">
        <v>5.0</v>
      </c>
      <c r="I22" s="28">
        <v>5.0</v>
      </c>
      <c r="J22" s="28">
        <v>4.0</v>
      </c>
      <c r="K22" s="28">
        <v>3.0</v>
      </c>
      <c r="L22" s="28">
        <v>3.0</v>
      </c>
      <c r="M22" s="28">
        <v>4.0</v>
      </c>
      <c r="N22" s="28">
        <v>4.0</v>
      </c>
      <c r="O22" s="28">
        <v>4.0</v>
      </c>
      <c r="P22" s="28">
        <v>3.0</v>
      </c>
      <c r="Q22" s="28">
        <v>4.0</v>
      </c>
      <c r="R22" s="28">
        <v>3.0</v>
      </c>
      <c r="S22" s="28">
        <v>3.0</v>
      </c>
      <c r="T22" s="28">
        <v>5.0</v>
      </c>
      <c r="U22" s="27">
        <v>1.0</v>
      </c>
      <c r="V22" s="28">
        <v>3.0</v>
      </c>
      <c r="W22" s="28">
        <v>3.0</v>
      </c>
      <c r="X22" s="28">
        <v>5.0</v>
      </c>
      <c r="Y22" s="28">
        <v>3.0</v>
      </c>
      <c r="Z22" s="28">
        <v>4.0</v>
      </c>
      <c r="AA22" s="28">
        <v>5.0</v>
      </c>
      <c r="AB22" s="28">
        <v>2.0</v>
      </c>
      <c r="AC22" s="28">
        <v>3.0</v>
      </c>
      <c r="AD22" s="28">
        <v>3.0</v>
      </c>
      <c r="AE22" s="28">
        <v>3.0</v>
      </c>
      <c r="AF22" s="28">
        <v>3.0</v>
      </c>
      <c r="AG22" s="28">
        <v>3.0</v>
      </c>
      <c r="AH22" s="28">
        <v>3.0</v>
      </c>
      <c r="AI22" s="28">
        <v>3.0</v>
      </c>
      <c r="AJ22" s="28">
        <v>4.0</v>
      </c>
      <c r="AK22" s="28">
        <v>2.0</v>
      </c>
      <c r="AL22" s="28">
        <v>5.0</v>
      </c>
      <c r="AM22" s="28">
        <v>4.0</v>
      </c>
      <c r="AN22" s="28">
        <v>3.0</v>
      </c>
      <c r="AO22" s="28">
        <v>3.0</v>
      </c>
      <c r="AP22" s="29">
        <f t="shared" si="1"/>
        <v>137</v>
      </c>
      <c r="AQ22" s="30">
        <f t="shared" si="2"/>
        <v>-0.03660295709</v>
      </c>
    </row>
    <row r="23">
      <c r="A23" s="26" t="s">
        <v>72</v>
      </c>
      <c r="B23" s="28">
        <v>4.0</v>
      </c>
      <c r="C23" s="28">
        <v>5.0</v>
      </c>
      <c r="D23" s="28">
        <v>3.0</v>
      </c>
      <c r="E23" s="28">
        <v>2.0</v>
      </c>
      <c r="F23" s="28">
        <v>2.0</v>
      </c>
      <c r="G23" s="28">
        <v>4.0</v>
      </c>
      <c r="H23" s="28">
        <v>4.0</v>
      </c>
      <c r="I23" s="28">
        <v>5.0</v>
      </c>
      <c r="J23" s="28">
        <v>3.0</v>
      </c>
      <c r="K23" s="28">
        <v>2.0</v>
      </c>
      <c r="L23" s="28">
        <v>4.0</v>
      </c>
      <c r="M23" s="28">
        <v>5.0</v>
      </c>
      <c r="N23" s="28">
        <v>3.0</v>
      </c>
      <c r="O23" s="28">
        <v>4.0</v>
      </c>
      <c r="P23" s="28">
        <v>2.0</v>
      </c>
      <c r="Q23" s="28">
        <v>4.0</v>
      </c>
      <c r="R23" s="28">
        <v>5.0</v>
      </c>
      <c r="S23" s="28">
        <v>3.0</v>
      </c>
      <c r="T23" s="28">
        <v>5.0</v>
      </c>
      <c r="U23" s="28">
        <v>5.0</v>
      </c>
      <c r="V23" s="27">
        <v>1.0</v>
      </c>
      <c r="W23" s="28">
        <v>4.0</v>
      </c>
      <c r="X23" s="28">
        <v>5.0</v>
      </c>
      <c r="Y23" s="28">
        <v>3.0</v>
      </c>
      <c r="Z23" s="28">
        <v>3.0</v>
      </c>
      <c r="AA23" s="28">
        <v>3.0</v>
      </c>
      <c r="AB23" s="28">
        <v>4.0</v>
      </c>
      <c r="AC23" s="28">
        <v>3.0</v>
      </c>
      <c r="AD23" s="28">
        <v>3.0</v>
      </c>
      <c r="AE23" s="28">
        <v>3.0</v>
      </c>
      <c r="AF23" s="28">
        <v>4.0</v>
      </c>
      <c r="AG23" s="28">
        <v>5.0</v>
      </c>
      <c r="AH23" s="28">
        <v>3.0</v>
      </c>
      <c r="AI23" s="28">
        <v>3.0</v>
      </c>
      <c r="AJ23" s="28">
        <v>4.0</v>
      </c>
      <c r="AK23" s="28">
        <v>4.0</v>
      </c>
      <c r="AL23" s="28">
        <v>4.0</v>
      </c>
      <c r="AM23" s="28">
        <v>5.0</v>
      </c>
      <c r="AN23" s="28">
        <v>4.0</v>
      </c>
      <c r="AO23" s="28">
        <v>3.0</v>
      </c>
      <c r="AP23" s="29">
        <f t="shared" si="1"/>
        <v>145</v>
      </c>
      <c r="AQ23" s="30">
        <f t="shared" si="2"/>
        <v>0.01965380454</v>
      </c>
    </row>
    <row r="24">
      <c r="A24" s="26" t="s">
        <v>73</v>
      </c>
      <c r="B24" s="28">
        <v>4.0</v>
      </c>
      <c r="C24" s="28">
        <v>4.0</v>
      </c>
      <c r="D24" s="28">
        <v>3.0</v>
      </c>
      <c r="E24" s="28">
        <v>4.0</v>
      </c>
      <c r="F24" s="28">
        <v>3.0</v>
      </c>
      <c r="G24" s="28">
        <v>4.0</v>
      </c>
      <c r="H24" s="28">
        <v>4.0</v>
      </c>
      <c r="I24" s="28">
        <v>5.0</v>
      </c>
      <c r="J24" s="28">
        <v>4.0</v>
      </c>
      <c r="K24" s="28">
        <v>4.0</v>
      </c>
      <c r="L24" s="28">
        <v>3.0</v>
      </c>
      <c r="M24" s="28">
        <v>4.0</v>
      </c>
      <c r="N24" s="28">
        <v>4.0</v>
      </c>
      <c r="O24" s="28">
        <v>4.0</v>
      </c>
      <c r="P24" s="28">
        <v>3.0</v>
      </c>
      <c r="Q24" s="28">
        <v>3.0</v>
      </c>
      <c r="R24" s="28">
        <v>4.0</v>
      </c>
      <c r="S24" s="28">
        <v>3.0</v>
      </c>
      <c r="T24" s="28">
        <v>4.0</v>
      </c>
      <c r="U24" s="28">
        <v>4.0</v>
      </c>
      <c r="V24" s="28">
        <v>4.0</v>
      </c>
      <c r="W24" s="27">
        <v>1.0</v>
      </c>
      <c r="X24" s="28">
        <v>4.0</v>
      </c>
      <c r="Y24" s="28">
        <v>3.0</v>
      </c>
      <c r="Z24" s="28">
        <v>4.0</v>
      </c>
      <c r="AA24" s="28">
        <v>4.0</v>
      </c>
      <c r="AB24" s="28">
        <v>3.0</v>
      </c>
      <c r="AC24" s="28">
        <v>4.0</v>
      </c>
      <c r="AD24" s="28">
        <v>4.0</v>
      </c>
      <c r="AE24" s="28">
        <v>3.0</v>
      </c>
      <c r="AF24" s="28">
        <v>4.0</v>
      </c>
      <c r="AG24" s="28">
        <v>4.0</v>
      </c>
      <c r="AH24" s="28">
        <v>3.0</v>
      </c>
      <c r="AI24" s="28">
        <v>4.0</v>
      </c>
      <c r="AJ24" s="28">
        <v>4.0</v>
      </c>
      <c r="AK24" s="28">
        <v>4.0</v>
      </c>
      <c r="AL24" s="28">
        <v>4.0</v>
      </c>
      <c r="AM24" s="28">
        <v>3.0</v>
      </c>
      <c r="AN24" s="28">
        <v>4.0</v>
      </c>
      <c r="AO24" s="28">
        <v>3.0</v>
      </c>
      <c r="AP24" s="29">
        <f t="shared" si="1"/>
        <v>146</v>
      </c>
      <c r="AQ24" s="30">
        <f t="shared" si="2"/>
        <v>0.02668589975</v>
      </c>
    </row>
    <row r="25">
      <c r="A25" s="26" t="s">
        <v>74</v>
      </c>
      <c r="B25" s="28">
        <v>3.0</v>
      </c>
      <c r="C25" s="28">
        <v>5.0</v>
      </c>
      <c r="D25" s="28">
        <v>3.0</v>
      </c>
      <c r="E25" s="28">
        <v>4.0</v>
      </c>
      <c r="F25" s="28">
        <v>3.0</v>
      </c>
      <c r="G25" s="28">
        <v>3.0</v>
      </c>
      <c r="H25" s="28">
        <v>5.0</v>
      </c>
      <c r="I25" s="28">
        <v>3.0</v>
      </c>
      <c r="J25" s="28">
        <v>4.0</v>
      </c>
      <c r="K25" s="28">
        <v>3.0</v>
      </c>
      <c r="L25" s="28">
        <v>5.0</v>
      </c>
      <c r="M25" s="28">
        <v>3.0</v>
      </c>
      <c r="N25" s="28">
        <v>5.0</v>
      </c>
      <c r="O25" s="28">
        <v>3.0</v>
      </c>
      <c r="P25" s="28">
        <v>5.0</v>
      </c>
      <c r="Q25" s="28">
        <v>4.0</v>
      </c>
      <c r="R25" s="28">
        <v>4.0</v>
      </c>
      <c r="S25" s="28">
        <v>4.0</v>
      </c>
      <c r="T25" s="28">
        <v>5.0</v>
      </c>
      <c r="U25" s="28">
        <v>5.0</v>
      </c>
      <c r="V25" s="28">
        <v>4.0</v>
      </c>
      <c r="W25" s="28">
        <v>3.0</v>
      </c>
      <c r="X25" s="27">
        <v>1.0</v>
      </c>
      <c r="Y25" s="28">
        <v>4.0</v>
      </c>
      <c r="Z25" s="28">
        <v>5.0</v>
      </c>
      <c r="AA25" s="28">
        <v>4.0</v>
      </c>
      <c r="AB25" s="28">
        <v>3.0</v>
      </c>
      <c r="AC25" s="28">
        <v>4.0</v>
      </c>
      <c r="AD25" s="28">
        <v>4.0</v>
      </c>
      <c r="AE25" s="28">
        <v>4.0</v>
      </c>
      <c r="AF25" s="28">
        <v>4.0</v>
      </c>
      <c r="AG25" s="28">
        <v>3.0</v>
      </c>
      <c r="AH25" s="28">
        <v>4.0</v>
      </c>
      <c r="AI25" s="28">
        <v>3.0</v>
      </c>
      <c r="AJ25" s="28">
        <v>4.0</v>
      </c>
      <c r="AK25" s="28">
        <v>3.0</v>
      </c>
      <c r="AL25" s="28">
        <v>4.0</v>
      </c>
      <c r="AM25" s="28">
        <v>4.0</v>
      </c>
      <c r="AN25" s="28">
        <v>3.0</v>
      </c>
      <c r="AO25" s="28">
        <v>4.0</v>
      </c>
      <c r="AP25" s="29">
        <f t="shared" si="1"/>
        <v>151</v>
      </c>
      <c r="AQ25" s="30">
        <f t="shared" si="2"/>
        <v>0.06184637577</v>
      </c>
    </row>
    <row r="26">
      <c r="A26" s="26" t="s">
        <v>75</v>
      </c>
      <c r="B26" s="28">
        <v>3.0</v>
      </c>
      <c r="C26" s="28">
        <v>3.0</v>
      </c>
      <c r="D26" s="28">
        <v>3.0</v>
      </c>
      <c r="E26" s="28">
        <v>4.0</v>
      </c>
      <c r="F26" s="28">
        <v>3.0</v>
      </c>
      <c r="G26" s="28">
        <v>3.0</v>
      </c>
      <c r="H26" s="28">
        <v>5.0</v>
      </c>
      <c r="I26" s="28">
        <v>3.0</v>
      </c>
      <c r="J26" s="28">
        <v>3.0</v>
      </c>
      <c r="K26" s="28">
        <v>3.0</v>
      </c>
      <c r="L26" s="28">
        <v>3.0</v>
      </c>
      <c r="M26" s="28">
        <v>3.0</v>
      </c>
      <c r="N26" s="28">
        <v>5.0</v>
      </c>
      <c r="O26" s="28">
        <v>3.0</v>
      </c>
      <c r="P26" s="28">
        <v>3.0</v>
      </c>
      <c r="Q26" s="28">
        <v>4.0</v>
      </c>
      <c r="R26" s="28">
        <v>3.0</v>
      </c>
      <c r="S26" s="28">
        <v>4.0</v>
      </c>
      <c r="T26" s="28">
        <v>4.0</v>
      </c>
      <c r="U26" s="28">
        <v>4.0</v>
      </c>
      <c r="V26" s="28">
        <v>3.0</v>
      </c>
      <c r="W26" s="28">
        <v>3.0</v>
      </c>
      <c r="X26" s="28">
        <v>4.0</v>
      </c>
      <c r="Y26" s="27">
        <v>1.0</v>
      </c>
      <c r="Z26" s="28">
        <v>3.0</v>
      </c>
      <c r="AA26" s="28">
        <v>3.0</v>
      </c>
      <c r="AB26" s="28">
        <v>3.0</v>
      </c>
      <c r="AC26" s="28">
        <v>3.0</v>
      </c>
      <c r="AD26" s="28">
        <v>3.0</v>
      </c>
      <c r="AE26" s="28">
        <v>4.0</v>
      </c>
      <c r="AF26" s="28">
        <v>4.0</v>
      </c>
      <c r="AG26" s="28">
        <v>3.0</v>
      </c>
      <c r="AH26" s="28">
        <v>4.0</v>
      </c>
      <c r="AI26" s="28">
        <v>3.0</v>
      </c>
      <c r="AJ26" s="28">
        <v>4.0</v>
      </c>
      <c r="AK26" s="28">
        <v>3.0</v>
      </c>
      <c r="AL26" s="28">
        <v>4.0</v>
      </c>
      <c r="AM26" s="28">
        <v>4.0</v>
      </c>
      <c r="AN26" s="28">
        <v>3.0</v>
      </c>
      <c r="AO26" s="28">
        <v>4.0</v>
      </c>
      <c r="AP26" s="29">
        <f t="shared" si="1"/>
        <v>135</v>
      </c>
      <c r="AQ26" s="30">
        <f t="shared" si="2"/>
        <v>-0.05066714749</v>
      </c>
    </row>
    <row r="27">
      <c r="A27" s="26" t="s">
        <v>76</v>
      </c>
      <c r="B27" s="28">
        <v>3.0</v>
      </c>
      <c r="C27" s="28">
        <v>3.0</v>
      </c>
      <c r="D27" s="28">
        <v>2.0</v>
      </c>
      <c r="E27" s="28">
        <v>4.0</v>
      </c>
      <c r="F27" s="28">
        <v>2.0</v>
      </c>
      <c r="G27" s="28">
        <v>4.0</v>
      </c>
      <c r="H27" s="28">
        <v>5.0</v>
      </c>
      <c r="I27" s="28">
        <v>4.0</v>
      </c>
      <c r="J27" s="28">
        <v>4.0</v>
      </c>
      <c r="K27" s="28">
        <v>4.0</v>
      </c>
      <c r="L27" s="28">
        <v>4.0</v>
      </c>
      <c r="M27" s="28">
        <v>4.0</v>
      </c>
      <c r="N27" s="28">
        <v>5.0</v>
      </c>
      <c r="O27" s="28">
        <v>4.0</v>
      </c>
      <c r="P27" s="28">
        <v>4.0</v>
      </c>
      <c r="Q27" s="28">
        <v>4.0</v>
      </c>
      <c r="R27" s="28">
        <v>4.0</v>
      </c>
      <c r="S27" s="28">
        <v>4.0</v>
      </c>
      <c r="T27" s="28">
        <v>5.0</v>
      </c>
      <c r="U27" s="28">
        <v>5.0</v>
      </c>
      <c r="V27" s="28">
        <v>4.0</v>
      </c>
      <c r="W27" s="28">
        <v>4.0</v>
      </c>
      <c r="X27" s="28">
        <v>4.0</v>
      </c>
      <c r="Y27" s="28">
        <v>3.0</v>
      </c>
      <c r="Z27" s="27">
        <v>1.0</v>
      </c>
      <c r="AA27" s="28">
        <v>5.0</v>
      </c>
      <c r="AB27" s="28">
        <v>3.0</v>
      </c>
      <c r="AC27" s="28">
        <v>4.0</v>
      </c>
      <c r="AD27" s="28">
        <v>4.0</v>
      </c>
      <c r="AE27" s="28">
        <v>3.0</v>
      </c>
      <c r="AF27" s="28">
        <v>4.0</v>
      </c>
      <c r="AG27" s="28">
        <v>5.0</v>
      </c>
      <c r="AH27" s="28">
        <v>4.0</v>
      </c>
      <c r="AI27" s="28">
        <v>4.0</v>
      </c>
      <c r="AJ27" s="28">
        <v>4.0</v>
      </c>
      <c r="AK27" s="28">
        <v>3.0</v>
      </c>
      <c r="AL27" s="28">
        <v>4.0</v>
      </c>
      <c r="AM27" s="28">
        <v>4.0</v>
      </c>
      <c r="AN27" s="28">
        <v>4.0</v>
      </c>
      <c r="AO27" s="28">
        <v>3.0</v>
      </c>
      <c r="AP27" s="29">
        <f t="shared" si="1"/>
        <v>152</v>
      </c>
      <c r="AQ27" s="30">
        <f t="shared" si="2"/>
        <v>0.06887847097</v>
      </c>
    </row>
    <row r="28">
      <c r="A28" s="26" t="s">
        <v>77</v>
      </c>
      <c r="B28" s="28">
        <v>2.0</v>
      </c>
      <c r="C28" s="28">
        <v>4.0</v>
      </c>
      <c r="D28" s="28">
        <v>2.0</v>
      </c>
      <c r="E28" s="28">
        <v>3.0</v>
      </c>
      <c r="F28" s="28">
        <v>2.0</v>
      </c>
      <c r="G28" s="28">
        <v>4.0</v>
      </c>
      <c r="H28" s="28">
        <v>4.0</v>
      </c>
      <c r="I28" s="28">
        <v>4.0</v>
      </c>
      <c r="J28" s="28">
        <v>3.0</v>
      </c>
      <c r="K28" s="28">
        <v>4.0</v>
      </c>
      <c r="L28" s="28">
        <v>5.0</v>
      </c>
      <c r="M28" s="28">
        <v>4.0</v>
      </c>
      <c r="N28" s="28">
        <v>4.0</v>
      </c>
      <c r="O28" s="28">
        <v>4.0</v>
      </c>
      <c r="P28" s="28">
        <v>3.0</v>
      </c>
      <c r="Q28" s="28">
        <v>4.0</v>
      </c>
      <c r="R28" s="28">
        <v>3.0</v>
      </c>
      <c r="S28" s="28">
        <v>4.0</v>
      </c>
      <c r="T28" s="28">
        <v>4.0</v>
      </c>
      <c r="U28" s="28">
        <v>4.0</v>
      </c>
      <c r="V28" s="28">
        <v>4.0</v>
      </c>
      <c r="W28" s="28">
        <v>3.0</v>
      </c>
      <c r="X28" s="28">
        <v>5.0</v>
      </c>
      <c r="Y28" s="28">
        <v>4.0</v>
      </c>
      <c r="Z28" s="28">
        <v>4.0</v>
      </c>
      <c r="AA28" s="27">
        <v>1.0</v>
      </c>
      <c r="AB28" s="28">
        <v>3.0</v>
      </c>
      <c r="AC28" s="28">
        <v>3.0</v>
      </c>
      <c r="AD28" s="28">
        <v>4.0</v>
      </c>
      <c r="AE28" s="28">
        <v>4.0</v>
      </c>
      <c r="AF28" s="28">
        <v>3.0</v>
      </c>
      <c r="AG28" s="28">
        <v>3.0</v>
      </c>
      <c r="AH28" s="28">
        <v>4.0</v>
      </c>
      <c r="AI28" s="28">
        <v>2.0</v>
      </c>
      <c r="AJ28" s="28">
        <v>5.0</v>
      </c>
      <c r="AK28" s="28">
        <v>2.0</v>
      </c>
      <c r="AL28" s="28">
        <v>4.0</v>
      </c>
      <c r="AM28" s="28">
        <v>5.0</v>
      </c>
      <c r="AN28" s="28">
        <v>3.0</v>
      </c>
      <c r="AO28" s="28">
        <v>3.0</v>
      </c>
      <c r="AP28" s="29">
        <f t="shared" si="1"/>
        <v>140</v>
      </c>
      <c r="AQ28" s="30">
        <f t="shared" si="2"/>
        <v>-0.01550667147</v>
      </c>
    </row>
    <row r="29">
      <c r="A29" s="26" t="s">
        <v>78</v>
      </c>
      <c r="B29" s="28">
        <v>3.0</v>
      </c>
      <c r="C29" s="28">
        <v>4.0</v>
      </c>
      <c r="D29" s="28">
        <v>3.0</v>
      </c>
      <c r="E29" s="28">
        <v>4.0</v>
      </c>
      <c r="F29" s="28">
        <v>3.0</v>
      </c>
      <c r="G29" s="28">
        <v>3.0</v>
      </c>
      <c r="H29" s="28">
        <v>4.0</v>
      </c>
      <c r="I29" s="28">
        <v>4.0</v>
      </c>
      <c r="J29" s="28">
        <v>4.0</v>
      </c>
      <c r="K29" s="28">
        <v>3.0</v>
      </c>
      <c r="L29" s="28">
        <v>4.0</v>
      </c>
      <c r="M29" s="28">
        <v>4.0</v>
      </c>
      <c r="N29" s="28">
        <v>3.0</v>
      </c>
      <c r="O29" s="28">
        <v>5.0</v>
      </c>
      <c r="P29" s="28">
        <v>3.0</v>
      </c>
      <c r="Q29" s="28">
        <v>4.0</v>
      </c>
      <c r="R29" s="28">
        <v>4.0</v>
      </c>
      <c r="S29" s="28">
        <v>4.0</v>
      </c>
      <c r="T29" s="28">
        <v>4.0</v>
      </c>
      <c r="U29" s="28">
        <v>5.0</v>
      </c>
      <c r="V29" s="28">
        <v>3.0</v>
      </c>
      <c r="W29" s="28">
        <v>4.0</v>
      </c>
      <c r="X29" s="28">
        <v>5.0</v>
      </c>
      <c r="Y29" s="28">
        <v>4.0</v>
      </c>
      <c r="Z29" s="28">
        <v>5.0</v>
      </c>
      <c r="AA29" s="28">
        <v>4.0</v>
      </c>
      <c r="AB29" s="28">
        <v>4.0</v>
      </c>
      <c r="AC29" s="27">
        <v>1.0</v>
      </c>
      <c r="AD29" s="28">
        <v>4.0</v>
      </c>
      <c r="AE29" s="28">
        <v>4.0</v>
      </c>
      <c r="AF29" s="28">
        <v>4.0</v>
      </c>
      <c r="AG29" s="28">
        <v>4.0</v>
      </c>
      <c r="AH29" s="28">
        <v>4.0</v>
      </c>
      <c r="AI29" s="28">
        <v>4.0</v>
      </c>
      <c r="AJ29" s="28">
        <v>4.0</v>
      </c>
      <c r="AK29" s="28">
        <v>3.0</v>
      </c>
      <c r="AL29" s="28">
        <v>4.0</v>
      </c>
      <c r="AM29" s="28">
        <v>5.0</v>
      </c>
      <c r="AN29" s="28">
        <v>3.0</v>
      </c>
      <c r="AO29" s="28">
        <v>4.0</v>
      </c>
      <c r="AP29" s="29">
        <f t="shared" si="1"/>
        <v>152</v>
      </c>
      <c r="AQ29" s="30">
        <f t="shared" si="2"/>
        <v>0.06887847097</v>
      </c>
    </row>
    <row r="30">
      <c r="A30" s="26" t="s">
        <v>79</v>
      </c>
      <c r="B30" s="28">
        <v>2.0</v>
      </c>
      <c r="C30" s="28">
        <v>5.0</v>
      </c>
      <c r="D30" s="28">
        <v>3.0</v>
      </c>
      <c r="E30" s="28">
        <v>3.0</v>
      </c>
      <c r="F30" s="28">
        <v>3.0</v>
      </c>
      <c r="G30" s="28">
        <v>4.0</v>
      </c>
      <c r="H30" s="28">
        <v>5.0</v>
      </c>
      <c r="I30" s="28">
        <v>4.0</v>
      </c>
      <c r="J30" s="28">
        <v>4.0</v>
      </c>
      <c r="K30" s="28">
        <v>3.0</v>
      </c>
      <c r="L30" s="28">
        <v>4.0</v>
      </c>
      <c r="M30" s="28">
        <v>5.0</v>
      </c>
      <c r="N30" s="28">
        <v>4.0</v>
      </c>
      <c r="O30" s="28">
        <v>5.0</v>
      </c>
      <c r="P30" s="28">
        <v>4.0</v>
      </c>
      <c r="Q30" s="28">
        <v>5.0</v>
      </c>
      <c r="R30" s="28">
        <v>3.0</v>
      </c>
      <c r="S30" s="28">
        <v>3.0</v>
      </c>
      <c r="T30" s="28">
        <v>4.0</v>
      </c>
      <c r="U30" s="28">
        <v>5.0</v>
      </c>
      <c r="V30" s="28">
        <v>3.0</v>
      </c>
      <c r="W30" s="28">
        <v>5.0</v>
      </c>
      <c r="X30" s="28">
        <v>3.0</v>
      </c>
      <c r="Y30" s="28">
        <v>5.0</v>
      </c>
      <c r="Z30" s="28">
        <v>4.0</v>
      </c>
      <c r="AA30" s="28">
        <v>4.0</v>
      </c>
      <c r="AB30" s="28">
        <v>3.0</v>
      </c>
      <c r="AC30" s="28">
        <v>3.0</v>
      </c>
      <c r="AD30" s="27">
        <v>1.0</v>
      </c>
      <c r="AE30" s="28">
        <v>4.0</v>
      </c>
      <c r="AF30" s="28">
        <v>3.0</v>
      </c>
      <c r="AG30" s="28">
        <v>4.0</v>
      </c>
      <c r="AH30" s="28">
        <v>5.0</v>
      </c>
      <c r="AI30" s="28">
        <v>4.0</v>
      </c>
      <c r="AJ30" s="28">
        <v>5.0</v>
      </c>
      <c r="AK30" s="28">
        <v>3.0</v>
      </c>
      <c r="AL30" s="28">
        <v>5.0</v>
      </c>
      <c r="AM30" s="28">
        <v>3.0</v>
      </c>
      <c r="AN30" s="28">
        <v>4.0</v>
      </c>
      <c r="AO30" s="28">
        <v>3.0</v>
      </c>
      <c r="AP30" s="29">
        <f t="shared" si="1"/>
        <v>152</v>
      </c>
      <c r="AQ30" s="30">
        <f t="shared" si="2"/>
        <v>0.06887847097</v>
      </c>
    </row>
    <row r="31">
      <c r="A31" s="26" t="s">
        <v>80</v>
      </c>
      <c r="B31" s="28">
        <v>3.0</v>
      </c>
      <c r="C31" s="31">
        <v>5.0</v>
      </c>
      <c r="D31" s="31">
        <v>3.0</v>
      </c>
      <c r="E31" s="28">
        <v>3.0</v>
      </c>
      <c r="F31" s="28">
        <v>3.0</v>
      </c>
      <c r="G31" s="31">
        <v>4.0</v>
      </c>
      <c r="H31" s="28">
        <v>4.0</v>
      </c>
      <c r="I31" s="31">
        <v>4.0</v>
      </c>
      <c r="J31" s="31">
        <v>4.0</v>
      </c>
      <c r="K31" s="28">
        <v>4.0</v>
      </c>
      <c r="L31" s="28">
        <v>4.0</v>
      </c>
      <c r="M31" s="28">
        <v>3.0</v>
      </c>
      <c r="N31" s="31">
        <v>5.0</v>
      </c>
      <c r="O31" s="31">
        <v>4.0</v>
      </c>
      <c r="P31" s="28">
        <v>5.0</v>
      </c>
      <c r="Q31" s="28">
        <v>4.0</v>
      </c>
      <c r="R31" s="28">
        <v>3.0</v>
      </c>
      <c r="S31" s="28">
        <v>5.0</v>
      </c>
      <c r="T31" s="31">
        <v>4.0</v>
      </c>
      <c r="U31" s="28">
        <v>4.0</v>
      </c>
      <c r="V31" s="28">
        <v>5.0</v>
      </c>
      <c r="W31" s="31">
        <v>3.0</v>
      </c>
      <c r="X31" s="28">
        <v>5.0</v>
      </c>
      <c r="Y31" s="28">
        <v>4.0</v>
      </c>
      <c r="Z31" s="31">
        <v>4.0</v>
      </c>
      <c r="AA31" s="28">
        <v>4.0</v>
      </c>
      <c r="AB31" s="28">
        <v>3.0</v>
      </c>
      <c r="AC31" s="31">
        <v>4.0</v>
      </c>
      <c r="AD31" s="28">
        <v>4.0</v>
      </c>
      <c r="AE31" s="27">
        <v>1.0</v>
      </c>
      <c r="AF31" s="31">
        <v>4.0</v>
      </c>
      <c r="AG31" s="28">
        <v>4.0</v>
      </c>
      <c r="AH31" s="28">
        <v>4.0</v>
      </c>
      <c r="AI31" s="31">
        <v>4.0</v>
      </c>
      <c r="AJ31" s="31">
        <v>3.0</v>
      </c>
      <c r="AK31" s="31">
        <v>3.0</v>
      </c>
      <c r="AL31" s="28">
        <v>5.0</v>
      </c>
      <c r="AM31" s="31">
        <v>5.0</v>
      </c>
      <c r="AN31" s="31">
        <v>4.0</v>
      </c>
      <c r="AO31" s="31">
        <v>5.0</v>
      </c>
      <c r="AP31" s="29">
        <f t="shared" si="1"/>
        <v>156</v>
      </c>
      <c r="AQ31" s="30">
        <f t="shared" si="2"/>
        <v>0.09700685179</v>
      </c>
    </row>
    <row r="32">
      <c r="A32" s="26" t="s">
        <v>81</v>
      </c>
      <c r="B32" s="28">
        <v>3.0</v>
      </c>
      <c r="C32" s="28">
        <v>3.0</v>
      </c>
      <c r="D32" s="28">
        <v>3.0</v>
      </c>
      <c r="E32" s="28">
        <v>4.0</v>
      </c>
      <c r="F32" s="28">
        <v>3.0</v>
      </c>
      <c r="G32" s="28">
        <v>4.0</v>
      </c>
      <c r="H32" s="28">
        <v>4.0</v>
      </c>
      <c r="I32" s="28">
        <v>5.0</v>
      </c>
      <c r="J32" s="28">
        <v>5.0</v>
      </c>
      <c r="K32" s="28">
        <v>3.0</v>
      </c>
      <c r="L32" s="28">
        <v>4.0</v>
      </c>
      <c r="M32" s="28">
        <v>4.0</v>
      </c>
      <c r="N32" s="28">
        <v>4.0</v>
      </c>
      <c r="O32" s="28">
        <v>4.0</v>
      </c>
      <c r="P32" s="28">
        <v>3.0</v>
      </c>
      <c r="Q32" s="28">
        <v>4.0</v>
      </c>
      <c r="R32" s="28">
        <v>3.0</v>
      </c>
      <c r="S32" s="28">
        <v>4.0</v>
      </c>
      <c r="T32" s="28">
        <v>5.0</v>
      </c>
      <c r="U32" s="28">
        <v>5.0</v>
      </c>
      <c r="V32" s="28">
        <v>3.0</v>
      </c>
      <c r="W32" s="28">
        <v>4.0</v>
      </c>
      <c r="X32" s="28">
        <v>5.0</v>
      </c>
      <c r="Y32" s="28">
        <v>3.0</v>
      </c>
      <c r="Z32" s="28">
        <v>4.0</v>
      </c>
      <c r="AA32" s="28">
        <v>5.0</v>
      </c>
      <c r="AB32" s="28">
        <v>4.0</v>
      </c>
      <c r="AC32" s="28">
        <v>4.0</v>
      </c>
      <c r="AD32" s="28">
        <v>3.0</v>
      </c>
      <c r="AE32" s="28">
        <v>4.0</v>
      </c>
      <c r="AF32" s="27">
        <v>1.0</v>
      </c>
      <c r="AG32" s="28">
        <v>4.0</v>
      </c>
      <c r="AH32" s="28">
        <v>4.0</v>
      </c>
      <c r="AI32" s="28">
        <v>3.0</v>
      </c>
      <c r="AJ32" s="28">
        <v>4.0</v>
      </c>
      <c r="AK32" s="28">
        <v>3.0</v>
      </c>
      <c r="AL32" s="28">
        <v>3.0</v>
      </c>
      <c r="AM32" s="28">
        <v>4.0</v>
      </c>
      <c r="AN32" s="28">
        <v>4.0</v>
      </c>
      <c r="AO32" s="28">
        <v>3.0</v>
      </c>
      <c r="AP32" s="29">
        <f t="shared" si="1"/>
        <v>149</v>
      </c>
      <c r="AQ32" s="30">
        <f t="shared" si="2"/>
        <v>0.04778218536</v>
      </c>
    </row>
    <row r="33">
      <c r="A33" s="26" t="s">
        <v>82</v>
      </c>
      <c r="B33" s="28">
        <v>3.0</v>
      </c>
      <c r="C33" s="28">
        <v>5.0</v>
      </c>
      <c r="D33" s="28">
        <v>3.0</v>
      </c>
      <c r="E33" s="28">
        <v>5.0</v>
      </c>
      <c r="F33" s="28">
        <v>2.0</v>
      </c>
      <c r="G33" s="28">
        <v>4.0</v>
      </c>
      <c r="H33" s="28">
        <v>4.0</v>
      </c>
      <c r="I33" s="28">
        <v>4.0</v>
      </c>
      <c r="J33" s="28">
        <v>4.0</v>
      </c>
      <c r="K33" s="28">
        <v>3.0</v>
      </c>
      <c r="L33" s="28">
        <v>3.0</v>
      </c>
      <c r="M33" s="28">
        <v>4.0</v>
      </c>
      <c r="N33" s="28">
        <v>4.0</v>
      </c>
      <c r="O33" s="28">
        <v>4.0</v>
      </c>
      <c r="P33" s="28">
        <v>2.0</v>
      </c>
      <c r="Q33" s="28">
        <v>5.0</v>
      </c>
      <c r="R33" s="28">
        <v>3.0</v>
      </c>
      <c r="S33" s="28">
        <v>4.0</v>
      </c>
      <c r="T33" s="28">
        <v>5.0</v>
      </c>
      <c r="U33" s="28">
        <v>5.0</v>
      </c>
      <c r="V33" s="28">
        <v>3.0</v>
      </c>
      <c r="W33" s="28">
        <v>4.0</v>
      </c>
      <c r="X33" s="28">
        <v>4.0</v>
      </c>
      <c r="Y33" s="28">
        <v>4.0</v>
      </c>
      <c r="Z33" s="28">
        <v>4.0</v>
      </c>
      <c r="AA33" s="28">
        <v>5.0</v>
      </c>
      <c r="AB33" s="28">
        <v>3.0</v>
      </c>
      <c r="AC33" s="28">
        <v>3.0</v>
      </c>
      <c r="AD33" s="28">
        <v>4.0</v>
      </c>
      <c r="AE33" s="28">
        <v>4.0</v>
      </c>
      <c r="AF33" s="28">
        <v>3.0</v>
      </c>
      <c r="AG33" s="27">
        <v>1.0</v>
      </c>
      <c r="AH33" s="28">
        <v>4.0</v>
      </c>
      <c r="AI33" s="28">
        <v>3.0</v>
      </c>
      <c r="AJ33" s="28">
        <v>4.0</v>
      </c>
      <c r="AK33" s="28">
        <v>3.0</v>
      </c>
      <c r="AL33" s="28">
        <v>5.0</v>
      </c>
      <c r="AM33" s="28">
        <v>4.0</v>
      </c>
      <c r="AN33" s="28">
        <v>3.0</v>
      </c>
      <c r="AO33" s="28">
        <v>3.0</v>
      </c>
      <c r="AP33" s="29">
        <f t="shared" si="1"/>
        <v>147</v>
      </c>
      <c r="AQ33" s="30">
        <f t="shared" si="2"/>
        <v>0.03371799495</v>
      </c>
    </row>
    <row r="34">
      <c r="A34" s="26" t="s">
        <v>83</v>
      </c>
      <c r="B34" s="28">
        <v>3.0</v>
      </c>
      <c r="C34" s="28">
        <v>5.0</v>
      </c>
      <c r="D34" s="28">
        <v>3.0</v>
      </c>
      <c r="E34" s="28">
        <v>4.0</v>
      </c>
      <c r="F34" s="28">
        <v>3.0</v>
      </c>
      <c r="G34" s="28">
        <v>5.0</v>
      </c>
      <c r="H34" s="28">
        <v>5.0</v>
      </c>
      <c r="I34" s="28">
        <v>4.0</v>
      </c>
      <c r="J34" s="28">
        <v>4.0</v>
      </c>
      <c r="K34" s="28">
        <v>3.0</v>
      </c>
      <c r="L34" s="28">
        <v>3.0</v>
      </c>
      <c r="M34" s="28">
        <v>5.0</v>
      </c>
      <c r="N34" s="28">
        <v>5.0</v>
      </c>
      <c r="O34" s="28">
        <v>5.0</v>
      </c>
      <c r="P34" s="28">
        <v>3.0</v>
      </c>
      <c r="Q34" s="28">
        <v>5.0</v>
      </c>
      <c r="R34" s="28">
        <v>3.0</v>
      </c>
      <c r="S34" s="28">
        <v>4.0</v>
      </c>
      <c r="T34" s="28">
        <v>5.0</v>
      </c>
      <c r="U34" s="28">
        <v>5.0</v>
      </c>
      <c r="V34" s="28">
        <v>3.0</v>
      </c>
      <c r="W34" s="28">
        <v>4.0</v>
      </c>
      <c r="X34" s="28">
        <v>4.0</v>
      </c>
      <c r="Y34" s="28">
        <v>5.0</v>
      </c>
      <c r="Z34" s="28">
        <v>5.0</v>
      </c>
      <c r="AA34" s="28">
        <v>4.0</v>
      </c>
      <c r="AB34" s="28">
        <v>4.0</v>
      </c>
      <c r="AC34" s="28">
        <v>3.0</v>
      </c>
      <c r="AD34" s="28">
        <v>4.0</v>
      </c>
      <c r="AE34" s="28">
        <v>5.0</v>
      </c>
      <c r="AF34" s="28">
        <v>4.0</v>
      </c>
      <c r="AG34" s="28">
        <v>4.0</v>
      </c>
      <c r="AH34" s="27">
        <v>1.0</v>
      </c>
      <c r="AI34" s="28">
        <v>3.0</v>
      </c>
      <c r="AJ34" s="28">
        <v>5.0</v>
      </c>
      <c r="AK34" s="28">
        <v>4.0</v>
      </c>
      <c r="AL34" s="28">
        <v>5.0</v>
      </c>
      <c r="AM34" s="28">
        <v>4.0</v>
      </c>
      <c r="AN34" s="28">
        <v>3.0</v>
      </c>
      <c r="AO34" s="28">
        <v>3.0</v>
      </c>
      <c r="AP34" s="29">
        <f t="shared" si="1"/>
        <v>159</v>
      </c>
      <c r="AQ34" s="30">
        <f t="shared" si="2"/>
        <v>0.1181031374</v>
      </c>
    </row>
    <row r="35">
      <c r="A35" s="26" t="s">
        <v>84</v>
      </c>
      <c r="B35" s="28">
        <v>3.0</v>
      </c>
      <c r="C35" s="28">
        <v>3.0</v>
      </c>
      <c r="D35" s="28">
        <v>3.0</v>
      </c>
      <c r="E35" s="28">
        <v>5.0</v>
      </c>
      <c r="F35" s="28">
        <v>2.0</v>
      </c>
      <c r="G35" s="28">
        <v>3.0</v>
      </c>
      <c r="H35" s="28">
        <v>4.0</v>
      </c>
      <c r="I35" s="28">
        <v>4.0</v>
      </c>
      <c r="J35" s="28">
        <v>5.0</v>
      </c>
      <c r="K35" s="28">
        <v>3.0</v>
      </c>
      <c r="L35" s="28">
        <v>3.0</v>
      </c>
      <c r="M35" s="28">
        <v>5.0</v>
      </c>
      <c r="N35" s="28">
        <v>4.0</v>
      </c>
      <c r="O35" s="28">
        <v>3.0</v>
      </c>
      <c r="P35" s="28">
        <v>4.0</v>
      </c>
      <c r="Q35" s="28">
        <v>4.0</v>
      </c>
      <c r="R35" s="28">
        <v>3.0</v>
      </c>
      <c r="S35" s="28">
        <v>4.0</v>
      </c>
      <c r="T35" s="28">
        <v>4.0</v>
      </c>
      <c r="U35" s="28">
        <v>4.0</v>
      </c>
      <c r="V35" s="28">
        <v>3.0</v>
      </c>
      <c r="W35" s="28">
        <v>3.0</v>
      </c>
      <c r="X35" s="28">
        <v>3.0</v>
      </c>
      <c r="Y35" s="28">
        <v>4.0</v>
      </c>
      <c r="Z35" s="28">
        <v>4.0</v>
      </c>
      <c r="AA35" s="28">
        <v>4.0</v>
      </c>
      <c r="AB35" s="28">
        <v>4.0</v>
      </c>
      <c r="AC35" s="28">
        <v>4.0</v>
      </c>
      <c r="AD35" s="28">
        <v>4.0</v>
      </c>
      <c r="AE35" s="28">
        <v>3.0</v>
      </c>
      <c r="AF35" s="28">
        <v>3.0</v>
      </c>
      <c r="AG35" s="28">
        <v>5.0</v>
      </c>
      <c r="AH35" s="28">
        <v>3.0</v>
      </c>
      <c r="AI35" s="27">
        <v>1.0</v>
      </c>
      <c r="AJ35" s="28">
        <v>3.0</v>
      </c>
      <c r="AK35" s="28">
        <v>3.0</v>
      </c>
      <c r="AL35" s="28">
        <v>5.0</v>
      </c>
      <c r="AM35" s="28">
        <v>4.0</v>
      </c>
      <c r="AN35" s="28">
        <v>3.0</v>
      </c>
      <c r="AO35" s="28">
        <v>4.0</v>
      </c>
      <c r="AP35" s="29">
        <f t="shared" si="1"/>
        <v>143</v>
      </c>
      <c r="AQ35" s="30">
        <f t="shared" si="2"/>
        <v>0.005589614136</v>
      </c>
    </row>
    <row r="36">
      <c r="A36" s="26" t="s">
        <v>85</v>
      </c>
      <c r="B36" s="28">
        <v>2.0</v>
      </c>
      <c r="C36" s="28">
        <v>2.0</v>
      </c>
      <c r="D36" s="28">
        <v>2.0</v>
      </c>
      <c r="E36" s="28">
        <v>1.0</v>
      </c>
      <c r="F36" s="28">
        <v>2.0</v>
      </c>
      <c r="G36" s="28">
        <v>4.0</v>
      </c>
      <c r="H36" s="28">
        <v>2.0</v>
      </c>
      <c r="I36" s="28">
        <v>2.0</v>
      </c>
      <c r="J36" s="28">
        <v>1.0</v>
      </c>
      <c r="K36" s="28">
        <v>4.0</v>
      </c>
      <c r="L36" s="28">
        <v>2.0</v>
      </c>
      <c r="M36" s="28">
        <v>2.0</v>
      </c>
      <c r="N36" s="28">
        <v>2.0</v>
      </c>
      <c r="O36" s="28">
        <v>2.0</v>
      </c>
      <c r="P36" s="28">
        <v>2.0</v>
      </c>
      <c r="Q36" s="28">
        <v>4.0</v>
      </c>
      <c r="R36" s="28">
        <v>2.0</v>
      </c>
      <c r="S36" s="28">
        <v>2.0</v>
      </c>
      <c r="T36" s="28">
        <v>3.0</v>
      </c>
      <c r="U36" s="28">
        <v>1.0</v>
      </c>
      <c r="V36" s="28">
        <v>2.0</v>
      </c>
      <c r="W36" s="28">
        <v>2.0</v>
      </c>
      <c r="X36" s="28">
        <v>3.0</v>
      </c>
      <c r="Y36" s="28">
        <v>2.0</v>
      </c>
      <c r="Z36" s="28">
        <v>3.0</v>
      </c>
      <c r="AA36" s="28">
        <v>1.0</v>
      </c>
      <c r="AB36" s="28">
        <v>2.0</v>
      </c>
      <c r="AC36" s="28">
        <v>2.0</v>
      </c>
      <c r="AD36" s="28">
        <v>2.0</v>
      </c>
      <c r="AE36" s="28">
        <v>3.0</v>
      </c>
      <c r="AF36" s="28">
        <v>2.0</v>
      </c>
      <c r="AG36" s="28">
        <v>2.0</v>
      </c>
      <c r="AH36" s="28">
        <v>4.0</v>
      </c>
      <c r="AI36" s="28">
        <v>1.0</v>
      </c>
      <c r="AJ36" s="28">
        <v>3.0</v>
      </c>
      <c r="AK36" s="27">
        <v>1.0</v>
      </c>
      <c r="AL36" s="28">
        <v>2.0</v>
      </c>
      <c r="AM36" s="28">
        <v>3.0</v>
      </c>
      <c r="AN36" s="28">
        <v>3.0</v>
      </c>
      <c r="AO36" s="28">
        <v>3.0</v>
      </c>
      <c r="AP36" s="29">
        <f t="shared" si="1"/>
        <v>90</v>
      </c>
      <c r="AQ36" s="30">
        <f t="shared" si="2"/>
        <v>-0.3671114317</v>
      </c>
    </row>
    <row r="37">
      <c r="A37" s="26" t="s">
        <v>86</v>
      </c>
      <c r="B37" s="28">
        <v>4.0</v>
      </c>
      <c r="C37" s="28">
        <v>5.0</v>
      </c>
      <c r="D37" s="28">
        <v>2.0</v>
      </c>
      <c r="E37" s="28">
        <v>2.0</v>
      </c>
      <c r="F37" s="28">
        <v>3.0</v>
      </c>
      <c r="G37" s="28">
        <v>3.0</v>
      </c>
      <c r="H37" s="28">
        <v>3.0</v>
      </c>
      <c r="I37" s="28">
        <v>3.0</v>
      </c>
      <c r="J37" s="28">
        <v>2.0</v>
      </c>
      <c r="K37" s="28">
        <v>3.0</v>
      </c>
      <c r="L37" s="28">
        <v>3.0</v>
      </c>
      <c r="M37" s="28">
        <v>3.0</v>
      </c>
      <c r="N37" s="28">
        <v>3.0</v>
      </c>
      <c r="O37" s="28">
        <v>3.0</v>
      </c>
      <c r="P37" s="28">
        <v>2.0</v>
      </c>
      <c r="Q37" s="28">
        <v>5.0</v>
      </c>
      <c r="R37" s="28">
        <v>3.0</v>
      </c>
      <c r="S37" s="28">
        <v>4.0</v>
      </c>
      <c r="T37" s="28">
        <v>4.0</v>
      </c>
      <c r="U37" s="28">
        <v>4.0</v>
      </c>
      <c r="V37" s="28">
        <v>3.0</v>
      </c>
      <c r="W37" s="28">
        <v>2.0</v>
      </c>
      <c r="X37" s="28">
        <v>3.0</v>
      </c>
      <c r="Y37" s="28">
        <v>2.0</v>
      </c>
      <c r="Z37" s="28">
        <v>4.0</v>
      </c>
      <c r="AA37" s="28">
        <v>4.0</v>
      </c>
      <c r="AB37" s="28">
        <v>2.0</v>
      </c>
      <c r="AC37" s="28">
        <v>2.0</v>
      </c>
      <c r="AD37" s="28">
        <v>3.0</v>
      </c>
      <c r="AE37" s="28">
        <v>3.0</v>
      </c>
      <c r="AF37" s="28">
        <v>3.0</v>
      </c>
      <c r="AG37" s="28">
        <v>2.0</v>
      </c>
      <c r="AH37" s="28">
        <v>4.0</v>
      </c>
      <c r="AI37" s="28">
        <v>3.0</v>
      </c>
      <c r="AJ37" s="28">
        <v>3.0</v>
      </c>
      <c r="AK37" s="28">
        <v>2.0</v>
      </c>
      <c r="AL37" s="27">
        <v>1.0</v>
      </c>
      <c r="AM37" s="28">
        <v>3.0</v>
      </c>
      <c r="AN37" s="28">
        <v>3.0</v>
      </c>
      <c r="AO37" s="28">
        <v>2.0</v>
      </c>
      <c r="AP37" s="29">
        <f t="shared" si="1"/>
        <v>118</v>
      </c>
      <c r="AQ37" s="30">
        <f t="shared" si="2"/>
        <v>-0.170212766</v>
      </c>
    </row>
    <row r="38">
      <c r="A38" s="26" t="s">
        <v>87</v>
      </c>
      <c r="B38" s="28">
        <v>2.0</v>
      </c>
      <c r="C38" s="28">
        <v>5.0</v>
      </c>
      <c r="D38" s="28">
        <v>2.0</v>
      </c>
      <c r="E38" s="28">
        <v>4.0</v>
      </c>
      <c r="F38" s="28">
        <v>2.0</v>
      </c>
      <c r="G38" s="28">
        <v>3.0</v>
      </c>
      <c r="H38" s="28">
        <v>3.0</v>
      </c>
      <c r="I38" s="28">
        <v>3.0</v>
      </c>
      <c r="J38" s="28">
        <v>5.0</v>
      </c>
      <c r="K38" s="28">
        <v>4.0</v>
      </c>
      <c r="L38" s="28">
        <v>4.0</v>
      </c>
      <c r="M38" s="28">
        <v>5.0</v>
      </c>
      <c r="N38" s="28">
        <v>5.0</v>
      </c>
      <c r="O38" s="28">
        <v>4.0</v>
      </c>
      <c r="P38" s="28">
        <v>3.0</v>
      </c>
      <c r="Q38" s="28">
        <v>5.0</v>
      </c>
      <c r="R38" s="28">
        <v>4.0</v>
      </c>
      <c r="S38" s="28">
        <v>3.0</v>
      </c>
      <c r="T38" s="28">
        <v>4.0</v>
      </c>
      <c r="U38" s="28">
        <v>5.0</v>
      </c>
      <c r="V38" s="28">
        <v>3.0</v>
      </c>
      <c r="W38" s="28">
        <v>4.0</v>
      </c>
      <c r="X38" s="28">
        <v>5.0</v>
      </c>
      <c r="Y38" s="28">
        <v>4.0</v>
      </c>
      <c r="Z38" s="28">
        <v>4.0</v>
      </c>
      <c r="AA38" s="28">
        <v>3.0</v>
      </c>
      <c r="AB38" s="28">
        <v>3.0</v>
      </c>
      <c r="AC38" s="28">
        <v>3.0</v>
      </c>
      <c r="AD38" s="28">
        <v>4.0</v>
      </c>
      <c r="AE38" s="28">
        <v>5.0</v>
      </c>
      <c r="AF38" s="28">
        <v>4.0</v>
      </c>
      <c r="AG38" s="28">
        <v>4.0</v>
      </c>
      <c r="AH38" s="28">
        <v>3.0</v>
      </c>
      <c r="AI38" s="28">
        <v>3.0</v>
      </c>
      <c r="AJ38" s="28">
        <v>4.0</v>
      </c>
      <c r="AK38" s="28">
        <v>4.0</v>
      </c>
      <c r="AL38" s="28">
        <v>4.0</v>
      </c>
      <c r="AM38" s="27">
        <v>1.0</v>
      </c>
      <c r="AN38" s="28">
        <v>4.0</v>
      </c>
      <c r="AO38" s="28">
        <v>3.0</v>
      </c>
      <c r="AP38" s="29">
        <f t="shared" si="1"/>
        <v>147</v>
      </c>
      <c r="AQ38" s="30">
        <f t="shared" si="2"/>
        <v>0.03371799495</v>
      </c>
    </row>
    <row r="39">
      <c r="A39" s="26" t="s">
        <v>88</v>
      </c>
      <c r="B39" s="28">
        <v>1.0</v>
      </c>
      <c r="C39" s="28">
        <v>2.0</v>
      </c>
      <c r="D39" s="28">
        <v>1.0</v>
      </c>
      <c r="E39" s="28">
        <v>4.0</v>
      </c>
      <c r="F39" s="28">
        <v>3.0</v>
      </c>
      <c r="G39" s="28">
        <v>4.0</v>
      </c>
      <c r="H39" s="28">
        <v>2.0</v>
      </c>
      <c r="I39" s="28">
        <v>1.0</v>
      </c>
      <c r="J39" s="28">
        <v>5.0</v>
      </c>
      <c r="K39" s="28">
        <v>3.0</v>
      </c>
      <c r="L39" s="28">
        <v>3.0</v>
      </c>
      <c r="M39" s="28">
        <v>2.0</v>
      </c>
      <c r="N39" s="28">
        <v>2.0</v>
      </c>
      <c r="O39" s="28">
        <v>3.0</v>
      </c>
      <c r="P39" s="28">
        <v>3.0</v>
      </c>
      <c r="Q39" s="28">
        <v>1.0</v>
      </c>
      <c r="R39" s="28">
        <v>4.0</v>
      </c>
      <c r="S39" s="28">
        <v>3.0</v>
      </c>
      <c r="T39" s="28">
        <v>1.0</v>
      </c>
      <c r="U39" s="28">
        <v>2.0</v>
      </c>
      <c r="V39" s="28">
        <v>2.0</v>
      </c>
      <c r="W39" s="28">
        <v>2.0</v>
      </c>
      <c r="X39" s="28">
        <v>2.0</v>
      </c>
      <c r="Y39" s="28">
        <v>2.0</v>
      </c>
      <c r="Z39" s="28">
        <v>3.0</v>
      </c>
      <c r="AA39" s="28">
        <v>2.0</v>
      </c>
      <c r="AB39" s="28">
        <v>2.0</v>
      </c>
      <c r="AC39" s="28">
        <v>2.0</v>
      </c>
      <c r="AD39" s="28">
        <v>3.0</v>
      </c>
      <c r="AE39" s="28">
        <v>3.0</v>
      </c>
      <c r="AF39" s="28">
        <v>2.0</v>
      </c>
      <c r="AG39" s="28">
        <v>3.0</v>
      </c>
      <c r="AH39" s="28">
        <v>3.0</v>
      </c>
      <c r="AI39" s="28">
        <v>3.0</v>
      </c>
      <c r="AJ39" s="28">
        <v>3.0</v>
      </c>
      <c r="AK39" s="28">
        <v>2.0</v>
      </c>
      <c r="AL39" s="28">
        <v>2.0</v>
      </c>
      <c r="AM39" s="28">
        <v>2.0</v>
      </c>
      <c r="AN39" s="27">
        <v>1.0</v>
      </c>
      <c r="AO39" s="28">
        <v>2.0</v>
      </c>
      <c r="AP39" s="29">
        <f t="shared" si="1"/>
        <v>96</v>
      </c>
      <c r="AQ39" s="30">
        <f t="shared" si="2"/>
        <v>-0.3249188604</v>
      </c>
    </row>
    <row r="40">
      <c r="A40" s="26" t="s">
        <v>89</v>
      </c>
      <c r="B40" s="28">
        <v>3.0</v>
      </c>
      <c r="C40" s="28">
        <v>5.0</v>
      </c>
      <c r="D40" s="28">
        <v>2.0</v>
      </c>
      <c r="E40" s="28">
        <v>4.0</v>
      </c>
      <c r="F40" s="28">
        <v>2.0</v>
      </c>
      <c r="G40" s="28">
        <v>5.0</v>
      </c>
      <c r="H40" s="28">
        <v>5.0</v>
      </c>
      <c r="I40" s="28">
        <v>4.0</v>
      </c>
      <c r="J40" s="28">
        <v>5.0</v>
      </c>
      <c r="K40" s="28">
        <v>4.0</v>
      </c>
      <c r="L40" s="28">
        <v>3.0</v>
      </c>
      <c r="M40" s="28">
        <v>5.0</v>
      </c>
      <c r="N40" s="28">
        <v>5.0</v>
      </c>
      <c r="O40" s="28">
        <v>5.0</v>
      </c>
      <c r="P40" s="28">
        <v>1.0</v>
      </c>
      <c r="Q40" s="28">
        <v>5.0</v>
      </c>
      <c r="R40" s="28">
        <v>3.0</v>
      </c>
      <c r="S40" s="28">
        <v>5.0</v>
      </c>
      <c r="T40" s="28">
        <v>4.0</v>
      </c>
      <c r="U40" s="28">
        <v>5.0</v>
      </c>
      <c r="V40" s="28">
        <v>3.0</v>
      </c>
      <c r="W40" s="28">
        <v>4.0</v>
      </c>
      <c r="X40" s="28">
        <v>5.0</v>
      </c>
      <c r="Y40" s="28">
        <v>3.0</v>
      </c>
      <c r="Z40" s="28">
        <v>4.0</v>
      </c>
      <c r="AA40" s="28">
        <v>3.0</v>
      </c>
      <c r="AB40" s="28">
        <v>5.0</v>
      </c>
      <c r="AC40" s="28">
        <v>5.0</v>
      </c>
      <c r="AD40" s="28">
        <v>4.0</v>
      </c>
      <c r="AE40" s="28">
        <v>5.0</v>
      </c>
      <c r="AF40" s="28">
        <v>3.0</v>
      </c>
      <c r="AG40" s="28">
        <v>3.0</v>
      </c>
      <c r="AH40" s="28">
        <v>4.0</v>
      </c>
      <c r="AI40" s="28">
        <v>2.0</v>
      </c>
      <c r="AJ40" s="28">
        <v>5.0</v>
      </c>
      <c r="AK40" s="28">
        <v>2.0</v>
      </c>
      <c r="AL40" s="28">
        <v>4.0</v>
      </c>
      <c r="AM40" s="28">
        <v>5.0</v>
      </c>
      <c r="AN40" s="28">
        <v>3.0</v>
      </c>
      <c r="AO40" s="27">
        <v>1.0</v>
      </c>
      <c r="AP40" s="29">
        <f t="shared" si="1"/>
        <v>153</v>
      </c>
      <c r="AQ40" s="30">
        <f t="shared" si="2"/>
        <v>0.07591056617</v>
      </c>
    </row>
    <row r="41">
      <c r="A41" s="33" t="s">
        <v>1</v>
      </c>
      <c r="B41" s="34">
        <f t="shared" ref="B41:AO41" si="3">SUM(B2:B40)</f>
        <v>110</v>
      </c>
      <c r="C41" s="34">
        <f t="shared" si="3"/>
        <v>161</v>
      </c>
      <c r="D41" s="34">
        <f t="shared" si="3"/>
        <v>99</v>
      </c>
      <c r="E41" s="34">
        <f t="shared" si="3"/>
        <v>144</v>
      </c>
      <c r="F41" s="34">
        <f t="shared" si="3"/>
        <v>101</v>
      </c>
      <c r="G41" s="34">
        <f t="shared" si="3"/>
        <v>148</v>
      </c>
      <c r="H41" s="34">
        <f t="shared" si="3"/>
        <v>154</v>
      </c>
      <c r="I41" s="34">
        <f t="shared" si="3"/>
        <v>147</v>
      </c>
      <c r="J41" s="34">
        <f t="shared" si="3"/>
        <v>146</v>
      </c>
      <c r="K41" s="34">
        <f t="shared" si="3"/>
        <v>125</v>
      </c>
      <c r="L41" s="34">
        <f t="shared" si="3"/>
        <v>140</v>
      </c>
      <c r="M41" s="34">
        <f t="shared" si="3"/>
        <v>146</v>
      </c>
      <c r="N41" s="34">
        <f t="shared" si="3"/>
        <v>151</v>
      </c>
      <c r="O41" s="34">
        <f t="shared" si="3"/>
        <v>151</v>
      </c>
      <c r="P41" s="34">
        <f t="shared" si="3"/>
        <v>121</v>
      </c>
      <c r="Q41" s="34">
        <f t="shared" si="3"/>
        <v>162</v>
      </c>
      <c r="R41" s="34">
        <f t="shared" si="3"/>
        <v>133</v>
      </c>
      <c r="S41" s="34">
        <f t="shared" si="3"/>
        <v>135</v>
      </c>
      <c r="T41" s="34">
        <f t="shared" si="3"/>
        <v>159</v>
      </c>
      <c r="U41" s="34">
        <f t="shared" si="3"/>
        <v>170</v>
      </c>
      <c r="V41" s="34">
        <f t="shared" si="3"/>
        <v>119</v>
      </c>
      <c r="W41" s="34">
        <f t="shared" si="3"/>
        <v>139</v>
      </c>
      <c r="X41" s="34">
        <f t="shared" si="3"/>
        <v>154</v>
      </c>
      <c r="Y41" s="34">
        <f t="shared" si="3"/>
        <v>134</v>
      </c>
      <c r="Z41" s="34">
        <f t="shared" si="3"/>
        <v>157</v>
      </c>
      <c r="AA41" s="34">
        <f t="shared" si="3"/>
        <v>144</v>
      </c>
      <c r="AB41" s="34">
        <f t="shared" si="3"/>
        <v>119</v>
      </c>
      <c r="AC41" s="34">
        <f t="shared" si="3"/>
        <v>127</v>
      </c>
      <c r="AD41" s="34">
        <f t="shared" si="3"/>
        <v>140</v>
      </c>
      <c r="AE41" s="34">
        <f t="shared" si="3"/>
        <v>143</v>
      </c>
      <c r="AF41" s="34">
        <f t="shared" si="3"/>
        <v>129</v>
      </c>
      <c r="AG41" s="34">
        <f t="shared" si="3"/>
        <v>140</v>
      </c>
      <c r="AH41" s="34">
        <f t="shared" si="3"/>
        <v>141</v>
      </c>
      <c r="AI41" s="34">
        <f t="shared" si="3"/>
        <v>127</v>
      </c>
      <c r="AJ41" s="34">
        <f t="shared" si="3"/>
        <v>145</v>
      </c>
      <c r="AK41" s="34">
        <f t="shared" si="3"/>
        <v>117</v>
      </c>
      <c r="AL41" s="34">
        <f t="shared" si="3"/>
        <v>163</v>
      </c>
      <c r="AM41" s="34">
        <f t="shared" si="3"/>
        <v>146</v>
      </c>
      <c r="AN41" s="34">
        <f t="shared" si="3"/>
        <v>130</v>
      </c>
      <c r="AO41" s="34">
        <f t="shared" si="3"/>
        <v>129</v>
      </c>
      <c r="AP41" s="35" t="s">
        <v>90</v>
      </c>
      <c r="AQ41" s="25"/>
    </row>
    <row r="42">
      <c r="A42" s="36" t="s">
        <v>2</v>
      </c>
      <c r="B42" s="37">
        <f t="shared" ref="B42:AO42" si="4">COUNTIF(B2:B40,5)</f>
        <v>0</v>
      </c>
      <c r="C42" s="37">
        <f t="shared" si="4"/>
        <v>18</v>
      </c>
      <c r="D42" s="37">
        <f t="shared" si="4"/>
        <v>0</v>
      </c>
      <c r="E42" s="37">
        <f t="shared" si="4"/>
        <v>6</v>
      </c>
      <c r="F42" s="37">
        <f t="shared" si="4"/>
        <v>0</v>
      </c>
      <c r="G42" s="37">
        <f t="shared" si="4"/>
        <v>6</v>
      </c>
      <c r="H42" s="37">
        <f t="shared" si="4"/>
        <v>13</v>
      </c>
      <c r="I42" s="37">
        <f t="shared" si="4"/>
        <v>9</v>
      </c>
      <c r="J42" s="37">
        <f t="shared" si="4"/>
        <v>8</v>
      </c>
      <c r="K42" s="37">
        <f t="shared" si="4"/>
        <v>2</v>
      </c>
      <c r="L42" s="37">
        <f t="shared" si="4"/>
        <v>5</v>
      </c>
      <c r="M42" s="37">
        <f t="shared" si="4"/>
        <v>9</v>
      </c>
      <c r="N42" s="37">
        <f t="shared" si="4"/>
        <v>11</v>
      </c>
      <c r="O42" s="37">
        <f t="shared" si="4"/>
        <v>8</v>
      </c>
      <c r="P42" s="37">
        <f t="shared" si="4"/>
        <v>2</v>
      </c>
      <c r="Q42" s="37">
        <f t="shared" si="4"/>
        <v>16</v>
      </c>
      <c r="R42" s="37">
        <f t="shared" si="4"/>
        <v>2</v>
      </c>
      <c r="S42" s="37">
        <f t="shared" si="4"/>
        <v>2</v>
      </c>
      <c r="T42" s="37">
        <f t="shared" si="4"/>
        <v>15</v>
      </c>
      <c r="U42" s="37">
        <f t="shared" si="4"/>
        <v>23</v>
      </c>
      <c r="V42" s="37">
        <f t="shared" si="4"/>
        <v>1</v>
      </c>
      <c r="W42" s="37">
        <f t="shared" si="4"/>
        <v>6</v>
      </c>
      <c r="X42" s="37">
        <f t="shared" si="4"/>
        <v>15</v>
      </c>
      <c r="Y42" s="37">
        <f t="shared" si="4"/>
        <v>4</v>
      </c>
      <c r="Z42" s="37">
        <f t="shared" si="4"/>
        <v>10</v>
      </c>
      <c r="AA42" s="37">
        <f t="shared" si="4"/>
        <v>8</v>
      </c>
      <c r="AB42" s="37">
        <f t="shared" si="4"/>
        <v>1</v>
      </c>
      <c r="AC42" s="37">
        <f t="shared" si="4"/>
        <v>1</v>
      </c>
      <c r="AD42" s="37">
        <f t="shared" si="4"/>
        <v>2</v>
      </c>
      <c r="AE42" s="37">
        <f t="shared" si="4"/>
        <v>5</v>
      </c>
      <c r="AF42" s="37">
        <f t="shared" si="4"/>
        <v>0</v>
      </c>
      <c r="AG42" s="37">
        <f t="shared" si="4"/>
        <v>5</v>
      </c>
      <c r="AH42" s="37">
        <f t="shared" si="4"/>
        <v>3</v>
      </c>
      <c r="AI42" s="37">
        <f t="shared" si="4"/>
        <v>1</v>
      </c>
      <c r="AJ42" s="37">
        <f t="shared" si="4"/>
        <v>6</v>
      </c>
      <c r="AK42" s="37">
        <f t="shared" si="4"/>
        <v>0</v>
      </c>
      <c r="AL42" s="37">
        <f t="shared" si="4"/>
        <v>18</v>
      </c>
      <c r="AM42" s="37">
        <f t="shared" si="4"/>
        <v>7</v>
      </c>
      <c r="AN42" s="37">
        <f t="shared" si="4"/>
        <v>1</v>
      </c>
      <c r="AO42" s="37">
        <f t="shared" si="4"/>
        <v>4</v>
      </c>
      <c r="AP42" s="38">
        <f t="shared" ref="AP42:AP46" si="6">SUM(B42:AO42)</f>
        <v>253</v>
      </c>
      <c r="AQ42" s="39">
        <f t="shared" ref="AQ42:AQ47" si="7">AP42/$AP$47</f>
        <v>0.1621794872</v>
      </c>
    </row>
    <row r="43">
      <c r="A43" s="36" t="s">
        <v>3</v>
      </c>
      <c r="B43" s="37">
        <f t="shared" ref="B43:AO43" si="5">COUNTIF(B2:B40,4)</f>
        <v>6</v>
      </c>
      <c r="C43" s="37">
        <f t="shared" si="5"/>
        <v>12</v>
      </c>
      <c r="D43" s="37">
        <f t="shared" si="5"/>
        <v>1</v>
      </c>
      <c r="E43" s="37">
        <f t="shared" si="5"/>
        <v>21</v>
      </c>
      <c r="F43" s="37">
        <f t="shared" si="5"/>
        <v>3</v>
      </c>
      <c r="G43" s="37">
        <f t="shared" si="5"/>
        <v>21</v>
      </c>
      <c r="H43" s="37">
        <f t="shared" si="5"/>
        <v>15</v>
      </c>
      <c r="I43" s="37">
        <f t="shared" si="5"/>
        <v>17</v>
      </c>
      <c r="J43" s="37">
        <f t="shared" si="5"/>
        <v>19</v>
      </c>
      <c r="K43" s="37">
        <f t="shared" si="5"/>
        <v>11</v>
      </c>
      <c r="L43" s="37">
        <f t="shared" si="5"/>
        <v>16</v>
      </c>
      <c r="M43" s="37">
        <f t="shared" si="5"/>
        <v>16</v>
      </c>
      <c r="N43" s="37">
        <f t="shared" si="5"/>
        <v>16</v>
      </c>
      <c r="O43" s="37">
        <f t="shared" si="5"/>
        <v>21</v>
      </c>
      <c r="P43" s="37">
        <f t="shared" si="5"/>
        <v>10</v>
      </c>
      <c r="Q43" s="37">
        <f t="shared" si="5"/>
        <v>18</v>
      </c>
      <c r="R43" s="37">
        <f t="shared" si="5"/>
        <v>15</v>
      </c>
      <c r="S43" s="37">
        <f t="shared" si="5"/>
        <v>19</v>
      </c>
      <c r="T43" s="37">
        <f t="shared" si="5"/>
        <v>16</v>
      </c>
      <c r="U43" s="37">
        <f t="shared" si="5"/>
        <v>12</v>
      </c>
      <c r="V43" s="37">
        <f t="shared" si="5"/>
        <v>7</v>
      </c>
      <c r="W43" s="37">
        <f t="shared" si="5"/>
        <v>16</v>
      </c>
      <c r="X43" s="37">
        <f t="shared" si="5"/>
        <v>11</v>
      </c>
      <c r="Y43" s="37">
        <f t="shared" si="5"/>
        <v>16</v>
      </c>
      <c r="Z43" s="37">
        <f t="shared" si="5"/>
        <v>22</v>
      </c>
      <c r="AA43" s="37">
        <f t="shared" si="5"/>
        <v>17</v>
      </c>
      <c r="AB43" s="37">
        <f t="shared" si="5"/>
        <v>8</v>
      </c>
      <c r="AC43" s="37">
        <f t="shared" si="5"/>
        <v>15</v>
      </c>
      <c r="AD43" s="37">
        <f t="shared" si="5"/>
        <v>24</v>
      </c>
      <c r="AE43" s="37">
        <f t="shared" si="5"/>
        <v>18</v>
      </c>
      <c r="AF43" s="37">
        <f t="shared" si="5"/>
        <v>18</v>
      </c>
      <c r="AG43" s="37">
        <f t="shared" si="5"/>
        <v>18</v>
      </c>
      <c r="AH43" s="37">
        <f t="shared" si="5"/>
        <v>21</v>
      </c>
      <c r="AI43" s="37">
        <f t="shared" si="5"/>
        <v>16</v>
      </c>
      <c r="AJ43" s="37">
        <f t="shared" si="5"/>
        <v>19</v>
      </c>
      <c r="AK43" s="37">
        <f t="shared" si="5"/>
        <v>9</v>
      </c>
      <c r="AL43" s="37">
        <f t="shared" si="5"/>
        <v>14</v>
      </c>
      <c r="AM43" s="37">
        <f t="shared" si="5"/>
        <v>18</v>
      </c>
      <c r="AN43" s="37">
        <f t="shared" si="5"/>
        <v>13</v>
      </c>
      <c r="AO43" s="37">
        <f t="shared" si="5"/>
        <v>10</v>
      </c>
      <c r="AP43" s="38">
        <f t="shared" si="6"/>
        <v>595</v>
      </c>
      <c r="AQ43" s="39">
        <f t="shared" si="7"/>
        <v>0.3814102564</v>
      </c>
    </row>
    <row r="44">
      <c r="A44" s="36" t="s">
        <v>4</v>
      </c>
      <c r="B44" s="37">
        <f t="shared" ref="B44:AO44" si="8">COUNTIF(B2:B40,3)</f>
        <v>22</v>
      </c>
      <c r="C44" s="37">
        <f t="shared" si="8"/>
        <v>6</v>
      </c>
      <c r="D44" s="37">
        <f t="shared" si="8"/>
        <v>21</v>
      </c>
      <c r="E44" s="37">
        <f t="shared" si="8"/>
        <v>8</v>
      </c>
      <c r="F44" s="37">
        <f t="shared" si="8"/>
        <v>19</v>
      </c>
      <c r="G44" s="37">
        <f t="shared" si="8"/>
        <v>11</v>
      </c>
      <c r="H44" s="37">
        <f t="shared" si="8"/>
        <v>8</v>
      </c>
      <c r="I44" s="37">
        <f t="shared" si="8"/>
        <v>10</v>
      </c>
      <c r="J44" s="37">
        <f t="shared" si="8"/>
        <v>8</v>
      </c>
      <c r="K44" s="37">
        <f t="shared" si="8"/>
        <v>20</v>
      </c>
      <c r="L44" s="37">
        <f t="shared" si="8"/>
        <v>16</v>
      </c>
      <c r="M44" s="37">
        <f t="shared" si="8"/>
        <v>10</v>
      </c>
      <c r="N44" s="37">
        <f t="shared" si="8"/>
        <v>9</v>
      </c>
      <c r="O44" s="37">
        <f t="shared" si="8"/>
        <v>8</v>
      </c>
      <c r="P44" s="37">
        <f t="shared" si="8"/>
        <v>19</v>
      </c>
      <c r="Q44" s="37">
        <f t="shared" si="8"/>
        <v>2</v>
      </c>
      <c r="R44" s="37">
        <f t="shared" si="8"/>
        <v>20</v>
      </c>
      <c r="S44" s="37">
        <f t="shared" si="8"/>
        <v>14</v>
      </c>
      <c r="T44" s="37">
        <f t="shared" si="8"/>
        <v>6</v>
      </c>
      <c r="U44" s="37">
        <f t="shared" si="8"/>
        <v>1</v>
      </c>
      <c r="V44" s="37">
        <f t="shared" si="8"/>
        <v>25</v>
      </c>
      <c r="W44" s="37">
        <f t="shared" si="8"/>
        <v>12</v>
      </c>
      <c r="X44" s="37">
        <f t="shared" si="8"/>
        <v>10</v>
      </c>
      <c r="Y44" s="37">
        <f t="shared" si="8"/>
        <v>13</v>
      </c>
      <c r="Z44" s="37">
        <f t="shared" si="8"/>
        <v>6</v>
      </c>
      <c r="AA44" s="37">
        <f t="shared" si="8"/>
        <v>10</v>
      </c>
      <c r="AB44" s="37">
        <f t="shared" si="8"/>
        <v>22</v>
      </c>
      <c r="AC44" s="37">
        <f t="shared" si="8"/>
        <v>17</v>
      </c>
      <c r="AD44" s="37">
        <f t="shared" si="8"/>
        <v>9</v>
      </c>
      <c r="AE44" s="37">
        <f t="shared" si="8"/>
        <v>15</v>
      </c>
      <c r="AF44" s="37">
        <f t="shared" si="8"/>
        <v>17</v>
      </c>
      <c r="AG44" s="37">
        <f t="shared" si="8"/>
        <v>12</v>
      </c>
      <c r="AH44" s="37">
        <f t="shared" si="8"/>
        <v>13</v>
      </c>
      <c r="AI44" s="37">
        <f t="shared" si="8"/>
        <v>16</v>
      </c>
      <c r="AJ44" s="37">
        <f t="shared" si="8"/>
        <v>11</v>
      </c>
      <c r="AK44" s="37">
        <f t="shared" si="8"/>
        <v>22</v>
      </c>
      <c r="AL44" s="37">
        <f t="shared" si="8"/>
        <v>4</v>
      </c>
      <c r="AM44" s="37">
        <f t="shared" si="8"/>
        <v>12</v>
      </c>
      <c r="AN44" s="37">
        <f t="shared" si="8"/>
        <v>24</v>
      </c>
      <c r="AO44" s="37">
        <f t="shared" si="8"/>
        <v>20</v>
      </c>
      <c r="AP44" s="38">
        <f t="shared" si="6"/>
        <v>528</v>
      </c>
      <c r="AQ44" s="39">
        <f t="shared" si="7"/>
        <v>0.3384615385</v>
      </c>
    </row>
    <row r="45">
      <c r="A45" s="36" t="s">
        <v>5</v>
      </c>
      <c r="B45" s="37">
        <f t="shared" ref="B45:AO45" si="9">COUNTIF(B2:B40,2)</f>
        <v>9</v>
      </c>
      <c r="C45" s="37">
        <f t="shared" si="9"/>
        <v>2</v>
      </c>
      <c r="D45" s="37">
        <f t="shared" si="9"/>
        <v>15</v>
      </c>
      <c r="E45" s="37">
        <f t="shared" si="9"/>
        <v>2</v>
      </c>
      <c r="F45" s="37">
        <f t="shared" si="9"/>
        <v>15</v>
      </c>
      <c r="G45" s="37">
        <f t="shared" si="9"/>
        <v>0</v>
      </c>
      <c r="H45" s="37">
        <f t="shared" si="9"/>
        <v>2</v>
      </c>
      <c r="I45" s="37">
        <f t="shared" si="9"/>
        <v>1</v>
      </c>
      <c r="J45" s="37">
        <f t="shared" si="9"/>
        <v>2</v>
      </c>
      <c r="K45" s="37">
        <f t="shared" si="9"/>
        <v>5</v>
      </c>
      <c r="L45" s="37">
        <f t="shared" si="9"/>
        <v>1</v>
      </c>
      <c r="M45" s="37">
        <f t="shared" si="9"/>
        <v>3</v>
      </c>
      <c r="N45" s="37">
        <f t="shared" si="9"/>
        <v>2</v>
      </c>
      <c r="O45" s="37">
        <f t="shared" si="9"/>
        <v>1</v>
      </c>
      <c r="P45" s="37">
        <f t="shared" si="9"/>
        <v>6</v>
      </c>
      <c r="Q45" s="37">
        <f t="shared" si="9"/>
        <v>1</v>
      </c>
      <c r="R45" s="37">
        <f t="shared" si="9"/>
        <v>1</v>
      </c>
      <c r="S45" s="37">
        <f t="shared" si="9"/>
        <v>3</v>
      </c>
      <c r="T45" s="37">
        <f t="shared" si="9"/>
        <v>0</v>
      </c>
      <c r="U45" s="37">
        <f t="shared" si="9"/>
        <v>1</v>
      </c>
      <c r="V45" s="37">
        <f t="shared" si="9"/>
        <v>5</v>
      </c>
      <c r="W45" s="37">
        <f t="shared" si="9"/>
        <v>4</v>
      </c>
      <c r="X45" s="37">
        <f t="shared" si="9"/>
        <v>2</v>
      </c>
      <c r="Y45" s="37">
        <f t="shared" si="9"/>
        <v>5</v>
      </c>
      <c r="Z45" s="37">
        <f t="shared" si="9"/>
        <v>0</v>
      </c>
      <c r="AA45" s="37">
        <f t="shared" si="9"/>
        <v>2</v>
      </c>
      <c r="AB45" s="37">
        <f t="shared" si="9"/>
        <v>8</v>
      </c>
      <c r="AC45" s="37">
        <f t="shared" si="9"/>
        <v>5</v>
      </c>
      <c r="AD45" s="37">
        <f t="shared" si="9"/>
        <v>3</v>
      </c>
      <c r="AE45" s="37">
        <f t="shared" si="9"/>
        <v>0</v>
      </c>
      <c r="AF45" s="37">
        <f t="shared" si="9"/>
        <v>2</v>
      </c>
      <c r="AG45" s="37">
        <f t="shared" si="9"/>
        <v>3</v>
      </c>
      <c r="AH45" s="37">
        <f t="shared" si="9"/>
        <v>1</v>
      </c>
      <c r="AI45" s="37">
        <f t="shared" si="9"/>
        <v>4</v>
      </c>
      <c r="AJ45" s="37">
        <f t="shared" si="9"/>
        <v>3</v>
      </c>
      <c r="AK45" s="37">
        <f t="shared" si="9"/>
        <v>7</v>
      </c>
      <c r="AL45" s="37">
        <f t="shared" si="9"/>
        <v>2</v>
      </c>
      <c r="AM45" s="37">
        <f t="shared" si="9"/>
        <v>1</v>
      </c>
      <c r="AN45" s="37">
        <f t="shared" si="9"/>
        <v>0</v>
      </c>
      <c r="AO45" s="37">
        <f t="shared" si="9"/>
        <v>4</v>
      </c>
      <c r="AP45" s="38">
        <f t="shared" si="6"/>
        <v>133</v>
      </c>
      <c r="AQ45" s="39">
        <f t="shared" si="7"/>
        <v>0.08525641026</v>
      </c>
    </row>
    <row r="46">
      <c r="A46" s="36" t="s">
        <v>6</v>
      </c>
      <c r="B46" s="37">
        <f t="shared" ref="B46:AO46" si="10">COUNTIF(B2:B40,1)</f>
        <v>2</v>
      </c>
      <c r="C46" s="37">
        <f t="shared" si="10"/>
        <v>1</v>
      </c>
      <c r="D46" s="37">
        <f t="shared" si="10"/>
        <v>2</v>
      </c>
      <c r="E46" s="37">
        <f t="shared" si="10"/>
        <v>2</v>
      </c>
      <c r="F46" s="37">
        <f t="shared" si="10"/>
        <v>2</v>
      </c>
      <c r="G46" s="37">
        <f t="shared" si="10"/>
        <v>1</v>
      </c>
      <c r="H46" s="37">
        <f t="shared" si="10"/>
        <v>1</v>
      </c>
      <c r="I46" s="37">
        <f t="shared" si="10"/>
        <v>2</v>
      </c>
      <c r="J46" s="37">
        <f t="shared" si="10"/>
        <v>2</v>
      </c>
      <c r="K46" s="37">
        <f t="shared" si="10"/>
        <v>1</v>
      </c>
      <c r="L46" s="37">
        <f t="shared" si="10"/>
        <v>1</v>
      </c>
      <c r="M46" s="37">
        <f t="shared" si="10"/>
        <v>1</v>
      </c>
      <c r="N46" s="37">
        <f t="shared" si="10"/>
        <v>1</v>
      </c>
      <c r="O46" s="37">
        <f t="shared" si="10"/>
        <v>1</v>
      </c>
      <c r="P46" s="37">
        <f t="shared" si="10"/>
        <v>2</v>
      </c>
      <c r="Q46" s="37">
        <f t="shared" si="10"/>
        <v>2</v>
      </c>
      <c r="R46" s="37">
        <f t="shared" si="10"/>
        <v>1</v>
      </c>
      <c r="S46" s="37">
        <f t="shared" si="10"/>
        <v>1</v>
      </c>
      <c r="T46" s="37">
        <f t="shared" si="10"/>
        <v>2</v>
      </c>
      <c r="U46" s="37">
        <f t="shared" si="10"/>
        <v>2</v>
      </c>
      <c r="V46" s="37">
        <f t="shared" si="10"/>
        <v>1</v>
      </c>
      <c r="W46" s="37">
        <f t="shared" si="10"/>
        <v>1</v>
      </c>
      <c r="X46" s="37">
        <f t="shared" si="10"/>
        <v>1</v>
      </c>
      <c r="Y46" s="37">
        <f t="shared" si="10"/>
        <v>1</v>
      </c>
      <c r="Z46" s="37">
        <f t="shared" si="10"/>
        <v>1</v>
      </c>
      <c r="AA46" s="37">
        <f t="shared" si="10"/>
        <v>2</v>
      </c>
      <c r="AB46" s="37">
        <f t="shared" si="10"/>
        <v>0</v>
      </c>
      <c r="AC46" s="37">
        <f t="shared" si="10"/>
        <v>1</v>
      </c>
      <c r="AD46" s="37">
        <f t="shared" si="10"/>
        <v>1</v>
      </c>
      <c r="AE46" s="37">
        <f t="shared" si="10"/>
        <v>1</v>
      </c>
      <c r="AF46" s="37">
        <f t="shared" si="10"/>
        <v>2</v>
      </c>
      <c r="AG46" s="37">
        <f t="shared" si="10"/>
        <v>1</v>
      </c>
      <c r="AH46" s="37">
        <f t="shared" si="10"/>
        <v>1</v>
      </c>
      <c r="AI46" s="37">
        <f t="shared" si="10"/>
        <v>2</v>
      </c>
      <c r="AJ46" s="37">
        <f t="shared" si="10"/>
        <v>0</v>
      </c>
      <c r="AK46" s="37">
        <f t="shared" si="10"/>
        <v>1</v>
      </c>
      <c r="AL46" s="37">
        <f t="shared" si="10"/>
        <v>1</v>
      </c>
      <c r="AM46" s="37">
        <f t="shared" si="10"/>
        <v>1</v>
      </c>
      <c r="AN46" s="37">
        <f t="shared" si="10"/>
        <v>1</v>
      </c>
      <c r="AO46" s="37">
        <f t="shared" si="10"/>
        <v>1</v>
      </c>
      <c r="AP46" s="38">
        <f t="shared" si="6"/>
        <v>51</v>
      </c>
      <c r="AQ46" s="39">
        <f t="shared" si="7"/>
        <v>0.03269230769</v>
      </c>
    </row>
    <row r="47">
      <c r="A47" s="40"/>
      <c r="B47" s="5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38">
        <f>SUM(AP42:AP46)</f>
        <v>1560</v>
      </c>
      <c r="AQ47" s="39">
        <f t="shared" si="7"/>
        <v>1</v>
      </c>
    </row>
    <row r="48">
      <c r="A48" s="40"/>
      <c r="B48" s="5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</row>
    <row r="49">
      <c r="A49" s="5"/>
      <c r="B49" s="5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</row>
    <row r="50">
      <c r="A50" s="5"/>
      <c r="B50" s="5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</row>
    <row r="51">
      <c r="A51" s="40"/>
      <c r="B51" s="5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</row>
    <row r="52">
      <c r="A52" s="42" t="s">
        <v>91</v>
      </c>
      <c r="B52" s="5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</row>
    <row r="53">
      <c r="A53" s="43" t="s">
        <v>92</v>
      </c>
      <c r="B53" s="44">
        <f>AVERAGE(AP2:AP40)</f>
        <v>142.2051282</v>
      </c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</row>
    <row r="54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</row>
    <row r="55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</row>
    <row r="56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</row>
    <row r="57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</row>
    <row r="58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</row>
    <row r="59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</row>
    <row r="60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</row>
    <row r="6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</row>
    <row r="62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</row>
    <row r="6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</row>
    <row r="64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</row>
    <row r="65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</row>
    <row r="66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</row>
    <row r="67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</row>
    <row r="68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</row>
    <row r="69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</row>
    <row r="70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</row>
    <row r="7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</row>
    <row r="72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</row>
    <row r="7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</row>
    <row r="74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</row>
    <row r="75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</row>
    <row r="76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</row>
    <row r="77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</row>
    <row r="78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</row>
    <row r="79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</row>
    <row r="80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</row>
    <row r="8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</row>
    <row r="82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</row>
    <row r="8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</row>
    <row r="84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</row>
    <row r="85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</row>
    <row r="86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</row>
    <row r="87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</row>
    <row r="88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</row>
    <row r="89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</row>
    <row r="90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</row>
    <row r="9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</row>
    <row r="92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</row>
    <row r="9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</row>
    <row r="94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</row>
    <row r="95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</row>
    <row r="96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</row>
    <row r="97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</row>
    <row r="98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</row>
    <row r="99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</row>
    <row r="100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</row>
    <row r="10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</row>
    <row r="102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</row>
    <row r="10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</row>
    <row r="104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</row>
    <row r="10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</row>
    <row r="106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</row>
    <row r="107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</row>
    <row r="108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</row>
    <row r="109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</row>
    <row r="110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</row>
    <row r="11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</row>
    <row r="112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</row>
    <row r="11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</row>
    <row r="114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</row>
    <row r="115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</row>
    <row r="116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</row>
    <row r="117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</row>
    <row r="118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</row>
    <row r="119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</row>
    <row r="120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</row>
    <row r="12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</row>
    <row r="122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</row>
    <row r="12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</row>
    <row r="124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</row>
    <row r="125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</row>
    <row r="126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</row>
    <row r="127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</row>
    <row r="128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</row>
    <row r="129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</row>
    <row r="130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</row>
    <row r="13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</row>
    <row r="132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</row>
    <row r="13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</row>
    <row r="134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</row>
    <row r="135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</row>
    <row r="136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</row>
    <row r="137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</row>
    <row r="138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</row>
    <row r="139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</row>
    <row r="140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</row>
    <row r="14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</row>
    <row r="142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</row>
    <row r="14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</row>
    <row r="144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</row>
    <row r="145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</row>
    <row r="146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</row>
    <row r="147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</row>
    <row r="148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</row>
    <row r="149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</row>
    <row r="150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</row>
    <row r="15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</row>
    <row r="152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</row>
    <row r="15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</row>
    <row r="154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</row>
    <row r="155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</row>
    <row r="156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</row>
    <row r="157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</row>
    <row r="158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</row>
    <row r="159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</row>
    <row r="160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</row>
    <row r="16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</row>
    <row r="162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</row>
    <row r="16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</row>
    <row r="164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</row>
    <row r="165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</row>
    <row r="166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</row>
    <row r="167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</row>
    <row r="168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</row>
    <row r="169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</row>
    <row r="170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</row>
    <row r="17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</row>
    <row r="172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</row>
    <row r="17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</row>
    <row r="174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</row>
    <row r="175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</row>
    <row r="176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</row>
    <row r="177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</row>
    <row r="178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</row>
    <row r="179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</row>
    <row r="180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</row>
    <row r="18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</row>
    <row r="182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</row>
    <row r="18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</row>
    <row r="184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</row>
    <row r="185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</row>
    <row r="186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</row>
    <row r="187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</row>
    <row r="188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</row>
    <row r="189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</row>
    <row r="190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</row>
    <row r="19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</row>
    <row r="192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</row>
    <row r="19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</row>
    <row r="194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</row>
    <row r="195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</row>
    <row r="196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</row>
    <row r="197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</row>
    <row r="198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</row>
    <row r="199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</row>
    <row r="200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</row>
    <row r="20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</row>
    <row r="202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</row>
    <row r="20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</row>
    <row r="204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</row>
    <row r="205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</row>
    <row r="206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</row>
    <row r="207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</row>
    <row r="208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</row>
    <row r="209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</row>
    <row r="210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</row>
    <row r="21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</row>
    <row r="212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</row>
    <row r="21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</row>
    <row r="214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</row>
    <row r="215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</row>
    <row r="216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</row>
    <row r="217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</row>
    <row r="218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</row>
    <row r="219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</row>
    <row r="220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</row>
    <row r="22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</row>
    <row r="222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</row>
    <row r="22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</row>
    <row r="224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</row>
    <row r="225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</row>
    <row r="226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</row>
    <row r="227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</row>
    <row r="228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</row>
    <row r="229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</row>
    <row r="230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</row>
    <row r="23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</row>
    <row r="232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</row>
    <row r="23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</row>
    <row r="234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</row>
    <row r="235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</row>
    <row r="236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</row>
    <row r="237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</row>
    <row r="238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</row>
    <row r="239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</row>
    <row r="240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</row>
    <row r="24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</row>
    <row r="242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</row>
    <row r="24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</row>
    <row r="244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</row>
    <row r="245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</row>
    <row r="246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</row>
    <row r="247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</row>
    <row r="248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</row>
    <row r="249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</row>
    <row r="250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</row>
    <row r="25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</row>
    <row r="252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</row>
    <row r="25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</row>
    <row r="254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</row>
    <row r="255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</row>
    <row r="256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</row>
    <row r="257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</row>
    <row r="258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</row>
    <row r="259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</row>
    <row r="260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</row>
    <row r="26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</row>
    <row r="262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</row>
    <row r="26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</row>
    <row r="264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</row>
    <row r="265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</row>
    <row r="266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</row>
    <row r="267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</row>
    <row r="268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</row>
    <row r="269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</row>
    <row r="270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</row>
    <row r="27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</row>
    <row r="272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</row>
    <row r="27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</row>
    <row r="274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</row>
    <row r="275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</row>
    <row r="276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</row>
    <row r="277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</row>
    <row r="278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</row>
    <row r="279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</row>
    <row r="280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</row>
    <row r="28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</row>
    <row r="282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</row>
    <row r="28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</row>
    <row r="284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</row>
    <row r="285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</row>
    <row r="286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</row>
    <row r="287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</row>
    <row r="288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</row>
    <row r="289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</row>
    <row r="290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</row>
    <row r="29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</row>
    <row r="292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</row>
    <row r="29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</row>
    <row r="294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</row>
    <row r="295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</row>
    <row r="296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</row>
    <row r="297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</row>
    <row r="298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</row>
    <row r="299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</row>
    <row r="300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</row>
    <row r="30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</row>
    <row r="302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</row>
    <row r="30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</row>
    <row r="304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</row>
    <row r="305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</row>
    <row r="306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</row>
    <row r="307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</row>
    <row r="308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</row>
    <row r="309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</row>
    <row r="310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</row>
    <row r="31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</row>
    <row r="312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</row>
    <row r="31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</row>
    <row r="314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</row>
    <row r="315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</row>
    <row r="316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</row>
    <row r="317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</row>
    <row r="318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</row>
    <row r="319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</row>
    <row r="320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</row>
    <row r="32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</row>
    <row r="322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</row>
    <row r="32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</row>
    <row r="324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</row>
    <row r="325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</row>
    <row r="326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</row>
    <row r="327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</row>
    <row r="328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</row>
    <row r="329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</row>
    <row r="330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</row>
    <row r="33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</row>
    <row r="332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</row>
    <row r="33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</row>
    <row r="334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</row>
    <row r="335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</row>
    <row r="336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</row>
    <row r="337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</row>
    <row r="338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</row>
    <row r="339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</row>
    <row r="340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</row>
    <row r="34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</row>
    <row r="342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</row>
    <row r="34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</row>
    <row r="344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</row>
    <row r="345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</row>
    <row r="346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</row>
    <row r="347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</row>
    <row r="348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</row>
    <row r="349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</row>
    <row r="350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</row>
    <row r="35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</row>
    <row r="352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</row>
    <row r="35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</row>
    <row r="354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</row>
    <row r="355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</row>
    <row r="356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</row>
    <row r="357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</row>
    <row r="358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</row>
    <row r="359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</row>
    <row r="360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</row>
    <row r="36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</row>
    <row r="362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</row>
    <row r="36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</row>
    <row r="364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</row>
    <row r="365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</row>
    <row r="366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</row>
    <row r="367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</row>
    <row r="368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</row>
    <row r="369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</row>
    <row r="370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</row>
    <row r="37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</row>
    <row r="372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</row>
    <row r="37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</row>
    <row r="374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</row>
    <row r="375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</row>
    <row r="376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</row>
    <row r="377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</row>
    <row r="378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</row>
    <row r="379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</row>
    <row r="380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</row>
    <row r="38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</row>
    <row r="382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</row>
    <row r="38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</row>
    <row r="384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</row>
    <row r="385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</row>
    <row r="386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</row>
    <row r="387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</row>
    <row r="388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</row>
    <row r="389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</row>
    <row r="390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</row>
    <row r="39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</row>
    <row r="392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</row>
    <row r="39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</row>
    <row r="394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</row>
    <row r="395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</row>
    <row r="396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</row>
    <row r="397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</row>
    <row r="398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</row>
    <row r="399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</row>
    <row r="400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</row>
    <row r="40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</row>
    <row r="402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</row>
    <row r="403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</row>
    <row r="404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</row>
    <row r="405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</row>
    <row r="406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</row>
    <row r="407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</row>
    <row r="408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</row>
    <row r="409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</row>
    <row r="410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</row>
    <row r="41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</row>
    <row r="412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</row>
    <row r="413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</row>
    <row r="414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</row>
    <row r="415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</row>
    <row r="416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</row>
    <row r="417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</row>
    <row r="418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</row>
    <row r="419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</row>
    <row r="420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</row>
    <row r="42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</row>
    <row r="422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</row>
    <row r="423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</row>
    <row r="424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</row>
    <row r="425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</row>
    <row r="426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</row>
    <row r="427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</row>
    <row r="428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</row>
    <row r="429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</row>
    <row r="430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</row>
    <row r="43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</row>
    <row r="432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</row>
    <row r="433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</row>
    <row r="434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</row>
    <row r="435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</row>
    <row r="436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</row>
    <row r="437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</row>
    <row r="438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</row>
    <row r="439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</row>
    <row r="440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</row>
    <row r="44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</row>
    <row r="442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</row>
    <row r="443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</row>
    <row r="444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</row>
    <row r="445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</row>
    <row r="446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</row>
    <row r="447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</row>
    <row r="448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</row>
    <row r="449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</row>
    <row r="450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</row>
    <row r="45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</row>
    <row r="452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</row>
    <row r="453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</row>
    <row r="454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</row>
    <row r="455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</row>
    <row r="456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</row>
    <row r="457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</row>
    <row r="458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</row>
    <row r="459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</row>
    <row r="460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</row>
    <row r="46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</row>
    <row r="462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</row>
    <row r="463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</row>
    <row r="464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</row>
    <row r="465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</row>
    <row r="466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</row>
    <row r="467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</row>
    <row r="468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</row>
    <row r="469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</row>
    <row r="470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</row>
    <row r="47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</row>
    <row r="472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</row>
    <row r="473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</row>
    <row r="474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</row>
    <row r="475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</row>
    <row r="476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</row>
    <row r="477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</row>
    <row r="478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</row>
    <row r="479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</row>
    <row r="480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</row>
    <row r="48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</row>
    <row r="482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</row>
    <row r="483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</row>
    <row r="484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</row>
    <row r="485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</row>
    <row r="486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</row>
    <row r="487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</row>
    <row r="488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</row>
    <row r="489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</row>
    <row r="490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</row>
    <row r="49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</row>
    <row r="492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</row>
    <row r="493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</row>
    <row r="494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</row>
    <row r="495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</row>
    <row r="496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</row>
    <row r="497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</row>
    <row r="498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</row>
    <row r="499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</row>
    <row r="500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</row>
    <row r="50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</row>
    <row r="502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</row>
    <row r="503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</row>
    <row r="504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</row>
    <row r="505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</row>
    <row r="506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</row>
    <row r="507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</row>
    <row r="508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</row>
    <row r="509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</row>
    <row r="510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</row>
    <row r="51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</row>
    <row r="512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</row>
    <row r="513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</row>
    <row r="514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</row>
    <row r="515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</row>
    <row r="516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</row>
    <row r="517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</row>
    <row r="518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</row>
    <row r="519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</row>
    <row r="520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</row>
    <row r="52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</row>
    <row r="522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</row>
    <row r="523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</row>
    <row r="524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</row>
    <row r="525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</row>
    <row r="526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</row>
    <row r="527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</row>
    <row r="528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</row>
    <row r="529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</row>
    <row r="530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</row>
    <row r="53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</row>
    <row r="532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</row>
    <row r="533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</row>
    <row r="534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</row>
    <row r="535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</row>
    <row r="536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</row>
    <row r="537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</row>
    <row r="538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</row>
    <row r="539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</row>
    <row r="540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</row>
    <row r="54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</row>
    <row r="542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</row>
    <row r="543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</row>
    <row r="544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</row>
    <row r="545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</row>
    <row r="546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</row>
    <row r="547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</row>
    <row r="548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</row>
    <row r="549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</row>
    <row r="550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</row>
    <row r="55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</row>
    <row r="552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</row>
    <row r="553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</row>
    <row r="554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</row>
    <row r="555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</row>
    <row r="556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</row>
    <row r="557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</row>
    <row r="558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</row>
    <row r="559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</row>
    <row r="560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</row>
    <row r="56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</row>
    <row r="562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</row>
    <row r="563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</row>
    <row r="564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</row>
    <row r="565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</row>
    <row r="566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</row>
    <row r="567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</row>
    <row r="568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</row>
    <row r="569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</row>
    <row r="570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</row>
    <row r="57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</row>
    <row r="572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</row>
    <row r="573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</row>
    <row r="574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</row>
    <row r="575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</row>
    <row r="576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</row>
    <row r="577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</row>
    <row r="578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</row>
    <row r="579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</row>
    <row r="580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</row>
    <row r="58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</row>
    <row r="582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</row>
    <row r="583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</row>
    <row r="584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</row>
    <row r="585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</row>
    <row r="586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</row>
    <row r="587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</row>
    <row r="588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</row>
    <row r="589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</row>
    <row r="590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</row>
    <row r="59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</row>
    <row r="592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</row>
    <row r="593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</row>
    <row r="594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</row>
    <row r="595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</row>
    <row r="596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</row>
    <row r="597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</row>
    <row r="598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</row>
    <row r="599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</row>
    <row r="600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</row>
    <row r="60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</row>
    <row r="602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</row>
    <row r="603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</row>
    <row r="604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</row>
    <row r="605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</row>
    <row r="606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</row>
    <row r="607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</row>
    <row r="608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</row>
    <row r="609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</row>
    <row r="610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</row>
    <row r="61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</row>
    <row r="612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</row>
    <row r="613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</row>
    <row r="614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</row>
    <row r="615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</row>
    <row r="616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</row>
    <row r="617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</row>
    <row r="618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</row>
    <row r="619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</row>
    <row r="620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</row>
    <row r="62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</row>
    <row r="622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</row>
    <row r="623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</row>
    <row r="624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</row>
    <row r="625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</row>
    <row r="626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</row>
    <row r="627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</row>
    <row r="628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</row>
    <row r="629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</row>
    <row r="630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</row>
    <row r="63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</row>
    <row r="632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</row>
    <row r="633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</row>
    <row r="634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</row>
    <row r="635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</row>
    <row r="636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</row>
    <row r="637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</row>
    <row r="638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</row>
    <row r="639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</row>
    <row r="640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</row>
    <row r="64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</row>
    <row r="642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</row>
    <row r="643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</row>
    <row r="644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</row>
    <row r="645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</row>
    <row r="646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</row>
    <row r="647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</row>
    <row r="648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</row>
    <row r="649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</row>
    <row r="650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</row>
    <row r="65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</row>
    <row r="652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</row>
    <row r="653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</row>
    <row r="654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</row>
    <row r="655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</row>
    <row r="656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</row>
    <row r="657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</row>
    <row r="658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</row>
    <row r="659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</row>
    <row r="660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</row>
    <row r="66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</row>
    <row r="662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</row>
    <row r="663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</row>
    <row r="664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</row>
    <row r="665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</row>
    <row r="666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</row>
    <row r="667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</row>
    <row r="668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</row>
    <row r="669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</row>
    <row r="670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</row>
    <row r="67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</row>
    <row r="672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</row>
    <row r="673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</row>
    <row r="674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</row>
    <row r="675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</row>
    <row r="676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</row>
    <row r="677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</row>
    <row r="678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</row>
    <row r="679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</row>
    <row r="680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</row>
    <row r="68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</row>
    <row r="682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</row>
    <row r="683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</row>
    <row r="684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</row>
    <row r="685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</row>
    <row r="686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</row>
    <row r="687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</row>
    <row r="688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</row>
    <row r="689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  <c r="AE689" s="41"/>
      <c r="AF689" s="41"/>
      <c r="AG689" s="41"/>
      <c r="AH689" s="41"/>
      <c r="AI689" s="41"/>
      <c r="AJ689" s="41"/>
      <c r="AK689" s="41"/>
      <c r="AL689" s="41"/>
      <c r="AM689" s="41"/>
      <c r="AN689" s="41"/>
      <c r="AO689" s="41"/>
      <c r="AP689" s="41"/>
      <c r="AQ689" s="41"/>
    </row>
    <row r="690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  <c r="AE690" s="41"/>
      <c r="AF690" s="41"/>
      <c r="AG690" s="41"/>
      <c r="AH690" s="41"/>
      <c r="AI690" s="41"/>
      <c r="AJ690" s="41"/>
      <c r="AK690" s="41"/>
      <c r="AL690" s="41"/>
      <c r="AM690" s="41"/>
      <c r="AN690" s="41"/>
      <c r="AO690" s="41"/>
      <c r="AP690" s="41"/>
      <c r="AQ690" s="41"/>
    </row>
    <row r="69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  <c r="AE691" s="41"/>
      <c r="AF691" s="41"/>
      <c r="AG691" s="41"/>
      <c r="AH691" s="41"/>
      <c r="AI691" s="41"/>
      <c r="AJ691" s="41"/>
      <c r="AK691" s="41"/>
      <c r="AL691" s="41"/>
      <c r="AM691" s="41"/>
      <c r="AN691" s="41"/>
      <c r="AO691" s="41"/>
      <c r="AP691" s="41"/>
      <c r="AQ691" s="41"/>
    </row>
    <row r="692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  <c r="AE692" s="41"/>
      <c r="AF692" s="41"/>
      <c r="AG692" s="41"/>
      <c r="AH692" s="41"/>
      <c r="AI692" s="41"/>
      <c r="AJ692" s="41"/>
      <c r="AK692" s="41"/>
      <c r="AL692" s="41"/>
      <c r="AM692" s="41"/>
      <c r="AN692" s="41"/>
      <c r="AO692" s="41"/>
      <c r="AP692" s="41"/>
      <c r="AQ692" s="41"/>
    </row>
    <row r="693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  <c r="AE693" s="41"/>
      <c r="AF693" s="41"/>
      <c r="AG693" s="41"/>
      <c r="AH693" s="41"/>
      <c r="AI693" s="41"/>
      <c r="AJ693" s="41"/>
      <c r="AK693" s="41"/>
      <c r="AL693" s="41"/>
      <c r="AM693" s="41"/>
      <c r="AN693" s="41"/>
      <c r="AO693" s="41"/>
      <c r="AP693" s="41"/>
      <c r="AQ693" s="41"/>
    </row>
    <row r="694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  <c r="AE694" s="41"/>
      <c r="AF694" s="41"/>
      <c r="AG694" s="41"/>
      <c r="AH694" s="41"/>
      <c r="AI694" s="41"/>
      <c r="AJ694" s="41"/>
      <c r="AK694" s="41"/>
      <c r="AL694" s="41"/>
      <c r="AM694" s="41"/>
      <c r="AN694" s="41"/>
      <c r="AO694" s="41"/>
      <c r="AP694" s="41"/>
      <c r="AQ694" s="41"/>
    </row>
    <row r="695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  <c r="AE695" s="41"/>
      <c r="AF695" s="41"/>
      <c r="AG695" s="41"/>
      <c r="AH695" s="41"/>
      <c r="AI695" s="41"/>
      <c r="AJ695" s="41"/>
      <c r="AK695" s="41"/>
      <c r="AL695" s="41"/>
      <c r="AM695" s="41"/>
      <c r="AN695" s="41"/>
      <c r="AO695" s="41"/>
      <c r="AP695" s="41"/>
      <c r="AQ695" s="41"/>
    </row>
    <row r="696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  <c r="AE696" s="41"/>
      <c r="AF696" s="41"/>
      <c r="AG696" s="41"/>
      <c r="AH696" s="41"/>
      <c r="AI696" s="41"/>
      <c r="AJ696" s="41"/>
      <c r="AK696" s="41"/>
      <c r="AL696" s="41"/>
      <c r="AM696" s="41"/>
      <c r="AN696" s="41"/>
      <c r="AO696" s="41"/>
      <c r="AP696" s="41"/>
      <c r="AQ696" s="41"/>
    </row>
    <row r="697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  <c r="AE697" s="41"/>
      <c r="AF697" s="41"/>
      <c r="AG697" s="41"/>
      <c r="AH697" s="41"/>
      <c r="AI697" s="41"/>
      <c r="AJ697" s="41"/>
      <c r="AK697" s="41"/>
      <c r="AL697" s="41"/>
      <c r="AM697" s="41"/>
      <c r="AN697" s="41"/>
      <c r="AO697" s="41"/>
      <c r="AP697" s="41"/>
      <c r="AQ697" s="41"/>
    </row>
    <row r="698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  <c r="AE698" s="41"/>
      <c r="AF698" s="41"/>
      <c r="AG698" s="41"/>
      <c r="AH698" s="41"/>
      <c r="AI698" s="41"/>
      <c r="AJ698" s="41"/>
      <c r="AK698" s="41"/>
      <c r="AL698" s="41"/>
      <c r="AM698" s="41"/>
      <c r="AN698" s="41"/>
      <c r="AO698" s="41"/>
      <c r="AP698" s="41"/>
      <c r="AQ698" s="41"/>
    </row>
    <row r="699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  <c r="AE699" s="41"/>
      <c r="AF699" s="41"/>
      <c r="AG699" s="41"/>
      <c r="AH699" s="41"/>
      <c r="AI699" s="41"/>
      <c r="AJ699" s="41"/>
      <c r="AK699" s="41"/>
      <c r="AL699" s="41"/>
      <c r="AM699" s="41"/>
      <c r="AN699" s="41"/>
      <c r="AO699" s="41"/>
      <c r="AP699" s="41"/>
      <c r="AQ699" s="41"/>
    </row>
    <row r="700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  <c r="AE700" s="41"/>
      <c r="AF700" s="41"/>
      <c r="AG700" s="41"/>
      <c r="AH700" s="41"/>
      <c r="AI700" s="41"/>
      <c r="AJ700" s="41"/>
      <c r="AK700" s="41"/>
      <c r="AL700" s="41"/>
      <c r="AM700" s="41"/>
      <c r="AN700" s="41"/>
      <c r="AO700" s="41"/>
      <c r="AP700" s="41"/>
      <c r="AQ700" s="41"/>
    </row>
    <row r="70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  <c r="AE701" s="41"/>
      <c r="AF701" s="41"/>
      <c r="AG701" s="41"/>
      <c r="AH701" s="41"/>
      <c r="AI701" s="41"/>
      <c r="AJ701" s="41"/>
      <c r="AK701" s="41"/>
      <c r="AL701" s="41"/>
      <c r="AM701" s="41"/>
      <c r="AN701" s="41"/>
      <c r="AO701" s="41"/>
      <c r="AP701" s="41"/>
      <c r="AQ701" s="41"/>
    </row>
    <row r="702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  <c r="AE702" s="41"/>
      <c r="AF702" s="41"/>
      <c r="AG702" s="41"/>
      <c r="AH702" s="41"/>
      <c r="AI702" s="41"/>
      <c r="AJ702" s="41"/>
      <c r="AK702" s="41"/>
      <c r="AL702" s="41"/>
      <c r="AM702" s="41"/>
      <c r="AN702" s="41"/>
      <c r="AO702" s="41"/>
      <c r="AP702" s="41"/>
      <c r="AQ702" s="41"/>
    </row>
    <row r="703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  <c r="AE703" s="41"/>
      <c r="AF703" s="41"/>
      <c r="AG703" s="41"/>
      <c r="AH703" s="41"/>
      <c r="AI703" s="41"/>
      <c r="AJ703" s="41"/>
      <c r="AK703" s="41"/>
      <c r="AL703" s="41"/>
      <c r="AM703" s="41"/>
      <c r="AN703" s="41"/>
      <c r="AO703" s="41"/>
      <c r="AP703" s="41"/>
      <c r="AQ703" s="41"/>
    </row>
    <row r="704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  <c r="AE704" s="41"/>
      <c r="AF704" s="41"/>
      <c r="AG704" s="41"/>
      <c r="AH704" s="41"/>
      <c r="AI704" s="41"/>
      <c r="AJ704" s="41"/>
      <c r="AK704" s="41"/>
      <c r="AL704" s="41"/>
      <c r="AM704" s="41"/>
      <c r="AN704" s="41"/>
      <c r="AO704" s="41"/>
      <c r="AP704" s="41"/>
      <c r="AQ704" s="41"/>
    </row>
    <row r="705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  <c r="AE705" s="41"/>
      <c r="AF705" s="41"/>
      <c r="AG705" s="41"/>
      <c r="AH705" s="41"/>
      <c r="AI705" s="41"/>
      <c r="AJ705" s="41"/>
      <c r="AK705" s="41"/>
      <c r="AL705" s="41"/>
      <c r="AM705" s="41"/>
      <c r="AN705" s="41"/>
      <c r="AO705" s="41"/>
      <c r="AP705" s="41"/>
      <c r="AQ705" s="41"/>
    </row>
    <row r="706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  <c r="AE706" s="41"/>
      <c r="AF706" s="41"/>
      <c r="AG706" s="41"/>
      <c r="AH706" s="41"/>
      <c r="AI706" s="41"/>
      <c r="AJ706" s="41"/>
      <c r="AK706" s="41"/>
      <c r="AL706" s="41"/>
      <c r="AM706" s="41"/>
      <c r="AN706" s="41"/>
      <c r="AO706" s="41"/>
      <c r="AP706" s="41"/>
      <c r="AQ706" s="41"/>
    </row>
    <row r="707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  <c r="AE707" s="41"/>
      <c r="AF707" s="41"/>
      <c r="AG707" s="41"/>
      <c r="AH707" s="41"/>
      <c r="AI707" s="41"/>
      <c r="AJ707" s="41"/>
      <c r="AK707" s="41"/>
      <c r="AL707" s="41"/>
      <c r="AM707" s="41"/>
      <c r="AN707" s="41"/>
      <c r="AO707" s="41"/>
      <c r="AP707" s="41"/>
      <c r="AQ707" s="41"/>
    </row>
    <row r="708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  <c r="AE708" s="41"/>
      <c r="AF708" s="41"/>
      <c r="AG708" s="41"/>
      <c r="AH708" s="41"/>
      <c r="AI708" s="41"/>
      <c r="AJ708" s="41"/>
      <c r="AK708" s="41"/>
      <c r="AL708" s="41"/>
      <c r="AM708" s="41"/>
      <c r="AN708" s="41"/>
      <c r="AO708" s="41"/>
      <c r="AP708" s="41"/>
      <c r="AQ708" s="41"/>
    </row>
    <row r="709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  <c r="AE709" s="41"/>
      <c r="AF709" s="41"/>
      <c r="AG709" s="41"/>
      <c r="AH709" s="41"/>
      <c r="AI709" s="41"/>
      <c r="AJ709" s="41"/>
      <c r="AK709" s="41"/>
      <c r="AL709" s="41"/>
      <c r="AM709" s="41"/>
      <c r="AN709" s="41"/>
      <c r="AO709" s="41"/>
      <c r="AP709" s="41"/>
      <c r="AQ709" s="41"/>
    </row>
    <row r="710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  <c r="AE710" s="41"/>
      <c r="AF710" s="41"/>
      <c r="AG710" s="41"/>
      <c r="AH710" s="41"/>
      <c r="AI710" s="41"/>
      <c r="AJ710" s="41"/>
      <c r="AK710" s="41"/>
      <c r="AL710" s="41"/>
      <c r="AM710" s="41"/>
      <c r="AN710" s="41"/>
      <c r="AO710" s="41"/>
      <c r="AP710" s="41"/>
      <c r="AQ710" s="41"/>
    </row>
    <row r="71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  <c r="AE711" s="41"/>
      <c r="AF711" s="41"/>
      <c r="AG711" s="41"/>
      <c r="AH711" s="41"/>
      <c r="AI711" s="41"/>
      <c r="AJ711" s="41"/>
      <c r="AK711" s="41"/>
      <c r="AL711" s="41"/>
      <c r="AM711" s="41"/>
      <c r="AN711" s="41"/>
      <c r="AO711" s="41"/>
      <c r="AP711" s="41"/>
      <c r="AQ711" s="41"/>
    </row>
    <row r="712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/>
      <c r="AN712" s="41"/>
      <c r="AO712" s="41"/>
      <c r="AP712" s="41"/>
      <c r="AQ712" s="41"/>
    </row>
    <row r="713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  <c r="AE713" s="41"/>
      <c r="AF713" s="41"/>
      <c r="AG713" s="41"/>
      <c r="AH713" s="41"/>
      <c r="AI713" s="41"/>
      <c r="AJ713" s="41"/>
      <c r="AK713" s="41"/>
      <c r="AL713" s="41"/>
      <c r="AM713" s="41"/>
      <c r="AN713" s="41"/>
      <c r="AO713" s="41"/>
      <c r="AP713" s="41"/>
      <c r="AQ713" s="41"/>
    </row>
    <row r="714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  <c r="AE714" s="41"/>
      <c r="AF714" s="41"/>
      <c r="AG714" s="41"/>
      <c r="AH714" s="41"/>
      <c r="AI714" s="41"/>
      <c r="AJ714" s="41"/>
      <c r="AK714" s="41"/>
      <c r="AL714" s="41"/>
      <c r="AM714" s="41"/>
      <c r="AN714" s="41"/>
      <c r="AO714" s="41"/>
      <c r="AP714" s="41"/>
      <c r="AQ714" s="41"/>
    </row>
    <row r="715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  <c r="AE715" s="41"/>
      <c r="AF715" s="41"/>
      <c r="AG715" s="41"/>
      <c r="AH715" s="41"/>
      <c r="AI715" s="41"/>
      <c r="AJ715" s="41"/>
      <c r="AK715" s="41"/>
      <c r="AL715" s="41"/>
      <c r="AM715" s="41"/>
      <c r="AN715" s="41"/>
      <c r="AO715" s="41"/>
      <c r="AP715" s="41"/>
      <c r="AQ715" s="41"/>
    </row>
    <row r="716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  <c r="AE716" s="41"/>
      <c r="AF716" s="41"/>
      <c r="AG716" s="41"/>
      <c r="AH716" s="41"/>
      <c r="AI716" s="41"/>
      <c r="AJ716" s="41"/>
      <c r="AK716" s="41"/>
      <c r="AL716" s="41"/>
      <c r="AM716" s="41"/>
      <c r="AN716" s="41"/>
      <c r="AO716" s="41"/>
      <c r="AP716" s="41"/>
      <c r="AQ716" s="41"/>
    </row>
    <row r="717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  <c r="AE717" s="41"/>
      <c r="AF717" s="41"/>
      <c r="AG717" s="41"/>
      <c r="AH717" s="41"/>
      <c r="AI717" s="41"/>
      <c r="AJ717" s="41"/>
      <c r="AK717" s="41"/>
      <c r="AL717" s="41"/>
      <c r="AM717" s="41"/>
      <c r="AN717" s="41"/>
      <c r="AO717" s="41"/>
      <c r="AP717" s="41"/>
      <c r="AQ717" s="41"/>
    </row>
    <row r="718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  <c r="AE718" s="41"/>
      <c r="AF718" s="41"/>
      <c r="AG718" s="41"/>
      <c r="AH718" s="41"/>
      <c r="AI718" s="41"/>
      <c r="AJ718" s="41"/>
      <c r="AK718" s="41"/>
      <c r="AL718" s="41"/>
      <c r="AM718" s="41"/>
      <c r="AN718" s="41"/>
      <c r="AO718" s="41"/>
      <c r="AP718" s="41"/>
      <c r="AQ718" s="41"/>
    </row>
    <row r="719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  <c r="AE719" s="41"/>
      <c r="AF719" s="41"/>
      <c r="AG719" s="41"/>
      <c r="AH719" s="41"/>
      <c r="AI719" s="41"/>
      <c r="AJ719" s="41"/>
      <c r="AK719" s="41"/>
      <c r="AL719" s="41"/>
      <c r="AM719" s="41"/>
      <c r="AN719" s="41"/>
      <c r="AO719" s="41"/>
      <c r="AP719" s="41"/>
      <c r="AQ719" s="41"/>
    </row>
    <row r="720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  <c r="AE720" s="41"/>
      <c r="AF720" s="41"/>
      <c r="AG720" s="41"/>
      <c r="AH720" s="41"/>
      <c r="AI720" s="41"/>
      <c r="AJ720" s="41"/>
      <c r="AK720" s="41"/>
      <c r="AL720" s="41"/>
      <c r="AM720" s="41"/>
      <c r="AN720" s="41"/>
      <c r="AO720" s="41"/>
      <c r="AP720" s="41"/>
      <c r="AQ720" s="41"/>
    </row>
    <row r="72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  <c r="AE721" s="41"/>
      <c r="AF721" s="41"/>
      <c r="AG721" s="41"/>
      <c r="AH721" s="41"/>
      <c r="AI721" s="41"/>
      <c r="AJ721" s="41"/>
      <c r="AK721" s="41"/>
      <c r="AL721" s="41"/>
      <c r="AM721" s="41"/>
      <c r="AN721" s="41"/>
      <c r="AO721" s="41"/>
      <c r="AP721" s="41"/>
      <c r="AQ721" s="41"/>
    </row>
    <row r="722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  <c r="AE722" s="41"/>
      <c r="AF722" s="41"/>
      <c r="AG722" s="41"/>
      <c r="AH722" s="41"/>
      <c r="AI722" s="41"/>
      <c r="AJ722" s="41"/>
      <c r="AK722" s="41"/>
      <c r="AL722" s="41"/>
      <c r="AM722" s="41"/>
      <c r="AN722" s="41"/>
      <c r="AO722" s="41"/>
      <c r="AP722" s="41"/>
      <c r="AQ722" s="41"/>
    </row>
    <row r="723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  <c r="AE723" s="41"/>
      <c r="AF723" s="41"/>
      <c r="AG723" s="41"/>
      <c r="AH723" s="41"/>
      <c r="AI723" s="41"/>
      <c r="AJ723" s="41"/>
      <c r="AK723" s="41"/>
      <c r="AL723" s="41"/>
      <c r="AM723" s="41"/>
      <c r="AN723" s="41"/>
      <c r="AO723" s="41"/>
      <c r="AP723" s="41"/>
      <c r="AQ723" s="41"/>
    </row>
    <row r="724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  <c r="AE724" s="41"/>
      <c r="AF724" s="41"/>
      <c r="AG724" s="41"/>
      <c r="AH724" s="41"/>
      <c r="AI724" s="41"/>
      <c r="AJ724" s="41"/>
      <c r="AK724" s="41"/>
      <c r="AL724" s="41"/>
      <c r="AM724" s="41"/>
      <c r="AN724" s="41"/>
      <c r="AO724" s="41"/>
      <c r="AP724" s="41"/>
      <c r="AQ724" s="41"/>
    </row>
    <row r="725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  <c r="AE725" s="41"/>
      <c r="AF725" s="41"/>
      <c r="AG725" s="41"/>
      <c r="AH725" s="41"/>
      <c r="AI725" s="41"/>
      <c r="AJ725" s="41"/>
      <c r="AK725" s="41"/>
      <c r="AL725" s="41"/>
      <c r="AM725" s="41"/>
      <c r="AN725" s="41"/>
      <c r="AO725" s="41"/>
      <c r="AP725" s="41"/>
      <c r="AQ725" s="41"/>
    </row>
    <row r="726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  <c r="AE726" s="41"/>
      <c r="AF726" s="41"/>
      <c r="AG726" s="41"/>
      <c r="AH726" s="41"/>
      <c r="AI726" s="41"/>
      <c r="AJ726" s="41"/>
      <c r="AK726" s="41"/>
      <c r="AL726" s="41"/>
      <c r="AM726" s="41"/>
      <c r="AN726" s="41"/>
      <c r="AO726" s="41"/>
      <c r="AP726" s="41"/>
      <c r="AQ726" s="41"/>
    </row>
    <row r="727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  <c r="AE727" s="41"/>
      <c r="AF727" s="41"/>
      <c r="AG727" s="41"/>
      <c r="AH727" s="41"/>
      <c r="AI727" s="41"/>
      <c r="AJ727" s="41"/>
      <c r="AK727" s="41"/>
      <c r="AL727" s="41"/>
      <c r="AM727" s="41"/>
      <c r="AN727" s="41"/>
      <c r="AO727" s="41"/>
      <c r="AP727" s="41"/>
      <c r="AQ727" s="41"/>
    </row>
    <row r="728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  <c r="AE728" s="41"/>
      <c r="AF728" s="41"/>
      <c r="AG728" s="41"/>
      <c r="AH728" s="41"/>
      <c r="AI728" s="41"/>
      <c r="AJ728" s="41"/>
      <c r="AK728" s="41"/>
      <c r="AL728" s="41"/>
      <c r="AM728" s="41"/>
      <c r="AN728" s="41"/>
      <c r="AO728" s="41"/>
      <c r="AP728" s="41"/>
      <c r="AQ728" s="41"/>
    </row>
    <row r="729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  <c r="AE729" s="41"/>
      <c r="AF729" s="41"/>
      <c r="AG729" s="41"/>
      <c r="AH729" s="41"/>
      <c r="AI729" s="41"/>
      <c r="AJ729" s="41"/>
      <c r="AK729" s="41"/>
      <c r="AL729" s="41"/>
      <c r="AM729" s="41"/>
      <c r="AN729" s="41"/>
      <c r="AO729" s="41"/>
      <c r="AP729" s="41"/>
      <c r="AQ729" s="41"/>
    </row>
    <row r="730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  <c r="AE730" s="41"/>
      <c r="AF730" s="41"/>
      <c r="AG730" s="41"/>
      <c r="AH730" s="41"/>
      <c r="AI730" s="41"/>
      <c r="AJ730" s="41"/>
      <c r="AK730" s="41"/>
      <c r="AL730" s="41"/>
      <c r="AM730" s="41"/>
      <c r="AN730" s="41"/>
      <c r="AO730" s="41"/>
      <c r="AP730" s="41"/>
      <c r="AQ730" s="41"/>
    </row>
    <row r="73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  <c r="AE731" s="41"/>
      <c r="AF731" s="41"/>
      <c r="AG731" s="41"/>
      <c r="AH731" s="41"/>
      <c r="AI731" s="41"/>
      <c r="AJ731" s="41"/>
      <c r="AK731" s="41"/>
      <c r="AL731" s="41"/>
      <c r="AM731" s="41"/>
      <c r="AN731" s="41"/>
      <c r="AO731" s="41"/>
      <c r="AP731" s="41"/>
      <c r="AQ731" s="41"/>
    </row>
    <row r="732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  <c r="AE732" s="41"/>
      <c r="AF732" s="41"/>
      <c r="AG732" s="41"/>
      <c r="AH732" s="41"/>
      <c r="AI732" s="41"/>
      <c r="AJ732" s="41"/>
      <c r="AK732" s="41"/>
      <c r="AL732" s="41"/>
      <c r="AM732" s="41"/>
      <c r="AN732" s="41"/>
      <c r="AO732" s="41"/>
      <c r="AP732" s="41"/>
      <c r="AQ732" s="41"/>
    </row>
    <row r="733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  <c r="AE733" s="41"/>
      <c r="AF733" s="41"/>
      <c r="AG733" s="41"/>
      <c r="AH733" s="41"/>
      <c r="AI733" s="41"/>
      <c r="AJ733" s="41"/>
      <c r="AK733" s="41"/>
      <c r="AL733" s="41"/>
      <c r="AM733" s="41"/>
      <c r="AN733" s="41"/>
      <c r="AO733" s="41"/>
      <c r="AP733" s="41"/>
      <c r="AQ733" s="41"/>
    </row>
    <row r="734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  <c r="AE734" s="41"/>
      <c r="AF734" s="41"/>
      <c r="AG734" s="41"/>
      <c r="AH734" s="41"/>
      <c r="AI734" s="41"/>
      <c r="AJ734" s="41"/>
      <c r="AK734" s="41"/>
      <c r="AL734" s="41"/>
      <c r="AM734" s="41"/>
      <c r="AN734" s="41"/>
      <c r="AO734" s="41"/>
      <c r="AP734" s="41"/>
      <c r="AQ734" s="41"/>
    </row>
    <row r="735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  <c r="AE735" s="41"/>
      <c r="AF735" s="41"/>
      <c r="AG735" s="41"/>
      <c r="AH735" s="41"/>
      <c r="AI735" s="41"/>
      <c r="AJ735" s="41"/>
      <c r="AK735" s="41"/>
      <c r="AL735" s="41"/>
      <c r="AM735" s="41"/>
      <c r="AN735" s="41"/>
      <c r="AO735" s="41"/>
      <c r="AP735" s="41"/>
      <c r="AQ735" s="41"/>
    </row>
    <row r="736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  <c r="AE736" s="41"/>
      <c r="AF736" s="41"/>
      <c r="AG736" s="41"/>
      <c r="AH736" s="41"/>
      <c r="AI736" s="41"/>
      <c r="AJ736" s="41"/>
      <c r="AK736" s="41"/>
      <c r="AL736" s="41"/>
      <c r="AM736" s="41"/>
      <c r="AN736" s="41"/>
      <c r="AO736" s="41"/>
      <c r="AP736" s="41"/>
      <c r="AQ736" s="41"/>
    </row>
    <row r="737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  <c r="AE737" s="41"/>
      <c r="AF737" s="41"/>
      <c r="AG737" s="41"/>
      <c r="AH737" s="41"/>
      <c r="AI737" s="41"/>
      <c r="AJ737" s="41"/>
      <c r="AK737" s="41"/>
      <c r="AL737" s="41"/>
      <c r="AM737" s="41"/>
      <c r="AN737" s="41"/>
      <c r="AO737" s="41"/>
      <c r="AP737" s="41"/>
      <c r="AQ737" s="41"/>
    </row>
    <row r="738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  <c r="AE738" s="41"/>
      <c r="AF738" s="41"/>
      <c r="AG738" s="41"/>
      <c r="AH738" s="41"/>
      <c r="AI738" s="41"/>
      <c r="AJ738" s="41"/>
      <c r="AK738" s="41"/>
      <c r="AL738" s="41"/>
      <c r="AM738" s="41"/>
      <c r="AN738" s="41"/>
      <c r="AO738" s="41"/>
      <c r="AP738" s="41"/>
      <c r="AQ738" s="41"/>
    </row>
    <row r="739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  <c r="AE739" s="41"/>
      <c r="AF739" s="41"/>
      <c r="AG739" s="41"/>
      <c r="AH739" s="41"/>
      <c r="AI739" s="41"/>
      <c r="AJ739" s="41"/>
      <c r="AK739" s="41"/>
      <c r="AL739" s="41"/>
      <c r="AM739" s="41"/>
      <c r="AN739" s="41"/>
      <c r="AO739" s="41"/>
      <c r="AP739" s="41"/>
      <c r="AQ739" s="41"/>
    </row>
    <row r="740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  <c r="AE740" s="41"/>
      <c r="AF740" s="41"/>
      <c r="AG740" s="41"/>
      <c r="AH740" s="41"/>
      <c r="AI740" s="41"/>
      <c r="AJ740" s="41"/>
      <c r="AK740" s="41"/>
      <c r="AL740" s="41"/>
      <c r="AM740" s="41"/>
      <c r="AN740" s="41"/>
      <c r="AO740" s="41"/>
      <c r="AP740" s="41"/>
      <c r="AQ740" s="41"/>
    </row>
    <row r="74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  <c r="AE741" s="41"/>
      <c r="AF741" s="41"/>
      <c r="AG741" s="41"/>
      <c r="AH741" s="41"/>
      <c r="AI741" s="41"/>
      <c r="AJ741" s="41"/>
      <c r="AK741" s="41"/>
      <c r="AL741" s="41"/>
      <c r="AM741" s="41"/>
      <c r="AN741" s="41"/>
      <c r="AO741" s="41"/>
      <c r="AP741" s="41"/>
      <c r="AQ741" s="41"/>
    </row>
    <row r="742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  <c r="AE742" s="41"/>
      <c r="AF742" s="41"/>
      <c r="AG742" s="41"/>
      <c r="AH742" s="41"/>
      <c r="AI742" s="41"/>
      <c r="AJ742" s="41"/>
      <c r="AK742" s="41"/>
      <c r="AL742" s="41"/>
      <c r="AM742" s="41"/>
      <c r="AN742" s="41"/>
      <c r="AO742" s="41"/>
      <c r="AP742" s="41"/>
      <c r="AQ742" s="41"/>
    </row>
    <row r="743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  <c r="AE743" s="41"/>
      <c r="AF743" s="41"/>
      <c r="AG743" s="41"/>
      <c r="AH743" s="41"/>
      <c r="AI743" s="41"/>
      <c r="AJ743" s="41"/>
      <c r="AK743" s="41"/>
      <c r="AL743" s="41"/>
      <c r="AM743" s="41"/>
      <c r="AN743" s="41"/>
      <c r="AO743" s="41"/>
      <c r="AP743" s="41"/>
      <c r="AQ743" s="41"/>
    </row>
    <row r="744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  <c r="AE744" s="41"/>
      <c r="AF744" s="41"/>
      <c r="AG744" s="41"/>
      <c r="AH744" s="41"/>
      <c r="AI744" s="41"/>
      <c r="AJ744" s="41"/>
      <c r="AK744" s="41"/>
      <c r="AL744" s="41"/>
      <c r="AM744" s="41"/>
      <c r="AN744" s="41"/>
      <c r="AO744" s="41"/>
      <c r="AP744" s="41"/>
      <c r="AQ744" s="41"/>
    </row>
    <row r="745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  <c r="AE745" s="41"/>
      <c r="AF745" s="41"/>
      <c r="AG745" s="41"/>
      <c r="AH745" s="41"/>
      <c r="AI745" s="41"/>
      <c r="AJ745" s="41"/>
      <c r="AK745" s="41"/>
      <c r="AL745" s="41"/>
      <c r="AM745" s="41"/>
      <c r="AN745" s="41"/>
      <c r="AO745" s="41"/>
      <c r="AP745" s="41"/>
      <c r="AQ745" s="41"/>
    </row>
    <row r="746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  <c r="AE746" s="41"/>
      <c r="AF746" s="41"/>
      <c r="AG746" s="41"/>
      <c r="AH746" s="41"/>
      <c r="AI746" s="41"/>
      <c r="AJ746" s="41"/>
      <c r="AK746" s="41"/>
      <c r="AL746" s="41"/>
      <c r="AM746" s="41"/>
      <c r="AN746" s="41"/>
      <c r="AO746" s="41"/>
      <c r="AP746" s="41"/>
      <c r="AQ746" s="41"/>
    </row>
    <row r="747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  <c r="AE747" s="41"/>
      <c r="AF747" s="41"/>
      <c r="AG747" s="41"/>
      <c r="AH747" s="41"/>
      <c r="AI747" s="41"/>
      <c r="AJ747" s="41"/>
      <c r="AK747" s="41"/>
      <c r="AL747" s="41"/>
      <c r="AM747" s="41"/>
      <c r="AN747" s="41"/>
      <c r="AO747" s="41"/>
      <c r="AP747" s="41"/>
      <c r="AQ747" s="41"/>
    </row>
    <row r="748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  <c r="AE748" s="41"/>
      <c r="AF748" s="41"/>
      <c r="AG748" s="41"/>
      <c r="AH748" s="41"/>
      <c r="AI748" s="41"/>
      <c r="AJ748" s="41"/>
      <c r="AK748" s="41"/>
      <c r="AL748" s="41"/>
      <c r="AM748" s="41"/>
      <c r="AN748" s="41"/>
      <c r="AO748" s="41"/>
      <c r="AP748" s="41"/>
      <c r="AQ748" s="41"/>
    </row>
    <row r="749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  <c r="AE749" s="41"/>
      <c r="AF749" s="41"/>
      <c r="AG749" s="41"/>
      <c r="AH749" s="41"/>
      <c r="AI749" s="41"/>
      <c r="AJ749" s="41"/>
      <c r="AK749" s="41"/>
      <c r="AL749" s="41"/>
      <c r="AM749" s="41"/>
      <c r="AN749" s="41"/>
      <c r="AO749" s="41"/>
      <c r="AP749" s="41"/>
      <c r="AQ749" s="41"/>
    </row>
    <row r="750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/>
      <c r="AN750" s="41"/>
      <c r="AO750" s="41"/>
      <c r="AP750" s="41"/>
      <c r="AQ750" s="41"/>
    </row>
    <row r="75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  <c r="AE751" s="41"/>
      <c r="AF751" s="41"/>
      <c r="AG751" s="41"/>
      <c r="AH751" s="41"/>
      <c r="AI751" s="41"/>
      <c r="AJ751" s="41"/>
      <c r="AK751" s="41"/>
      <c r="AL751" s="41"/>
      <c r="AM751" s="41"/>
      <c r="AN751" s="41"/>
      <c r="AO751" s="41"/>
      <c r="AP751" s="41"/>
      <c r="AQ751" s="41"/>
    </row>
    <row r="752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  <c r="AE752" s="41"/>
      <c r="AF752" s="41"/>
      <c r="AG752" s="41"/>
      <c r="AH752" s="41"/>
      <c r="AI752" s="41"/>
      <c r="AJ752" s="41"/>
      <c r="AK752" s="41"/>
      <c r="AL752" s="41"/>
      <c r="AM752" s="41"/>
      <c r="AN752" s="41"/>
      <c r="AO752" s="41"/>
      <c r="AP752" s="41"/>
      <c r="AQ752" s="41"/>
    </row>
    <row r="753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  <c r="AE753" s="41"/>
      <c r="AF753" s="41"/>
      <c r="AG753" s="41"/>
      <c r="AH753" s="41"/>
      <c r="AI753" s="41"/>
      <c r="AJ753" s="41"/>
      <c r="AK753" s="41"/>
      <c r="AL753" s="41"/>
      <c r="AM753" s="41"/>
      <c r="AN753" s="41"/>
      <c r="AO753" s="41"/>
      <c r="AP753" s="41"/>
      <c r="AQ753" s="41"/>
    </row>
    <row r="754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  <c r="AE754" s="41"/>
      <c r="AF754" s="41"/>
      <c r="AG754" s="41"/>
      <c r="AH754" s="41"/>
      <c r="AI754" s="41"/>
      <c r="AJ754" s="41"/>
      <c r="AK754" s="41"/>
      <c r="AL754" s="41"/>
      <c r="AM754" s="41"/>
      <c r="AN754" s="41"/>
      <c r="AO754" s="41"/>
      <c r="AP754" s="41"/>
      <c r="AQ754" s="41"/>
    </row>
    <row r="755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  <c r="AE755" s="41"/>
      <c r="AF755" s="41"/>
      <c r="AG755" s="41"/>
      <c r="AH755" s="41"/>
      <c r="AI755" s="41"/>
      <c r="AJ755" s="41"/>
      <c r="AK755" s="41"/>
      <c r="AL755" s="41"/>
      <c r="AM755" s="41"/>
      <c r="AN755" s="41"/>
      <c r="AO755" s="41"/>
      <c r="AP755" s="41"/>
      <c r="AQ755" s="41"/>
    </row>
    <row r="756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  <c r="AE756" s="41"/>
      <c r="AF756" s="41"/>
      <c r="AG756" s="41"/>
      <c r="AH756" s="41"/>
      <c r="AI756" s="41"/>
      <c r="AJ756" s="41"/>
      <c r="AK756" s="41"/>
      <c r="AL756" s="41"/>
      <c r="AM756" s="41"/>
      <c r="AN756" s="41"/>
      <c r="AO756" s="41"/>
      <c r="AP756" s="41"/>
      <c r="AQ756" s="41"/>
    </row>
    <row r="757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  <c r="AE757" s="41"/>
      <c r="AF757" s="41"/>
      <c r="AG757" s="41"/>
      <c r="AH757" s="41"/>
      <c r="AI757" s="41"/>
      <c r="AJ757" s="41"/>
      <c r="AK757" s="41"/>
      <c r="AL757" s="41"/>
      <c r="AM757" s="41"/>
      <c r="AN757" s="41"/>
      <c r="AO757" s="41"/>
      <c r="AP757" s="41"/>
      <c r="AQ757" s="41"/>
    </row>
    <row r="758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  <c r="AE758" s="41"/>
      <c r="AF758" s="41"/>
      <c r="AG758" s="41"/>
      <c r="AH758" s="41"/>
      <c r="AI758" s="41"/>
      <c r="AJ758" s="41"/>
      <c r="AK758" s="41"/>
      <c r="AL758" s="41"/>
      <c r="AM758" s="41"/>
      <c r="AN758" s="41"/>
      <c r="AO758" s="41"/>
      <c r="AP758" s="41"/>
      <c r="AQ758" s="41"/>
    </row>
    <row r="759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  <c r="AE759" s="41"/>
      <c r="AF759" s="41"/>
      <c r="AG759" s="41"/>
      <c r="AH759" s="41"/>
      <c r="AI759" s="41"/>
      <c r="AJ759" s="41"/>
      <c r="AK759" s="41"/>
      <c r="AL759" s="41"/>
      <c r="AM759" s="41"/>
      <c r="AN759" s="41"/>
      <c r="AO759" s="41"/>
      <c r="AP759" s="41"/>
      <c r="AQ759" s="41"/>
    </row>
    <row r="760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  <c r="AE760" s="41"/>
      <c r="AF760" s="41"/>
      <c r="AG760" s="41"/>
      <c r="AH760" s="41"/>
      <c r="AI760" s="41"/>
      <c r="AJ760" s="41"/>
      <c r="AK760" s="41"/>
      <c r="AL760" s="41"/>
      <c r="AM760" s="41"/>
      <c r="AN760" s="41"/>
      <c r="AO760" s="41"/>
      <c r="AP760" s="41"/>
      <c r="AQ760" s="41"/>
    </row>
    <row r="76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  <c r="AE761" s="41"/>
      <c r="AF761" s="41"/>
      <c r="AG761" s="41"/>
      <c r="AH761" s="41"/>
      <c r="AI761" s="41"/>
      <c r="AJ761" s="41"/>
      <c r="AK761" s="41"/>
      <c r="AL761" s="41"/>
      <c r="AM761" s="41"/>
      <c r="AN761" s="41"/>
      <c r="AO761" s="41"/>
      <c r="AP761" s="41"/>
      <c r="AQ761" s="41"/>
    </row>
    <row r="762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  <c r="AE762" s="41"/>
      <c r="AF762" s="41"/>
      <c r="AG762" s="41"/>
      <c r="AH762" s="41"/>
      <c r="AI762" s="41"/>
      <c r="AJ762" s="41"/>
      <c r="AK762" s="41"/>
      <c r="AL762" s="41"/>
      <c r="AM762" s="41"/>
      <c r="AN762" s="41"/>
      <c r="AO762" s="41"/>
      <c r="AP762" s="41"/>
      <c r="AQ762" s="41"/>
    </row>
    <row r="763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  <c r="AE763" s="41"/>
      <c r="AF763" s="41"/>
      <c r="AG763" s="41"/>
      <c r="AH763" s="41"/>
      <c r="AI763" s="41"/>
      <c r="AJ763" s="41"/>
      <c r="AK763" s="41"/>
      <c r="AL763" s="41"/>
      <c r="AM763" s="41"/>
      <c r="AN763" s="41"/>
      <c r="AO763" s="41"/>
      <c r="AP763" s="41"/>
      <c r="AQ763" s="41"/>
    </row>
    <row r="764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  <c r="AE764" s="41"/>
      <c r="AF764" s="41"/>
      <c r="AG764" s="41"/>
      <c r="AH764" s="41"/>
      <c r="AI764" s="41"/>
      <c r="AJ764" s="41"/>
      <c r="AK764" s="41"/>
      <c r="AL764" s="41"/>
      <c r="AM764" s="41"/>
      <c r="AN764" s="41"/>
      <c r="AO764" s="41"/>
      <c r="AP764" s="41"/>
      <c r="AQ764" s="41"/>
    </row>
    <row r="765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  <c r="AE765" s="41"/>
      <c r="AF765" s="41"/>
      <c r="AG765" s="41"/>
      <c r="AH765" s="41"/>
      <c r="AI765" s="41"/>
      <c r="AJ765" s="41"/>
      <c r="AK765" s="41"/>
      <c r="AL765" s="41"/>
      <c r="AM765" s="41"/>
      <c r="AN765" s="41"/>
      <c r="AO765" s="41"/>
      <c r="AP765" s="41"/>
      <c r="AQ765" s="41"/>
    </row>
    <row r="766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  <c r="AE766" s="41"/>
      <c r="AF766" s="41"/>
      <c r="AG766" s="41"/>
      <c r="AH766" s="41"/>
      <c r="AI766" s="41"/>
      <c r="AJ766" s="41"/>
      <c r="AK766" s="41"/>
      <c r="AL766" s="41"/>
      <c r="AM766" s="41"/>
      <c r="AN766" s="41"/>
      <c r="AO766" s="41"/>
      <c r="AP766" s="41"/>
      <c r="AQ766" s="41"/>
    </row>
    <row r="767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  <c r="AE767" s="41"/>
      <c r="AF767" s="41"/>
      <c r="AG767" s="41"/>
      <c r="AH767" s="41"/>
      <c r="AI767" s="41"/>
      <c r="AJ767" s="41"/>
      <c r="AK767" s="41"/>
      <c r="AL767" s="41"/>
      <c r="AM767" s="41"/>
      <c r="AN767" s="41"/>
      <c r="AO767" s="41"/>
      <c r="AP767" s="41"/>
      <c r="AQ767" s="41"/>
    </row>
    <row r="768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  <c r="AE768" s="41"/>
      <c r="AF768" s="41"/>
      <c r="AG768" s="41"/>
      <c r="AH768" s="41"/>
      <c r="AI768" s="41"/>
      <c r="AJ768" s="41"/>
      <c r="AK768" s="41"/>
      <c r="AL768" s="41"/>
      <c r="AM768" s="41"/>
      <c r="AN768" s="41"/>
      <c r="AO768" s="41"/>
      <c r="AP768" s="41"/>
      <c r="AQ768" s="41"/>
    </row>
    <row r="769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  <c r="AE769" s="41"/>
      <c r="AF769" s="41"/>
      <c r="AG769" s="41"/>
      <c r="AH769" s="41"/>
      <c r="AI769" s="41"/>
      <c r="AJ769" s="41"/>
      <c r="AK769" s="41"/>
      <c r="AL769" s="41"/>
      <c r="AM769" s="41"/>
      <c r="AN769" s="41"/>
      <c r="AO769" s="41"/>
      <c r="AP769" s="41"/>
      <c r="AQ769" s="41"/>
    </row>
    <row r="770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  <c r="AE770" s="41"/>
      <c r="AF770" s="41"/>
      <c r="AG770" s="41"/>
      <c r="AH770" s="41"/>
      <c r="AI770" s="41"/>
      <c r="AJ770" s="41"/>
      <c r="AK770" s="41"/>
      <c r="AL770" s="41"/>
      <c r="AM770" s="41"/>
      <c r="AN770" s="41"/>
      <c r="AO770" s="41"/>
      <c r="AP770" s="41"/>
      <c r="AQ770" s="41"/>
    </row>
    <row r="77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  <c r="AE771" s="41"/>
      <c r="AF771" s="41"/>
      <c r="AG771" s="41"/>
      <c r="AH771" s="41"/>
      <c r="AI771" s="41"/>
      <c r="AJ771" s="41"/>
      <c r="AK771" s="41"/>
      <c r="AL771" s="41"/>
      <c r="AM771" s="41"/>
      <c r="AN771" s="41"/>
      <c r="AO771" s="41"/>
      <c r="AP771" s="41"/>
      <c r="AQ771" s="41"/>
    </row>
    <row r="772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  <c r="AE772" s="41"/>
      <c r="AF772" s="41"/>
      <c r="AG772" s="41"/>
      <c r="AH772" s="41"/>
      <c r="AI772" s="41"/>
      <c r="AJ772" s="41"/>
      <c r="AK772" s="41"/>
      <c r="AL772" s="41"/>
      <c r="AM772" s="41"/>
      <c r="AN772" s="41"/>
      <c r="AO772" s="41"/>
      <c r="AP772" s="41"/>
      <c r="AQ772" s="41"/>
    </row>
    <row r="773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  <c r="AE773" s="41"/>
      <c r="AF773" s="41"/>
      <c r="AG773" s="41"/>
      <c r="AH773" s="41"/>
      <c r="AI773" s="41"/>
      <c r="AJ773" s="41"/>
      <c r="AK773" s="41"/>
      <c r="AL773" s="41"/>
      <c r="AM773" s="41"/>
      <c r="AN773" s="41"/>
      <c r="AO773" s="41"/>
      <c r="AP773" s="41"/>
      <c r="AQ773" s="41"/>
    </row>
    <row r="774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  <c r="AE774" s="41"/>
      <c r="AF774" s="41"/>
      <c r="AG774" s="41"/>
      <c r="AH774" s="41"/>
      <c r="AI774" s="41"/>
      <c r="AJ774" s="41"/>
      <c r="AK774" s="41"/>
      <c r="AL774" s="41"/>
      <c r="AM774" s="41"/>
      <c r="AN774" s="41"/>
      <c r="AO774" s="41"/>
      <c r="AP774" s="41"/>
      <c r="AQ774" s="41"/>
    </row>
    <row r="775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  <c r="AE775" s="41"/>
      <c r="AF775" s="41"/>
      <c r="AG775" s="41"/>
      <c r="AH775" s="41"/>
      <c r="AI775" s="41"/>
      <c r="AJ775" s="41"/>
      <c r="AK775" s="41"/>
      <c r="AL775" s="41"/>
      <c r="AM775" s="41"/>
      <c r="AN775" s="41"/>
      <c r="AO775" s="41"/>
      <c r="AP775" s="41"/>
      <c r="AQ775" s="41"/>
    </row>
    <row r="776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  <c r="AE776" s="41"/>
      <c r="AF776" s="41"/>
      <c r="AG776" s="41"/>
      <c r="AH776" s="41"/>
      <c r="AI776" s="41"/>
      <c r="AJ776" s="41"/>
      <c r="AK776" s="41"/>
      <c r="AL776" s="41"/>
      <c r="AM776" s="41"/>
      <c r="AN776" s="41"/>
      <c r="AO776" s="41"/>
      <c r="AP776" s="41"/>
      <c r="AQ776" s="41"/>
    </row>
    <row r="777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  <c r="AE777" s="41"/>
      <c r="AF777" s="41"/>
      <c r="AG777" s="41"/>
      <c r="AH777" s="41"/>
      <c r="AI777" s="41"/>
      <c r="AJ777" s="41"/>
      <c r="AK777" s="41"/>
      <c r="AL777" s="41"/>
      <c r="AM777" s="41"/>
      <c r="AN777" s="41"/>
      <c r="AO777" s="41"/>
      <c r="AP777" s="41"/>
      <c r="AQ777" s="41"/>
    </row>
    <row r="778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  <c r="AE778" s="41"/>
      <c r="AF778" s="41"/>
      <c r="AG778" s="41"/>
      <c r="AH778" s="41"/>
      <c r="AI778" s="41"/>
      <c r="AJ778" s="41"/>
      <c r="AK778" s="41"/>
      <c r="AL778" s="41"/>
      <c r="AM778" s="41"/>
      <c r="AN778" s="41"/>
      <c r="AO778" s="41"/>
      <c r="AP778" s="41"/>
      <c r="AQ778" s="41"/>
    </row>
    <row r="779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  <c r="AE779" s="41"/>
      <c r="AF779" s="41"/>
      <c r="AG779" s="41"/>
      <c r="AH779" s="41"/>
      <c r="AI779" s="41"/>
      <c r="AJ779" s="41"/>
      <c r="AK779" s="41"/>
      <c r="AL779" s="41"/>
      <c r="AM779" s="41"/>
      <c r="AN779" s="41"/>
      <c r="AO779" s="41"/>
      <c r="AP779" s="41"/>
      <c r="AQ779" s="41"/>
    </row>
    <row r="780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  <c r="AE780" s="41"/>
      <c r="AF780" s="41"/>
      <c r="AG780" s="41"/>
      <c r="AH780" s="41"/>
      <c r="AI780" s="41"/>
      <c r="AJ780" s="41"/>
      <c r="AK780" s="41"/>
      <c r="AL780" s="41"/>
      <c r="AM780" s="41"/>
      <c r="AN780" s="41"/>
      <c r="AO780" s="41"/>
      <c r="AP780" s="41"/>
      <c r="AQ780" s="41"/>
    </row>
    <row r="78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  <c r="AE781" s="41"/>
      <c r="AF781" s="41"/>
      <c r="AG781" s="41"/>
      <c r="AH781" s="41"/>
      <c r="AI781" s="41"/>
      <c r="AJ781" s="41"/>
      <c r="AK781" s="41"/>
      <c r="AL781" s="41"/>
      <c r="AM781" s="41"/>
      <c r="AN781" s="41"/>
      <c r="AO781" s="41"/>
      <c r="AP781" s="41"/>
      <c r="AQ781" s="41"/>
    </row>
    <row r="782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  <c r="AE782" s="41"/>
      <c r="AF782" s="41"/>
      <c r="AG782" s="41"/>
      <c r="AH782" s="41"/>
      <c r="AI782" s="41"/>
      <c r="AJ782" s="41"/>
      <c r="AK782" s="41"/>
      <c r="AL782" s="41"/>
      <c r="AM782" s="41"/>
      <c r="AN782" s="41"/>
      <c r="AO782" s="41"/>
      <c r="AP782" s="41"/>
      <c r="AQ782" s="41"/>
    </row>
    <row r="783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  <c r="AE783" s="41"/>
      <c r="AF783" s="41"/>
      <c r="AG783" s="41"/>
      <c r="AH783" s="41"/>
      <c r="AI783" s="41"/>
      <c r="AJ783" s="41"/>
      <c r="AK783" s="41"/>
      <c r="AL783" s="41"/>
      <c r="AM783" s="41"/>
      <c r="AN783" s="41"/>
      <c r="AO783" s="41"/>
      <c r="AP783" s="41"/>
      <c r="AQ783" s="41"/>
    </row>
    <row r="784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  <c r="AE784" s="41"/>
      <c r="AF784" s="41"/>
      <c r="AG784" s="41"/>
      <c r="AH784" s="41"/>
      <c r="AI784" s="41"/>
      <c r="AJ784" s="41"/>
      <c r="AK784" s="41"/>
      <c r="AL784" s="41"/>
      <c r="AM784" s="41"/>
      <c r="AN784" s="41"/>
      <c r="AO784" s="41"/>
      <c r="AP784" s="41"/>
      <c r="AQ784" s="41"/>
    </row>
    <row r="785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  <c r="AE785" s="41"/>
      <c r="AF785" s="41"/>
      <c r="AG785" s="41"/>
      <c r="AH785" s="41"/>
      <c r="AI785" s="41"/>
      <c r="AJ785" s="41"/>
      <c r="AK785" s="41"/>
      <c r="AL785" s="41"/>
      <c r="AM785" s="41"/>
      <c r="AN785" s="41"/>
      <c r="AO785" s="41"/>
      <c r="AP785" s="41"/>
      <c r="AQ785" s="41"/>
    </row>
    <row r="786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  <c r="AE786" s="41"/>
      <c r="AF786" s="41"/>
      <c r="AG786" s="41"/>
      <c r="AH786" s="41"/>
      <c r="AI786" s="41"/>
      <c r="AJ786" s="41"/>
      <c r="AK786" s="41"/>
      <c r="AL786" s="41"/>
      <c r="AM786" s="41"/>
      <c r="AN786" s="41"/>
      <c r="AO786" s="41"/>
      <c r="AP786" s="41"/>
      <c r="AQ786" s="41"/>
    </row>
    <row r="787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  <c r="AE787" s="41"/>
      <c r="AF787" s="41"/>
      <c r="AG787" s="41"/>
      <c r="AH787" s="41"/>
      <c r="AI787" s="41"/>
      <c r="AJ787" s="41"/>
      <c r="AK787" s="41"/>
      <c r="AL787" s="41"/>
      <c r="AM787" s="41"/>
      <c r="AN787" s="41"/>
      <c r="AO787" s="41"/>
      <c r="AP787" s="41"/>
      <c r="AQ787" s="41"/>
    </row>
    <row r="788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/>
      <c r="AN788" s="41"/>
      <c r="AO788" s="41"/>
      <c r="AP788" s="41"/>
      <c r="AQ788" s="41"/>
    </row>
    <row r="789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  <c r="AE789" s="41"/>
      <c r="AF789" s="41"/>
      <c r="AG789" s="41"/>
      <c r="AH789" s="41"/>
      <c r="AI789" s="41"/>
      <c r="AJ789" s="41"/>
      <c r="AK789" s="41"/>
      <c r="AL789" s="41"/>
      <c r="AM789" s="41"/>
      <c r="AN789" s="41"/>
      <c r="AO789" s="41"/>
      <c r="AP789" s="41"/>
      <c r="AQ789" s="41"/>
    </row>
    <row r="790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  <c r="AE790" s="41"/>
      <c r="AF790" s="41"/>
      <c r="AG790" s="41"/>
      <c r="AH790" s="41"/>
      <c r="AI790" s="41"/>
      <c r="AJ790" s="41"/>
      <c r="AK790" s="41"/>
      <c r="AL790" s="41"/>
      <c r="AM790" s="41"/>
      <c r="AN790" s="41"/>
      <c r="AO790" s="41"/>
      <c r="AP790" s="41"/>
      <c r="AQ790" s="41"/>
    </row>
    <row r="79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  <c r="AE791" s="41"/>
      <c r="AF791" s="41"/>
      <c r="AG791" s="41"/>
      <c r="AH791" s="41"/>
      <c r="AI791" s="41"/>
      <c r="AJ791" s="41"/>
      <c r="AK791" s="41"/>
      <c r="AL791" s="41"/>
      <c r="AM791" s="41"/>
      <c r="AN791" s="41"/>
      <c r="AO791" s="41"/>
      <c r="AP791" s="41"/>
      <c r="AQ791" s="41"/>
    </row>
    <row r="792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  <c r="AE792" s="41"/>
      <c r="AF792" s="41"/>
      <c r="AG792" s="41"/>
      <c r="AH792" s="41"/>
      <c r="AI792" s="41"/>
      <c r="AJ792" s="41"/>
      <c r="AK792" s="41"/>
      <c r="AL792" s="41"/>
      <c r="AM792" s="41"/>
      <c r="AN792" s="41"/>
      <c r="AO792" s="41"/>
      <c r="AP792" s="41"/>
      <c r="AQ792" s="41"/>
    </row>
    <row r="793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  <c r="AE793" s="41"/>
      <c r="AF793" s="41"/>
      <c r="AG793" s="41"/>
      <c r="AH793" s="41"/>
      <c r="AI793" s="41"/>
      <c r="AJ793" s="41"/>
      <c r="AK793" s="41"/>
      <c r="AL793" s="41"/>
      <c r="AM793" s="41"/>
      <c r="AN793" s="41"/>
      <c r="AO793" s="41"/>
      <c r="AP793" s="41"/>
      <c r="AQ793" s="41"/>
    </row>
    <row r="794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  <c r="AE794" s="41"/>
      <c r="AF794" s="41"/>
      <c r="AG794" s="41"/>
      <c r="AH794" s="41"/>
      <c r="AI794" s="41"/>
      <c r="AJ794" s="41"/>
      <c r="AK794" s="41"/>
      <c r="AL794" s="41"/>
      <c r="AM794" s="41"/>
      <c r="AN794" s="41"/>
      <c r="AO794" s="41"/>
      <c r="AP794" s="41"/>
      <c r="AQ794" s="41"/>
    </row>
    <row r="795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  <c r="AE795" s="41"/>
      <c r="AF795" s="41"/>
      <c r="AG795" s="41"/>
      <c r="AH795" s="41"/>
      <c r="AI795" s="41"/>
      <c r="AJ795" s="41"/>
      <c r="AK795" s="41"/>
      <c r="AL795" s="41"/>
      <c r="AM795" s="41"/>
      <c r="AN795" s="41"/>
      <c r="AO795" s="41"/>
      <c r="AP795" s="41"/>
      <c r="AQ795" s="41"/>
    </row>
    <row r="796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  <c r="AE796" s="41"/>
      <c r="AF796" s="41"/>
      <c r="AG796" s="41"/>
      <c r="AH796" s="41"/>
      <c r="AI796" s="41"/>
      <c r="AJ796" s="41"/>
      <c r="AK796" s="41"/>
      <c r="AL796" s="41"/>
      <c r="AM796" s="41"/>
      <c r="AN796" s="41"/>
      <c r="AO796" s="41"/>
      <c r="AP796" s="41"/>
      <c r="AQ796" s="41"/>
    </row>
    <row r="797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  <c r="AE797" s="41"/>
      <c r="AF797" s="41"/>
      <c r="AG797" s="41"/>
      <c r="AH797" s="41"/>
      <c r="AI797" s="41"/>
      <c r="AJ797" s="41"/>
      <c r="AK797" s="41"/>
      <c r="AL797" s="41"/>
      <c r="AM797" s="41"/>
      <c r="AN797" s="41"/>
      <c r="AO797" s="41"/>
      <c r="AP797" s="41"/>
      <c r="AQ797" s="41"/>
    </row>
    <row r="798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  <c r="AE798" s="41"/>
      <c r="AF798" s="41"/>
      <c r="AG798" s="41"/>
      <c r="AH798" s="41"/>
      <c r="AI798" s="41"/>
      <c r="AJ798" s="41"/>
      <c r="AK798" s="41"/>
      <c r="AL798" s="41"/>
      <c r="AM798" s="41"/>
      <c r="AN798" s="41"/>
      <c r="AO798" s="41"/>
      <c r="AP798" s="41"/>
      <c r="AQ798" s="41"/>
    </row>
    <row r="799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  <c r="AE799" s="41"/>
      <c r="AF799" s="41"/>
      <c r="AG799" s="41"/>
      <c r="AH799" s="41"/>
      <c r="AI799" s="41"/>
      <c r="AJ799" s="41"/>
      <c r="AK799" s="41"/>
      <c r="AL799" s="41"/>
      <c r="AM799" s="41"/>
      <c r="AN799" s="41"/>
      <c r="AO799" s="41"/>
      <c r="AP799" s="41"/>
      <c r="AQ799" s="41"/>
    </row>
    <row r="800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  <c r="AE800" s="41"/>
      <c r="AF800" s="41"/>
      <c r="AG800" s="41"/>
      <c r="AH800" s="41"/>
      <c r="AI800" s="41"/>
      <c r="AJ800" s="41"/>
      <c r="AK800" s="41"/>
      <c r="AL800" s="41"/>
      <c r="AM800" s="41"/>
      <c r="AN800" s="41"/>
      <c r="AO800" s="41"/>
      <c r="AP800" s="41"/>
      <c r="AQ800" s="41"/>
    </row>
    <row r="80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  <c r="AE801" s="41"/>
      <c r="AF801" s="41"/>
      <c r="AG801" s="41"/>
      <c r="AH801" s="41"/>
      <c r="AI801" s="41"/>
      <c r="AJ801" s="41"/>
      <c r="AK801" s="41"/>
      <c r="AL801" s="41"/>
      <c r="AM801" s="41"/>
      <c r="AN801" s="41"/>
      <c r="AO801" s="41"/>
      <c r="AP801" s="41"/>
      <c r="AQ801" s="41"/>
    </row>
    <row r="802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  <c r="AE802" s="41"/>
      <c r="AF802" s="41"/>
      <c r="AG802" s="41"/>
      <c r="AH802" s="41"/>
      <c r="AI802" s="41"/>
      <c r="AJ802" s="41"/>
      <c r="AK802" s="41"/>
      <c r="AL802" s="41"/>
      <c r="AM802" s="41"/>
      <c r="AN802" s="41"/>
      <c r="AO802" s="41"/>
      <c r="AP802" s="41"/>
      <c r="AQ802" s="41"/>
    </row>
    <row r="803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  <c r="AE803" s="41"/>
      <c r="AF803" s="41"/>
      <c r="AG803" s="41"/>
      <c r="AH803" s="41"/>
      <c r="AI803" s="41"/>
      <c r="AJ803" s="41"/>
      <c r="AK803" s="41"/>
      <c r="AL803" s="41"/>
      <c r="AM803" s="41"/>
      <c r="AN803" s="41"/>
      <c r="AO803" s="41"/>
      <c r="AP803" s="41"/>
      <c r="AQ803" s="41"/>
    </row>
    <row r="804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  <c r="AE804" s="41"/>
      <c r="AF804" s="41"/>
      <c r="AG804" s="41"/>
      <c r="AH804" s="41"/>
      <c r="AI804" s="41"/>
      <c r="AJ804" s="41"/>
      <c r="AK804" s="41"/>
      <c r="AL804" s="41"/>
      <c r="AM804" s="41"/>
      <c r="AN804" s="41"/>
      <c r="AO804" s="41"/>
      <c r="AP804" s="41"/>
      <c r="AQ804" s="41"/>
    </row>
    <row r="805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  <c r="AE805" s="41"/>
      <c r="AF805" s="41"/>
      <c r="AG805" s="41"/>
      <c r="AH805" s="41"/>
      <c r="AI805" s="41"/>
      <c r="AJ805" s="41"/>
      <c r="AK805" s="41"/>
      <c r="AL805" s="41"/>
      <c r="AM805" s="41"/>
      <c r="AN805" s="41"/>
      <c r="AO805" s="41"/>
      <c r="AP805" s="41"/>
      <c r="AQ805" s="41"/>
    </row>
    <row r="806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  <c r="AE806" s="41"/>
      <c r="AF806" s="41"/>
      <c r="AG806" s="41"/>
      <c r="AH806" s="41"/>
      <c r="AI806" s="41"/>
      <c r="AJ806" s="41"/>
      <c r="AK806" s="41"/>
      <c r="AL806" s="41"/>
      <c r="AM806" s="41"/>
      <c r="AN806" s="41"/>
      <c r="AO806" s="41"/>
      <c r="AP806" s="41"/>
      <c r="AQ806" s="41"/>
    </row>
    <row r="807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  <c r="AE807" s="41"/>
      <c r="AF807" s="41"/>
      <c r="AG807" s="41"/>
      <c r="AH807" s="41"/>
      <c r="AI807" s="41"/>
      <c r="AJ807" s="41"/>
      <c r="AK807" s="41"/>
      <c r="AL807" s="41"/>
      <c r="AM807" s="41"/>
      <c r="AN807" s="41"/>
      <c r="AO807" s="41"/>
      <c r="AP807" s="41"/>
      <c r="AQ807" s="41"/>
    </row>
    <row r="808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  <c r="AE808" s="41"/>
      <c r="AF808" s="41"/>
      <c r="AG808" s="41"/>
      <c r="AH808" s="41"/>
      <c r="AI808" s="41"/>
      <c r="AJ808" s="41"/>
      <c r="AK808" s="41"/>
      <c r="AL808" s="41"/>
      <c r="AM808" s="41"/>
      <c r="AN808" s="41"/>
      <c r="AO808" s="41"/>
      <c r="AP808" s="41"/>
      <c r="AQ808" s="41"/>
    </row>
    <row r="809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  <c r="AE809" s="41"/>
      <c r="AF809" s="41"/>
      <c r="AG809" s="41"/>
      <c r="AH809" s="41"/>
      <c r="AI809" s="41"/>
      <c r="AJ809" s="41"/>
      <c r="AK809" s="41"/>
      <c r="AL809" s="41"/>
      <c r="AM809" s="41"/>
      <c r="AN809" s="41"/>
      <c r="AO809" s="41"/>
      <c r="AP809" s="41"/>
      <c r="AQ809" s="41"/>
    </row>
    <row r="810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  <c r="AE810" s="41"/>
      <c r="AF810" s="41"/>
      <c r="AG810" s="41"/>
      <c r="AH810" s="41"/>
      <c r="AI810" s="41"/>
      <c r="AJ810" s="41"/>
      <c r="AK810" s="41"/>
      <c r="AL810" s="41"/>
      <c r="AM810" s="41"/>
      <c r="AN810" s="41"/>
      <c r="AO810" s="41"/>
      <c r="AP810" s="41"/>
      <c r="AQ810" s="41"/>
    </row>
    <row r="81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  <c r="AE811" s="41"/>
      <c r="AF811" s="41"/>
      <c r="AG811" s="41"/>
      <c r="AH811" s="41"/>
      <c r="AI811" s="41"/>
      <c r="AJ811" s="41"/>
      <c r="AK811" s="41"/>
      <c r="AL811" s="41"/>
      <c r="AM811" s="41"/>
      <c r="AN811" s="41"/>
      <c r="AO811" s="41"/>
      <c r="AP811" s="41"/>
      <c r="AQ811" s="41"/>
    </row>
    <row r="812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  <c r="AE812" s="41"/>
      <c r="AF812" s="41"/>
      <c r="AG812" s="41"/>
      <c r="AH812" s="41"/>
      <c r="AI812" s="41"/>
      <c r="AJ812" s="41"/>
      <c r="AK812" s="41"/>
      <c r="AL812" s="41"/>
      <c r="AM812" s="41"/>
      <c r="AN812" s="41"/>
      <c r="AO812" s="41"/>
      <c r="AP812" s="41"/>
      <c r="AQ812" s="41"/>
    </row>
    <row r="813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  <c r="AE813" s="41"/>
      <c r="AF813" s="41"/>
      <c r="AG813" s="41"/>
      <c r="AH813" s="41"/>
      <c r="AI813" s="41"/>
      <c r="AJ813" s="41"/>
      <c r="AK813" s="41"/>
      <c r="AL813" s="41"/>
      <c r="AM813" s="41"/>
      <c r="AN813" s="41"/>
      <c r="AO813" s="41"/>
      <c r="AP813" s="41"/>
      <c r="AQ813" s="41"/>
    </row>
    <row r="814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  <c r="AE814" s="41"/>
      <c r="AF814" s="41"/>
      <c r="AG814" s="41"/>
      <c r="AH814" s="41"/>
      <c r="AI814" s="41"/>
      <c r="AJ814" s="41"/>
      <c r="AK814" s="41"/>
      <c r="AL814" s="41"/>
      <c r="AM814" s="41"/>
      <c r="AN814" s="41"/>
      <c r="AO814" s="41"/>
      <c r="AP814" s="41"/>
      <c r="AQ814" s="41"/>
    </row>
    <row r="815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  <c r="AE815" s="41"/>
      <c r="AF815" s="41"/>
      <c r="AG815" s="41"/>
      <c r="AH815" s="41"/>
      <c r="AI815" s="41"/>
      <c r="AJ815" s="41"/>
      <c r="AK815" s="41"/>
      <c r="AL815" s="41"/>
      <c r="AM815" s="41"/>
      <c r="AN815" s="41"/>
      <c r="AO815" s="41"/>
      <c r="AP815" s="41"/>
      <c r="AQ815" s="41"/>
    </row>
    <row r="816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  <c r="AE816" s="41"/>
      <c r="AF816" s="41"/>
      <c r="AG816" s="41"/>
      <c r="AH816" s="41"/>
      <c r="AI816" s="41"/>
      <c r="AJ816" s="41"/>
      <c r="AK816" s="41"/>
      <c r="AL816" s="41"/>
      <c r="AM816" s="41"/>
      <c r="AN816" s="41"/>
      <c r="AO816" s="41"/>
      <c r="AP816" s="41"/>
      <c r="AQ816" s="41"/>
    </row>
    <row r="817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  <c r="AE817" s="41"/>
      <c r="AF817" s="41"/>
      <c r="AG817" s="41"/>
      <c r="AH817" s="41"/>
      <c r="AI817" s="41"/>
      <c r="AJ817" s="41"/>
      <c r="AK817" s="41"/>
      <c r="AL817" s="41"/>
      <c r="AM817" s="41"/>
      <c r="AN817" s="41"/>
      <c r="AO817" s="41"/>
      <c r="AP817" s="41"/>
      <c r="AQ817" s="41"/>
    </row>
    <row r="818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  <c r="AE818" s="41"/>
      <c r="AF818" s="41"/>
      <c r="AG818" s="41"/>
      <c r="AH818" s="41"/>
      <c r="AI818" s="41"/>
      <c r="AJ818" s="41"/>
      <c r="AK818" s="41"/>
      <c r="AL818" s="41"/>
      <c r="AM818" s="41"/>
      <c r="AN818" s="41"/>
      <c r="AO818" s="41"/>
      <c r="AP818" s="41"/>
      <c r="AQ818" s="41"/>
    </row>
    <row r="819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  <c r="AE819" s="41"/>
      <c r="AF819" s="41"/>
      <c r="AG819" s="41"/>
      <c r="AH819" s="41"/>
      <c r="AI819" s="41"/>
      <c r="AJ819" s="41"/>
      <c r="AK819" s="41"/>
      <c r="AL819" s="41"/>
      <c r="AM819" s="41"/>
      <c r="AN819" s="41"/>
      <c r="AO819" s="41"/>
      <c r="AP819" s="41"/>
      <c r="AQ819" s="41"/>
    </row>
    <row r="820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  <c r="AE820" s="41"/>
      <c r="AF820" s="41"/>
      <c r="AG820" s="41"/>
      <c r="AH820" s="41"/>
      <c r="AI820" s="41"/>
      <c r="AJ820" s="41"/>
      <c r="AK820" s="41"/>
      <c r="AL820" s="41"/>
      <c r="AM820" s="41"/>
      <c r="AN820" s="41"/>
      <c r="AO820" s="41"/>
      <c r="AP820" s="41"/>
      <c r="AQ820" s="41"/>
    </row>
    <row r="82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  <c r="AE821" s="41"/>
      <c r="AF821" s="41"/>
      <c r="AG821" s="41"/>
      <c r="AH821" s="41"/>
      <c r="AI821" s="41"/>
      <c r="AJ821" s="41"/>
      <c r="AK821" s="41"/>
      <c r="AL821" s="41"/>
      <c r="AM821" s="41"/>
      <c r="AN821" s="41"/>
      <c r="AO821" s="41"/>
      <c r="AP821" s="41"/>
      <c r="AQ821" s="41"/>
    </row>
    <row r="822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  <c r="AE822" s="41"/>
      <c r="AF822" s="41"/>
      <c r="AG822" s="41"/>
      <c r="AH822" s="41"/>
      <c r="AI822" s="41"/>
      <c r="AJ822" s="41"/>
      <c r="AK822" s="41"/>
      <c r="AL822" s="41"/>
      <c r="AM822" s="41"/>
      <c r="AN822" s="41"/>
      <c r="AO822" s="41"/>
      <c r="AP822" s="41"/>
      <c r="AQ822" s="41"/>
    </row>
    <row r="823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  <c r="AE823" s="41"/>
      <c r="AF823" s="41"/>
      <c r="AG823" s="41"/>
      <c r="AH823" s="41"/>
      <c r="AI823" s="41"/>
      <c r="AJ823" s="41"/>
      <c r="AK823" s="41"/>
      <c r="AL823" s="41"/>
      <c r="AM823" s="41"/>
      <c r="AN823" s="41"/>
      <c r="AO823" s="41"/>
      <c r="AP823" s="41"/>
      <c r="AQ823" s="41"/>
    </row>
    <row r="824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  <c r="AE824" s="41"/>
      <c r="AF824" s="41"/>
      <c r="AG824" s="41"/>
      <c r="AH824" s="41"/>
      <c r="AI824" s="41"/>
      <c r="AJ824" s="41"/>
      <c r="AK824" s="41"/>
      <c r="AL824" s="41"/>
      <c r="AM824" s="41"/>
      <c r="AN824" s="41"/>
      <c r="AO824" s="41"/>
      <c r="AP824" s="41"/>
      <c r="AQ824" s="41"/>
    </row>
    <row r="825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  <c r="AE825" s="41"/>
      <c r="AF825" s="41"/>
      <c r="AG825" s="41"/>
      <c r="AH825" s="41"/>
      <c r="AI825" s="41"/>
      <c r="AJ825" s="41"/>
      <c r="AK825" s="41"/>
      <c r="AL825" s="41"/>
      <c r="AM825" s="41"/>
      <c r="AN825" s="41"/>
      <c r="AO825" s="41"/>
      <c r="AP825" s="41"/>
      <c r="AQ825" s="41"/>
    </row>
    <row r="826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/>
      <c r="AN826" s="41"/>
      <c r="AO826" s="41"/>
      <c r="AP826" s="41"/>
      <c r="AQ826" s="41"/>
    </row>
    <row r="827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  <c r="AE827" s="41"/>
      <c r="AF827" s="41"/>
      <c r="AG827" s="41"/>
      <c r="AH827" s="41"/>
      <c r="AI827" s="41"/>
      <c r="AJ827" s="41"/>
      <c r="AK827" s="41"/>
      <c r="AL827" s="41"/>
      <c r="AM827" s="41"/>
      <c r="AN827" s="41"/>
      <c r="AO827" s="41"/>
      <c r="AP827" s="41"/>
      <c r="AQ827" s="41"/>
    </row>
    <row r="828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  <c r="AE828" s="41"/>
      <c r="AF828" s="41"/>
      <c r="AG828" s="41"/>
      <c r="AH828" s="41"/>
      <c r="AI828" s="41"/>
      <c r="AJ828" s="41"/>
      <c r="AK828" s="41"/>
      <c r="AL828" s="41"/>
      <c r="AM828" s="41"/>
      <c r="AN828" s="41"/>
      <c r="AO828" s="41"/>
      <c r="AP828" s="41"/>
      <c r="AQ828" s="41"/>
    </row>
    <row r="829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  <c r="AE829" s="41"/>
      <c r="AF829" s="41"/>
      <c r="AG829" s="41"/>
      <c r="AH829" s="41"/>
      <c r="AI829" s="41"/>
      <c r="AJ829" s="41"/>
      <c r="AK829" s="41"/>
      <c r="AL829" s="41"/>
      <c r="AM829" s="41"/>
      <c r="AN829" s="41"/>
      <c r="AO829" s="41"/>
      <c r="AP829" s="41"/>
      <c r="AQ829" s="41"/>
    </row>
    <row r="830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  <c r="AE830" s="41"/>
      <c r="AF830" s="41"/>
      <c r="AG830" s="41"/>
      <c r="AH830" s="41"/>
      <c r="AI830" s="41"/>
      <c r="AJ830" s="41"/>
      <c r="AK830" s="41"/>
      <c r="AL830" s="41"/>
      <c r="AM830" s="41"/>
      <c r="AN830" s="41"/>
      <c r="AO830" s="41"/>
      <c r="AP830" s="41"/>
      <c r="AQ830" s="41"/>
    </row>
    <row r="83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  <c r="AE831" s="41"/>
      <c r="AF831" s="41"/>
      <c r="AG831" s="41"/>
      <c r="AH831" s="41"/>
      <c r="AI831" s="41"/>
      <c r="AJ831" s="41"/>
      <c r="AK831" s="41"/>
      <c r="AL831" s="41"/>
      <c r="AM831" s="41"/>
      <c r="AN831" s="41"/>
      <c r="AO831" s="41"/>
      <c r="AP831" s="41"/>
      <c r="AQ831" s="41"/>
    </row>
    <row r="832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  <c r="AE832" s="41"/>
      <c r="AF832" s="41"/>
      <c r="AG832" s="41"/>
      <c r="AH832" s="41"/>
      <c r="AI832" s="41"/>
      <c r="AJ832" s="41"/>
      <c r="AK832" s="41"/>
      <c r="AL832" s="41"/>
      <c r="AM832" s="41"/>
      <c r="AN832" s="41"/>
      <c r="AO832" s="41"/>
      <c r="AP832" s="41"/>
      <c r="AQ832" s="41"/>
    </row>
    <row r="833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  <c r="AE833" s="41"/>
      <c r="AF833" s="41"/>
      <c r="AG833" s="41"/>
      <c r="AH833" s="41"/>
      <c r="AI833" s="41"/>
      <c r="AJ833" s="41"/>
      <c r="AK833" s="41"/>
      <c r="AL833" s="41"/>
      <c r="AM833" s="41"/>
      <c r="AN833" s="41"/>
      <c r="AO833" s="41"/>
      <c r="AP833" s="41"/>
      <c r="AQ833" s="41"/>
    </row>
    <row r="834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  <c r="AE834" s="41"/>
      <c r="AF834" s="41"/>
      <c r="AG834" s="41"/>
      <c r="AH834" s="41"/>
      <c r="AI834" s="41"/>
      <c r="AJ834" s="41"/>
      <c r="AK834" s="41"/>
      <c r="AL834" s="41"/>
      <c r="AM834" s="41"/>
      <c r="AN834" s="41"/>
      <c r="AO834" s="41"/>
      <c r="AP834" s="41"/>
      <c r="AQ834" s="41"/>
    </row>
    <row r="835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  <c r="AE835" s="41"/>
      <c r="AF835" s="41"/>
      <c r="AG835" s="41"/>
      <c r="AH835" s="41"/>
      <c r="AI835" s="41"/>
      <c r="AJ835" s="41"/>
      <c r="AK835" s="41"/>
      <c r="AL835" s="41"/>
      <c r="AM835" s="41"/>
      <c r="AN835" s="41"/>
      <c r="AO835" s="41"/>
      <c r="AP835" s="41"/>
      <c r="AQ835" s="41"/>
    </row>
    <row r="836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  <c r="AE836" s="41"/>
      <c r="AF836" s="41"/>
      <c r="AG836" s="41"/>
      <c r="AH836" s="41"/>
      <c r="AI836" s="41"/>
      <c r="AJ836" s="41"/>
      <c r="AK836" s="41"/>
      <c r="AL836" s="41"/>
      <c r="AM836" s="41"/>
      <c r="AN836" s="41"/>
      <c r="AO836" s="41"/>
      <c r="AP836" s="41"/>
      <c r="AQ836" s="41"/>
    </row>
    <row r="837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  <c r="AE837" s="41"/>
      <c r="AF837" s="41"/>
      <c r="AG837" s="41"/>
      <c r="AH837" s="41"/>
      <c r="AI837" s="41"/>
      <c r="AJ837" s="41"/>
      <c r="AK837" s="41"/>
      <c r="AL837" s="41"/>
      <c r="AM837" s="41"/>
      <c r="AN837" s="41"/>
      <c r="AO837" s="41"/>
      <c r="AP837" s="41"/>
      <c r="AQ837" s="41"/>
    </row>
    <row r="838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  <c r="AE838" s="41"/>
      <c r="AF838" s="41"/>
      <c r="AG838" s="41"/>
      <c r="AH838" s="41"/>
      <c r="AI838" s="41"/>
      <c r="AJ838" s="41"/>
      <c r="AK838" s="41"/>
      <c r="AL838" s="41"/>
      <c r="AM838" s="41"/>
      <c r="AN838" s="41"/>
      <c r="AO838" s="41"/>
      <c r="AP838" s="41"/>
      <c r="AQ838" s="41"/>
    </row>
    <row r="839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  <c r="AE839" s="41"/>
      <c r="AF839" s="41"/>
      <c r="AG839" s="41"/>
      <c r="AH839" s="41"/>
      <c r="AI839" s="41"/>
      <c r="AJ839" s="41"/>
      <c r="AK839" s="41"/>
      <c r="AL839" s="41"/>
      <c r="AM839" s="41"/>
      <c r="AN839" s="41"/>
      <c r="AO839" s="41"/>
      <c r="AP839" s="41"/>
      <c r="AQ839" s="41"/>
    </row>
    <row r="840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  <c r="AE840" s="41"/>
      <c r="AF840" s="41"/>
      <c r="AG840" s="41"/>
      <c r="AH840" s="41"/>
      <c r="AI840" s="41"/>
      <c r="AJ840" s="41"/>
      <c r="AK840" s="41"/>
      <c r="AL840" s="41"/>
      <c r="AM840" s="41"/>
      <c r="AN840" s="41"/>
      <c r="AO840" s="41"/>
      <c r="AP840" s="41"/>
      <c r="AQ840" s="41"/>
    </row>
    <row r="84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  <c r="AE841" s="41"/>
      <c r="AF841" s="41"/>
      <c r="AG841" s="41"/>
      <c r="AH841" s="41"/>
      <c r="AI841" s="41"/>
      <c r="AJ841" s="41"/>
      <c r="AK841" s="41"/>
      <c r="AL841" s="41"/>
      <c r="AM841" s="41"/>
      <c r="AN841" s="41"/>
      <c r="AO841" s="41"/>
      <c r="AP841" s="41"/>
      <c r="AQ841" s="41"/>
    </row>
    <row r="842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  <c r="AE842" s="41"/>
      <c r="AF842" s="41"/>
      <c r="AG842" s="41"/>
      <c r="AH842" s="41"/>
      <c r="AI842" s="41"/>
      <c r="AJ842" s="41"/>
      <c r="AK842" s="41"/>
      <c r="AL842" s="41"/>
      <c r="AM842" s="41"/>
      <c r="AN842" s="41"/>
      <c r="AO842" s="41"/>
      <c r="AP842" s="41"/>
      <c r="AQ842" s="41"/>
    </row>
    <row r="843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  <c r="AE843" s="41"/>
      <c r="AF843" s="41"/>
      <c r="AG843" s="41"/>
      <c r="AH843" s="41"/>
      <c r="AI843" s="41"/>
      <c r="AJ843" s="41"/>
      <c r="AK843" s="41"/>
      <c r="AL843" s="41"/>
      <c r="AM843" s="41"/>
      <c r="AN843" s="41"/>
      <c r="AO843" s="41"/>
      <c r="AP843" s="41"/>
      <c r="AQ843" s="41"/>
    </row>
    <row r="844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  <c r="AE844" s="41"/>
      <c r="AF844" s="41"/>
      <c r="AG844" s="41"/>
      <c r="AH844" s="41"/>
      <c r="AI844" s="41"/>
      <c r="AJ844" s="41"/>
      <c r="AK844" s="41"/>
      <c r="AL844" s="41"/>
      <c r="AM844" s="41"/>
      <c r="AN844" s="41"/>
      <c r="AO844" s="41"/>
      <c r="AP844" s="41"/>
      <c r="AQ844" s="41"/>
    </row>
    <row r="845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  <c r="AE845" s="41"/>
      <c r="AF845" s="41"/>
      <c r="AG845" s="41"/>
      <c r="AH845" s="41"/>
      <c r="AI845" s="41"/>
      <c r="AJ845" s="41"/>
      <c r="AK845" s="41"/>
      <c r="AL845" s="41"/>
      <c r="AM845" s="41"/>
      <c r="AN845" s="41"/>
      <c r="AO845" s="41"/>
      <c r="AP845" s="41"/>
      <c r="AQ845" s="41"/>
    </row>
    <row r="846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  <c r="AE846" s="41"/>
      <c r="AF846" s="41"/>
      <c r="AG846" s="41"/>
      <c r="AH846" s="41"/>
      <c r="AI846" s="41"/>
      <c r="AJ846" s="41"/>
      <c r="AK846" s="41"/>
      <c r="AL846" s="41"/>
      <c r="AM846" s="41"/>
      <c r="AN846" s="41"/>
      <c r="AO846" s="41"/>
      <c r="AP846" s="41"/>
      <c r="AQ846" s="41"/>
    </row>
    <row r="847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  <c r="AE847" s="41"/>
      <c r="AF847" s="41"/>
      <c r="AG847" s="41"/>
      <c r="AH847" s="41"/>
      <c r="AI847" s="41"/>
      <c r="AJ847" s="41"/>
      <c r="AK847" s="41"/>
      <c r="AL847" s="41"/>
      <c r="AM847" s="41"/>
      <c r="AN847" s="41"/>
      <c r="AO847" s="41"/>
      <c r="AP847" s="41"/>
      <c r="AQ847" s="41"/>
    </row>
    <row r="848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  <c r="AE848" s="41"/>
      <c r="AF848" s="41"/>
      <c r="AG848" s="41"/>
      <c r="AH848" s="41"/>
      <c r="AI848" s="41"/>
      <c r="AJ848" s="41"/>
      <c r="AK848" s="41"/>
      <c r="AL848" s="41"/>
      <c r="AM848" s="41"/>
      <c r="AN848" s="41"/>
      <c r="AO848" s="41"/>
      <c r="AP848" s="41"/>
      <c r="AQ848" s="41"/>
    </row>
    <row r="849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  <c r="AE849" s="41"/>
      <c r="AF849" s="41"/>
      <c r="AG849" s="41"/>
      <c r="AH849" s="41"/>
      <c r="AI849" s="41"/>
      <c r="AJ849" s="41"/>
      <c r="AK849" s="41"/>
      <c r="AL849" s="41"/>
      <c r="AM849" s="41"/>
      <c r="AN849" s="41"/>
      <c r="AO849" s="41"/>
      <c r="AP849" s="41"/>
      <c r="AQ849" s="41"/>
    </row>
    <row r="850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  <c r="AE850" s="41"/>
      <c r="AF850" s="41"/>
      <c r="AG850" s="41"/>
      <c r="AH850" s="41"/>
      <c r="AI850" s="41"/>
      <c r="AJ850" s="41"/>
      <c r="AK850" s="41"/>
      <c r="AL850" s="41"/>
      <c r="AM850" s="41"/>
      <c r="AN850" s="41"/>
      <c r="AO850" s="41"/>
      <c r="AP850" s="41"/>
      <c r="AQ850" s="41"/>
    </row>
    <row r="85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  <c r="AE851" s="41"/>
      <c r="AF851" s="41"/>
      <c r="AG851" s="41"/>
      <c r="AH851" s="41"/>
      <c r="AI851" s="41"/>
      <c r="AJ851" s="41"/>
      <c r="AK851" s="41"/>
      <c r="AL851" s="41"/>
      <c r="AM851" s="41"/>
      <c r="AN851" s="41"/>
      <c r="AO851" s="41"/>
      <c r="AP851" s="41"/>
      <c r="AQ851" s="41"/>
    </row>
    <row r="852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  <c r="AE852" s="41"/>
      <c r="AF852" s="41"/>
      <c r="AG852" s="41"/>
      <c r="AH852" s="41"/>
      <c r="AI852" s="41"/>
      <c r="AJ852" s="41"/>
      <c r="AK852" s="41"/>
      <c r="AL852" s="41"/>
      <c r="AM852" s="41"/>
      <c r="AN852" s="41"/>
      <c r="AO852" s="41"/>
      <c r="AP852" s="41"/>
      <c r="AQ852" s="41"/>
    </row>
    <row r="853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  <c r="AE853" s="41"/>
      <c r="AF853" s="41"/>
      <c r="AG853" s="41"/>
      <c r="AH853" s="41"/>
      <c r="AI853" s="41"/>
      <c r="AJ853" s="41"/>
      <c r="AK853" s="41"/>
      <c r="AL853" s="41"/>
      <c r="AM853" s="41"/>
      <c r="AN853" s="41"/>
      <c r="AO853" s="41"/>
      <c r="AP853" s="41"/>
      <c r="AQ853" s="41"/>
    </row>
    <row r="854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  <c r="AE854" s="41"/>
      <c r="AF854" s="41"/>
      <c r="AG854" s="41"/>
      <c r="AH854" s="41"/>
      <c r="AI854" s="41"/>
      <c r="AJ854" s="41"/>
      <c r="AK854" s="41"/>
      <c r="AL854" s="41"/>
      <c r="AM854" s="41"/>
      <c r="AN854" s="41"/>
      <c r="AO854" s="41"/>
      <c r="AP854" s="41"/>
      <c r="AQ854" s="41"/>
    </row>
    <row r="855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  <c r="AE855" s="41"/>
      <c r="AF855" s="41"/>
      <c r="AG855" s="41"/>
      <c r="AH855" s="41"/>
      <c r="AI855" s="41"/>
      <c r="AJ855" s="41"/>
      <c r="AK855" s="41"/>
      <c r="AL855" s="41"/>
      <c r="AM855" s="41"/>
      <c r="AN855" s="41"/>
      <c r="AO855" s="41"/>
      <c r="AP855" s="41"/>
      <c r="AQ855" s="41"/>
    </row>
    <row r="856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  <c r="AE856" s="41"/>
      <c r="AF856" s="41"/>
      <c r="AG856" s="41"/>
      <c r="AH856" s="41"/>
      <c r="AI856" s="41"/>
      <c r="AJ856" s="41"/>
      <c r="AK856" s="41"/>
      <c r="AL856" s="41"/>
      <c r="AM856" s="41"/>
      <c r="AN856" s="41"/>
      <c r="AO856" s="41"/>
      <c r="AP856" s="41"/>
      <c r="AQ856" s="41"/>
    </row>
    <row r="857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  <c r="AE857" s="41"/>
      <c r="AF857" s="41"/>
      <c r="AG857" s="41"/>
      <c r="AH857" s="41"/>
      <c r="AI857" s="41"/>
      <c r="AJ857" s="41"/>
      <c r="AK857" s="41"/>
      <c r="AL857" s="41"/>
      <c r="AM857" s="41"/>
      <c r="AN857" s="41"/>
      <c r="AO857" s="41"/>
      <c r="AP857" s="41"/>
      <c r="AQ857" s="41"/>
    </row>
    <row r="858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  <c r="AE858" s="41"/>
      <c r="AF858" s="41"/>
      <c r="AG858" s="41"/>
      <c r="AH858" s="41"/>
      <c r="AI858" s="41"/>
      <c r="AJ858" s="41"/>
      <c r="AK858" s="41"/>
      <c r="AL858" s="41"/>
      <c r="AM858" s="41"/>
      <c r="AN858" s="41"/>
      <c r="AO858" s="41"/>
      <c r="AP858" s="41"/>
      <c r="AQ858" s="41"/>
    </row>
    <row r="859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  <c r="AE859" s="41"/>
      <c r="AF859" s="41"/>
      <c r="AG859" s="41"/>
      <c r="AH859" s="41"/>
      <c r="AI859" s="41"/>
      <c r="AJ859" s="41"/>
      <c r="AK859" s="41"/>
      <c r="AL859" s="41"/>
      <c r="AM859" s="41"/>
      <c r="AN859" s="41"/>
      <c r="AO859" s="41"/>
      <c r="AP859" s="41"/>
      <c r="AQ859" s="41"/>
    </row>
    <row r="860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  <c r="AE860" s="41"/>
      <c r="AF860" s="41"/>
      <c r="AG860" s="41"/>
      <c r="AH860" s="41"/>
      <c r="AI860" s="41"/>
      <c r="AJ860" s="41"/>
      <c r="AK860" s="41"/>
      <c r="AL860" s="41"/>
      <c r="AM860" s="41"/>
      <c r="AN860" s="41"/>
      <c r="AO860" s="41"/>
      <c r="AP860" s="41"/>
      <c r="AQ860" s="41"/>
    </row>
    <row r="86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  <c r="AE861" s="41"/>
      <c r="AF861" s="41"/>
      <c r="AG861" s="41"/>
      <c r="AH861" s="41"/>
      <c r="AI861" s="41"/>
      <c r="AJ861" s="41"/>
      <c r="AK861" s="41"/>
      <c r="AL861" s="41"/>
      <c r="AM861" s="41"/>
      <c r="AN861" s="41"/>
      <c r="AO861" s="41"/>
      <c r="AP861" s="41"/>
      <c r="AQ861" s="41"/>
    </row>
    <row r="862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  <c r="AE862" s="41"/>
      <c r="AF862" s="41"/>
      <c r="AG862" s="41"/>
      <c r="AH862" s="41"/>
      <c r="AI862" s="41"/>
      <c r="AJ862" s="41"/>
      <c r="AK862" s="41"/>
      <c r="AL862" s="41"/>
      <c r="AM862" s="41"/>
      <c r="AN862" s="41"/>
      <c r="AO862" s="41"/>
      <c r="AP862" s="41"/>
      <c r="AQ862" s="41"/>
    </row>
    <row r="863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  <c r="AE863" s="41"/>
      <c r="AF863" s="41"/>
      <c r="AG863" s="41"/>
      <c r="AH863" s="41"/>
      <c r="AI863" s="41"/>
      <c r="AJ863" s="41"/>
      <c r="AK863" s="41"/>
      <c r="AL863" s="41"/>
      <c r="AM863" s="41"/>
      <c r="AN863" s="41"/>
      <c r="AO863" s="41"/>
      <c r="AP863" s="41"/>
      <c r="AQ863" s="41"/>
    </row>
    <row r="864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/>
      <c r="AN864" s="41"/>
      <c r="AO864" s="41"/>
      <c r="AP864" s="41"/>
      <c r="AQ864" s="41"/>
    </row>
    <row r="865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  <c r="AE865" s="41"/>
      <c r="AF865" s="41"/>
      <c r="AG865" s="41"/>
      <c r="AH865" s="41"/>
      <c r="AI865" s="41"/>
      <c r="AJ865" s="41"/>
      <c r="AK865" s="41"/>
      <c r="AL865" s="41"/>
      <c r="AM865" s="41"/>
      <c r="AN865" s="41"/>
      <c r="AO865" s="41"/>
      <c r="AP865" s="41"/>
      <c r="AQ865" s="41"/>
    </row>
    <row r="866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  <c r="AE866" s="41"/>
      <c r="AF866" s="41"/>
      <c r="AG866" s="41"/>
      <c r="AH866" s="41"/>
      <c r="AI866" s="41"/>
      <c r="AJ866" s="41"/>
      <c r="AK866" s="41"/>
      <c r="AL866" s="41"/>
      <c r="AM866" s="41"/>
      <c r="AN866" s="41"/>
      <c r="AO866" s="41"/>
      <c r="AP866" s="41"/>
      <c r="AQ866" s="41"/>
    </row>
    <row r="867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  <c r="AE867" s="41"/>
      <c r="AF867" s="41"/>
      <c r="AG867" s="41"/>
      <c r="AH867" s="41"/>
      <c r="AI867" s="41"/>
      <c r="AJ867" s="41"/>
      <c r="AK867" s="41"/>
      <c r="AL867" s="41"/>
      <c r="AM867" s="41"/>
      <c r="AN867" s="41"/>
      <c r="AO867" s="41"/>
      <c r="AP867" s="41"/>
      <c r="AQ867" s="41"/>
    </row>
    <row r="868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  <c r="AE868" s="41"/>
      <c r="AF868" s="41"/>
      <c r="AG868" s="41"/>
      <c r="AH868" s="41"/>
      <c r="AI868" s="41"/>
      <c r="AJ868" s="41"/>
      <c r="AK868" s="41"/>
      <c r="AL868" s="41"/>
      <c r="AM868" s="41"/>
      <c r="AN868" s="41"/>
      <c r="AO868" s="41"/>
      <c r="AP868" s="41"/>
      <c r="AQ868" s="41"/>
    </row>
    <row r="869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  <c r="AE869" s="41"/>
      <c r="AF869" s="41"/>
      <c r="AG869" s="41"/>
      <c r="AH869" s="41"/>
      <c r="AI869" s="41"/>
      <c r="AJ869" s="41"/>
      <c r="AK869" s="41"/>
      <c r="AL869" s="41"/>
      <c r="AM869" s="41"/>
      <c r="AN869" s="41"/>
      <c r="AO869" s="41"/>
      <c r="AP869" s="41"/>
      <c r="AQ869" s="41"/>
    </row>
    <row r="870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  <c r="AE870" s="41"/>
      <c r="AF870" s="41"/>
      <c r="AG870" s="41"/>
      <c r="AH870" s="41"/>
      <c r="AI870" s="41"/>
      <c r="AJ870" s="41"/>
      <c r="AK870" s="41"/>
      <c r="AL870" s="41"/>
      <c r="AM870" s="41"/>
      <c r="AN870" s="41"/>
      <c r="AO870" s="41"/>
      <c r="AP870" s="41"/>
      <c r="AQ870" s="41"/>
    </row>
    <row r="87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  <c r="AE871" s="41"/>
      <c r="AF871" s="41"/>
      <c r="AG871" s="41"/>
      <c r="AH871" s="41"/>
      <c r="AI871" s="41"/>
      <c r="AJ871" s="41"/>
      <c r="AK871" s="41"/>
      <c r="AL871" s="41"/>
      <c r="AM871" s="41"/>
      <c r="AN871" s="41"/>
      <c r="AO871" s="41"/>
      <c r="AP871" s="41"/>
      <c r="AQ871" s="41"/>
    </row>
    <row r="872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  <c r="AE872" s="41"/>
      <c r="AF872" s="41"/>
      <c r="AG872" s="41"/>
      <c r="AH872" s="41"/>
      <c r="AI872" s="41"/>
      <c r="AJ872" s="41"/>
      <c r="AK872" s="41"/>
      <c r="AL872" s="41"/>
      <c r="AM872" s="41"/>
      <c r="AN872" s="41"/>
      <c r="AO872" s="41"/>
      <c r="AP872" s="41"/>
      <c r="AQ872" s="41"/>
    </row>
    <row r="873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  <c r="AE873" s="41"/>
      <c r="AF873" s="41"/>
      <c r="AG873" s="41"/>
      <c r="AH873" s="41"/>
      <c r="AI873" s="41"/>
      <c r="AJ873" s="41"/>
      <c r="AK873" s="41"/>
      <c r="AL873" s="41"/>
      <c r="AM873" s="41"/>
      <c r="AN873" s="41"/>
      <c r="AO873" s="41"/>
      <c r="AP873" s="41"/>
      <c r="AQ873" s="41"/>
    </row>
    <row r="874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  <c r="AE874" s="41"/>
      <c r="AF874" s="41"/>
      <c r="AG874" s="41"/>
      <c r="AH874" s="41"/>
      <c r="AI874" s="41"/>
      <c r="AJ874" s="41"/>
      <c r="AK874" s="41"/>
      <c r="AL874" s="41"/>
      <c r="AM874" s="41"/>
      <c r="AN874" s="41"/>
      <c r="AO874" s="41"/>
      <c r="AP874" s="41"/>
      <c r="AQ874" s="41"/>
    </row>
    <row r="875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  <c r="AE875" s="41"/>
      <c r="AF875" s="41"/>
      <c r="AG875" s="41"/>
      <c r="AH875" s="41"/>
      <c r="AI875" s="41"/>
      <c r="AJ875" s="41"/>
      <c r="AK875" s="41"/>
      <c r="AL875" s="41"/>
      <c r="AM875" s="41"/>
      <c r="AN875" s="41"/>
      <c r="AO875" s="41"/>
      <c r="AP875" s="41"/>
      <c r="AQ875" s="41"/>
    </row>
    <row r="876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  <c r="AE876" s="41"/>
      <c r="AF876" s="41"/>
      <c r="AG876" s="41"/>
      <c r="AH876" s="41"/>
      <c r="AI876" s="41"/>
      <c r="AJ876" s="41"/>
      <c r="AK876" s="41"/>
      <c r="AL876" s="41"/>
      <c r="AM876" s="41"/>
      <c r="AN876" s="41"/>
      <c r="AO876" s="41"/>
      <c r="AP876" s="41"/>
      <c r="AQ876" s="41"/>
    </row>
    <row r="877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  <c r="AE877" s="41"/>
      <c r="AF877" s="41"/>
      <c r="AG877" s="41"/>
      <c r="AH877" s="41"/>
      <c r="AI877" s="41"/>
      <c r="AJ877" s="41"/>
      <c r="AK877" s="41"/>
      <c r="AL877" s="41"/>
      <c r="AM877" s="41"/>
      <c r="AN877" s="41"/>
      <c r="AO877" s="41"/>
      <c r="AP877" s="41"/>
      <c r="AQ877" s="41"/>
    </row>
    <row r="878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  <c r="AE878" s="41"/>
      <c r="AF878" s="41"/>
      <c r="AG878" s="41"/>
      <c r="AH878" s="41"/>
      <c r="AI878" s="41"/>
      <c r="AJ878" s="41"/>
      <c r="AK878" s="41"/>
      <c r="AL878" s="41"/>
      <c r="AM878" s="41"/>
      <c r="AN878" s="41"/>
      <c r="AO878" s="41"/>
      <c r="AP878" s="41"/>
      <c r="AQ878" s="41"/>
    </row>
    <row r="879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  <c r="AE879" s="41"/>
      <c r="AF879" s="41"/>
      <c r="AG879" s="41"/>
      <c r="AH879" s="41"/>
      <c r="AI879" s="41"/>
      <c r="AJ879" s="41"/>
      <c r="AK879" s="41"/>
      <c r="AL879" s="41"/>
      <c r="AM879" s="41"/>
      <c r="AN879" s="41"/>
      <c r="AO879" s="41"/>
      <c r="AP879" s="41"/>
      <c r="AQ879" s="41"/>
    </row>
    <row r="880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  <c r="AE880" s="41"/>
      <c r="AF880" s="41"/>
      <c r="AG880" s="41"/>
      <c r="AH880" s="41"/>
      <c r="AI880" s="41"/>
      <c r="AJ880" s="41"/>
      <c r="AK880" s="41"/>
      <c r="AL880" s="41"/>
      <c r="AM880" s="41"/>
      <c r="AN880" s="41"/>
      <c r="AO880" s="41"/>
      <c r="AP880" s="41"/>
      <c r="AQ880" s="41"/>
    </row>
    <row r="88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  <c r="AE881" s="41"/>
      <c r="AF881" s="41"/>
      <c r="AG881" s="41"/>
      <c r="AH881" s="41"/>
      <c r="AI881" s="41"/>
      <c r="AJ881" s="41"/>
      <c r="AK881" s="41"/>
      <c r="AL881" s="41"/>
      <c r="AM881" s="41"/>
      <c r="AN881" s="41"/>
      <c r="AO881" s="41"/>
      <c r="AP881" s="41"/>
      <c r="AQ881" s="41"/>
    </row>
    <row r="882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  <c r="AE882" s="41"/>
      <c r="AF882" s="41"/>
      <c r="AG882" s="41"/>
      <c r="AH882" s="41"/>
      <c r="AI882" s="41"/>
      <c r="AJ882" s="41"/>
      <c r="AK882" s="41"/>
      <c r="AL882" s="41"/>
      <c r="AM882" s="41"/>
      <c r="AN882" s="41"/>
      <c r="AO882" s="41"/>
      <c r="AP882" s="41"/>
      <c r="AQ882" s="41"/>
    </row>
    <row r="883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  <c r="AE883" s="41"/>
      <c r="AF883" s="41"/>
      <c r="AG883" s="41"/>
      <c r="AH883" s="41"/>
      <c r="AI883" s="41"/>
      <c r="AJ883" s="41"/>
      <c r="AK883" s="41"/>
      <c r="AL883" s="41"/>
      <c r="AM883" s="41"/>
      <c r="AN883" s="41"/>
      <c r="AO883" s="41"/>
      <c r="AP883" s="41"/>
      <c r="AQ883" s="41"/>
    </row>
    <row r="884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  <c r="AE884" s="41"/>
      <c r="AF884" s="41"/>
      <c r="AG884" s="41"/>
      <c r="AH884" s="41"/>
      <c r="AI884" s="41"/>
      <c r="AJ884" s="41"/>
      <c r="AK884" s="41"/>
      <c r="AL884" s="41"/>
      <c r="AM884" s="41"/>
      <c r="AN884" s="41"/>
      <c r="AO884" s="41"/>
      <c r="AP884" s="41"/>
      <c r="AQ884" s="41"/>
    </row>
    <row r="885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  <c r="AE885" s="41"/>
      <c r="AF885" s="41"/>
      <c r="AG885" s="41"/>
      <c r="AH885" s="41"/>
      <c r="AI885" s="41"/>
      <c r="AJ885" s="41"/>
      <c r="AK885" s="41"/>
      <c r="AL885" s="41"/>
      <c r="AM885" s="41"/>
      <c r="AN885" s="41"/>
      <c r="AO885" s="41"/>
      <c r="AP885" s="41"/>
      <c r="AQ885" s="41"/>
    </row>
    <row r="886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  <c r="AE886" s="41"/>
      <c r="AF886" s="41"/>
      <c r="AG886" s="41"/>
      <c r="AH886" s="41"/>
      <c r="AI886" s="41"/>
      <c r="AJ886" s="41"/>
      <c r="AK886" s="41"/>
      <c r="AL886" s="41"/>
      <c r="AM886" s="41"/>
      <c r="AN886" s="41"/>
      <c r="AO886" s="41"/>
      <c r="AP886" s="41"/>
      <c r="AQ886" s="41"/>
    </row>
    <row r="887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  <c r="AE887" s="41"/>
      <c r="AF887" s="41"/>
      <c r="AG887" s="41"/>
      <c r="AH887" s="41"/>
      <c r="AI887" s="41"/>
      <c r="AJ887" s="41"/>
      <c r="AK887" s="41"/>
      <c r="AL887" s="41"/>
      <c r="AM887" s="41"/>
      <c r="AN887" s="41"/>
      <c r="AO887" s="41"/>
      <c r="AP887" s="41"/>
      <c r="AQ887" s="41"/>
    </row>
    <row r="888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  <c r="AE888" s="41"/>
      <c r="AF888" s="41"/>
      <c r="AG888" s="41"/>
      <c r="AH888" s="41"/>
      <c r="AI888" s="41"/>
      <c r="AJ888" s="41"/>
      <c r="AK888" s="41"/>
      <c r="AL888" s="41"/>
      <c r="AM888" s="41"/>
      <c r="AN888" s="41"/>
      <c r="AO888" s="41"/>
      <c r="AP888" s="41"/>
      <c r="AQ888" s="41"/>
    </row>
    <row r="889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  <c r="AE889" s="41"/>
      <c r="AF889" s="41"/>
      <c r="AG889" s="41"/>
      <c r="AH889" s="41"/>
      <c r="AI889" s="41"/>
      <c r="AJ889" s="41"/>
      <c r="AK889" s="41"/>
      <c r="AL889" s="41"/>
      <c r="AM889" s="41"/>
      <c r="AN889" s="41"/>
      <c r="AO889" s="41"/>
      <c r="AP889" s="41"/>
      <c r="AQ889" s="41"/>
    </row>
    <row r="890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  <c r="AE890" s="41"/>
      <c r="AF890" s="41"/>
      <c r="AG890" s="41"/>
      <c r="AH890" s="41"/>
      <c r="AI890" s="41"/>
      <c r="AJ890" s="41"/>
      <c r="AK890" s="41"/>
      <c r="AL890" s="41"/>
      <c r="AM890" s="41"/>
      <c r="AN890" s="41"/>
      <c r="AO890" s="41"/>
      <c r="AP890" s="41"/>
      <c r="AQ890" s="41"/>
    </row>
    <row r="89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  <c r="AE891" s="41"/>
      <c r="AF891" s="41"/>
      <c r="AG891" s="41"/>
      <c r="AH891" s="41"/>
      <c r="AI891" s="41"/>
      <c r="AJ891" s="41"/>
      <c r="AK891" s="41"/>
      <c r="AL891" s="41"/>
      <c r="AM891" s="41"/>
      <c r="AN891" s="41"/>
      <c r="AO891" s="41"/>
      <c r="AP891" s="41"/>
      <c r="AQ891" s="41"/>
    </row>
    <row r="892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  <c r="AE892" s="41"/>
      <c r="AF892" s="41"/>
      <c r="AG892" s="41"/>
      <c r="AH892" s="41"/>
      <c r="AI892" s="41"/>
      <c r="AJ892" s="41"/>
      <c r="AK892" s="41"/>
      <c r="AL892" s="41"/>
      <c r="AM892" s="41"/>
      <c r="AN892" s="41"/>
      <c r="AO892" s="41"/>
      <c r="AP892" s="41"/>
      <c r="AQ892" s="41"/>
    </row>
    <row r="893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  <c r="AE893" s="41"/>
      <c r="AF893" s="41"/>
      <c r="AG893" s="41"/>
      <c r="AH893" s="41"/>
      <c r="AI893" s="41"/>
      <c r="AJ893" s="41"/>
      <c r="AK893" s="41"/>
      <c r="AL893" s="41"/>
      <c r="AM893" s="41"/>
      <c r="AN893" s="41"/>
      <c r="AO893" s="41"/>
      <c r="AP893" s="41"/>
      <c r="AQ893" s="41"/>
    </row>
    <row r="894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  <c r="AE894" s="41"/>
      <c r="AF894" s="41"/>
      <c r="AG894" s="41"/>
      <c r="AH894" s="41"/>
      <c r="AI894" s="41"/>
      <c r="AJ894" s="41"/>
      <c r="AK894" s="41"/>
      <c r="AL894" s="41"/>
      <c r="AM894" s="41"/>
      <c r="AN894" s="41"/>
      <c r="AO894" s="41"/>
      <c r="AP894" s="41"/>
      <c r="AQ894" s="41"/>
    </row>
    <row r="895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  <c r="AE895" s="41"/>
      <c r="AF895" s="41"/>
      <c r="AG895" s="41"/>
      <c r="AH895" s="41"/>
      <c r="AI895" s="41"/>
      <c r="AJ895" s="41"/>
      <c r="AK895" s="41"/>
      <c r="AL895" s="41"/>
      <c r="AM895" s="41"/>
      <c r="AN895" s="41"/>
      <c r="AO895" s="41"/>
      <c r="AP895" s="41"/>
      <c r="AQ895" s="41"/>
    </row>
    <row r="896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  <c r="AE896" s="41"/>
      <c r="AF896" s="41"/>
      <c r="AG896" s="41"/>
      <c r="AH896" s="41"/>
      <c r="AI896" s="41"/>
      <c r="AJ896" s="41"/>
      <c r="AK896" s="41"/>
      <c r="AL896" s="41"/>
      <c r="AM896" s="41"/>
      <c r="AN896" s="41"/>
      <c r="AO896" s="41"/>
      <c r="AP896" s="41"/>
      <c r="AQ896" s="41"/>
    </row>
    <row r="897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  <c r="AE897" s="41"/>
      <c r="AF897" s="41"/>
      <c r="AG897" s="41"/>
      <c r="AH897" s="41"/>
      <c r="AI897" s="41"/>
      <c r="AJ897" s="41"/>
      <c r="AK897" s="41"/>
      <c r="AL897" s="41"/>
      <c r="AM897" s="41"/>
      <c r="AN897" s="41"/>
      <c r="AO897" s="41"/>
      <c r="AP897" s="41"/>
      <c r="AQ897" s="41"/>
    </row>
    <row r="898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  <c r="AE898" s="41"/>
      <c r="AF898" s="41"/>
      <c r="AG898" s="41"/>
      <c r="AH898" s="41"/>
      <c r="AI898" s="41"/>
      <c r="AJ898" s="41"/>
      <c r="AK898" s="41"/>
      <c r="AL898" s="41"/>
      <c r="AM898" s="41"/>
      <c r="AN898" s="41"/>
      <c r="AO898" s="41"/>
      <c r="AP898" s="41"/>
      <c r="AQ898" s="41"/>
    </row>
    <row r="899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  <c r="AE899" s="41"/>
      <c r="AF899" s="41"/>
      <c r="AG899" s="41"/>
      <c r="AH899" s="41"/>
      <c r="AI899" s="41"/>
      <c r="AJ899" s="41"/>
      <c r="AK899" s="41"/>
      <c r="AL899" s="41"/>
      <c r="AM899" s="41"/>
      <c r="AN899" s="41"/>
      <c r="AO899" s="41"/>
      <c r="AP899" s="41"/>
      <c r="AQ899" s="41"/>
    </row>
    <row r="900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  <c r="AE900" s="41"/>
      <c r="AF900" s="41"/>
      <c r="AG900" s="41"/>
      <c r="AH900" s="41"/>
      <c r="AI900" s="41"/>
      <c r="AJ900" s="41"/>
      <c r="AK900" s="41"/>
      <c r="AL900" s="41"/>
      <c r="AM900" s="41"/>
      <c r="AN900" s="41"/>
      <c r="AO900" s="41"/>
      <c r="AP900" s="41"/>
      <c r="AQ900" s="41"/>
    </row>
    <row r="90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  <c r="AE901" s="41"/>
      <c r="AF901" s="41"/>
      <c r="AG901" s="41"/>
      <c r="AH901" s="41"/>
      <c r="AI901" s="41"/>
      <c r="AJ901" s="41"/>
      <c r="AK901" s="41"/>
      <c r="AL901" s="41"/>
      <c r="AM901" s="41"/>
      <c r="AN901" s="41"/>
      <c r="AO901" s="41"/>
      <c r="AP901" s="41"/>
      <c r="AQ901" s="41"/>
    </row>
    <row r="902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/>
      <c r="AN902" s="41"/>
      <c r="AO902" s="41"/>
      <c r="AP902" s="41"/>
      <c r="AQ902" s="41"/>
    </row>
    <row r="903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  <c r="AE903" s="41"/>
      <c r="AF903" s="41"/>
      <c r="AG903" s="41"/>
      <c r="AH903" s="41"/>
      <c r="AI903" s="41"/>
      <c r="AJ903" s="41"/>
      <c r="AK903" s="41"/>
      <c r="AL903" s="41"/>
      <c r="AM903" s="41"/>
      <c r="AN903" s="41"/>
      <c r="AO903" s="41"/>
      <c r="AP903" s="41"/>
      <c r="AQ903" s="41"/>
    </row>
    <row r="904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  <c r="AE904" s="41"/>
      <c r="AF904" s="41"/>
      <c r="AG904" s="41"/>
      <c r="AH904" s="41"/>
      <c r="AI904" s="41"/>
      <c r="AJ904" s="41"/>
      <c r="AK904" s="41"/>
      <c r="AL904" s="41"/>
      <c r="AM904" s="41"/>
      <c r="AN904" s="41"/>
      <c r="AO904" s="41"/>
      <c r="AP904" s="41"/>
      <c r="AQ904" s="41"/>
    </row>
    <row r="905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  <c r="AE905" s="41"/>
      <c r="AF905" s="41"/>
      <c r="AG905" s="41"/>
      <c r="AH905" s="41"/>
      <c r="AI905" s="41"/>
      <c r="AJ905" s="41"/>
      <c r="AK905" s="41"/>
      <c r="AL905" s="41"/>
      <c r="AM905" s="41"/>
      <c r="AN905" s="41"/>
      <c r="AO905" s="41"/>
      <c r="AP905" s="41"/>
      <c r="AQ905" s="41"/>
    </row>
    <row r="906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  <c r="AE906" s="41"/>
      <c r="AF906" s="41"/>
      <c r="AG906" s="41"/>
      <c r="AH906" s="41"/>
      <c r="AI906" s="41"/>
      <c r="AJ906" s="41"/>
      <c r="AK906" s="41"/>
      <c r="AL906" s="41"/>
      <c r="AM906" s="41"/>
      <c r="AN906" s="41"/>
      <c r="AO906" s="41"/>
      <c r="AP906" s="41"/>
      <c r="AQ906" s="41"/>
    </row>
    <row r="907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  <c r="AE907" s="41"/>
      <c r="AF907" s="41"/>
      <c r="AG907" s="41"/>
      <c r="AH907" s="41"/>
      <c r="AI907" s="41"/>
      <c r="AJ907" s="41"/>
      <c r="AK907" s="41"/>
      <c r="AL907" s="41"/>
      <c r="AM907" s="41"/>
      <c r="AN907" s="41"/>
      <c r="AO907" s="41"/>
      <c r="AP907" s="41"/>
      <c r="AQ907" s="41"/>
    </row>
    <row r="908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  <c r="AE908" s="41"/>
      <c r="AF908" s="41"/>
      <c r="AG908" s="41"/>
      <c r="AH908" s="41"/>
      <c r="AI908" s="41"/>
      <c r="AJ908" s="41"/>
      <c r="AK908" s="41"/>
      <c r="AL908" s="41"/>
      <c r="AM908" s="41"/>
      <c r="AN908" s="41"/>
      <c r="AO908" s="41"/>
      <c r="AP908" s="41"/>
      <c r="AQ908" s="41"/>
    </row>
    <row r="909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  <c r="AE909" s="41"/>
      <c r="AF909" s="41"/>
      <c r="AG909" s="41"/>
      <c r="AH909" s="41"/>
      <c r="AI909" s="41"/>
      <c r="AJ909" s="41"/>
      <c r="AK909" s="41"/>
      <c r="AL909" s="41"/>
      <c r="AM909" s="41"/>
      <c r="AN909" s="41"/>
      <c r="AO909" s="41"/>
      <c r="AP909" s="41"/>
      <c r="AQ909" s="41"/>
    </row>
    <row r="910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  <c r="AE910" s="41"/>
      <c r="AF910" s="41"/>
      <c r="AG910" s="41"/>
      <c r="AH910" s="41"/>
      <c r="AI910" s="41"/>
      <c r="AJ910" s="41"/>
      <c r="AK910" s="41"/>
      <c r="AL910" s="41"/>
      <c r="AM910" s="41"/>
      <c r="AN910" s="41"/>
      <c r="AO910" s="41"/>
      <c r="AP910" s="41"/>
      <c r="AQ910" s="41"/>
    </row>
    <row r="91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  <c r="AE911" s="41"/>
      <c r="AF911" s="41"/>
      <c r="AG911" s="41"/>
      <c r="AH911" s="41"/>
      <c r="AI911" s="41"/>
      <c r="AJ911" s="41"/>
      <c r="AK911" s="41"/>
      <c r="AL911" s="41"/>
      <c r="AM911" s="41"/>
      <c r="AN911" s="41"/>
      <c r="AO911" s="41"/>
      <c r="AP911" s="41"/>
      <c r="AQ911" s="41"/>
    </row>
    <row r="912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  <c r="AE912" s="41"/>
      <c r="AF912" s="41"/>
      <c r="AG912" s="41"/>
      <c r="AH912" s="41"/>
      <c r="AI912" s="41"/>
      <c r="AJ912" s="41"/>
      <c r="AK912" s="41"/>
      <c r="AL912" s="41"/>
      <c r="AM912" s="41"/>
      <c r="AN912" s="41"/>
      <c r="AO912" s="41"/>
      <c r="AP912" s="41"/>
      <c r="AQ912" s="41"/>
    </row>
    <row r="913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  <c r="AE913" s="41"/>
      <c r="AF913" s="41"/>
      <c r="AG913" s="41"/>
      <c r="AH913" s="41"/>
      <c r="AI913" s="41"/>
      <c r="AJ913" s="41"/>
      <c r="AK913" s="41"/>
      <c r="AL913" s="41"/>
      <c r="AM913" s="41"/>
      <c r="AN913" s="41"/>
      <c r="AO913" s="41"/>
      <c r="AP913" s="41"/>
      <c r="AQ913" s="41"/>
    </row>
    <row r="914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  <c r="AE914" s="41"/>
      <c r="AF914" s="41"/>
      <c r="AG914" s="41"/>
      <c r="AH914" s="41"/>
      <c r="AI914" s="41"/>
      <c r="AJ914" s="41"/>
      <c r="AK914" s="41"/>
      <c r="AL914" s="41"/>
      <c r="AM914" s="41"/>
      <c r="AN914" s="41"/>
      <c r="AO914" s="41"/>
      <c r="AP914" s="41"/>
      <c r="AQ914" s="41"/>
    </row>
    <row r="915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  <c r="AE915" s="41"/>
      <c r="AF915" s="41"/>
      <c r="AG915" s="41"/>
      <c r="AH915" s="41"/>
      <c r="AI915" s="41"/>
      <c r="AJ915" s="41"/>
      <c r="AK915" s="41"/>
      <c r="AL915" s="41"/>
      <c r="AM915" s="41"/>
      <c r="AN915" s="41"/>
      <c r="AO915" s="41"/>
      <c r="AP915" s="41"/>
      <c r="AQ915" s="41"/>
    </row>
    <row r="916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  <c r="AE916" s="41"/>
      <c r="AF916" s="41"/>
      <c r="AG916" s="41"/>
      <c r="AH916" s="41"/>
      <c r="AI916" s="41"/>
      <c r="AJ916" s="41"/>
      <c r="AK916" s="41"/>
      <c r="AL916" s="41"/>
      <c r="AM916" s="41"/>
      <c r="AN916" s="41"/>
      <c r="AO916" s="41"/>
      <c r="AP916" s="41"/>
      <c r="AQ916" s="41"/>
    </row>
    <row r="917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  <c r="AE917" s="41"/>
      <c r="AF917" s="41"/>
      <c r="AG917" s="41"/>
      <c r="AH917" s="41"/>
      <c r="AI917" s="41"/>
      <c r="AJ917" s="41"/>
      <c r="AK917" s="41"/>
      <c r="AL917" s="41"/>
      <c r="AM917" s="41"/>
      <c r="AN917" s="41"/>
      <c r="AO917" s="41"/>
      <c r="AP917" s="41"/>
      <c r="AQ917" s="41"/>
    </row>
    <row r="918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  <c r="AE918" s="41"/>
      <c r="AF918" s="41"/>
      <c r="AG918" s="41"/>
      <c r="AH918" s="41"/>
      <c r="AI918" s="41"/>
      <c r="AJ918" s="41"/>
      <c r="AK918" s="41"/>
      <c r="AL918" s="41"/>
      <c r="AM918" s="41"/>
      <c r="AN918" s="41"/>
      <c r="AO918" s="41"/>
      <c r="AP918" s="41"/>
      <c r="AQ918" s="41"/>
    </row>
    <row r="919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  <c r="AE919" s="41"/>
      <c r="AF919" s="41"/>
      <c r="AG919" s="41"/>
      <c r="AH919" s="41"/>
      <c r="AI919" s="41"/>
      <c r="AJ919" s="41"/>
      <c r="AK919" s="41"/>
      <c r="AL919" s="41"/>
      <c r="AM919" s="41"/>
      <c r="AN919" s="41"/>
      <c r="AO919" s="41"/>
      <c r="AP919" s="41"/>
      <c r="AQ919" s="41"/>
    </row>
    <row r="920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  <c r="AE920" s="41"/>
      <c r="AF920" s="41"/>
      <c r="AG920" s="41"/>
      <c r="AH920" s="41"/>
      <c r="AI920" s="41"/>
      <c r="AJ920" s="41"/>
      <c r="AK920" s="41"/>
      <c r="AL920" s="41"/>
      <c r="AM920" s="41"/>
      <c r="AN920" s="41"/>
      <c r="AO920" s="41"/>
      <c r="AP920" s="41"/>
      <c r="AQ920" s="41"/>
    </row>
    <row r="92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  <c r="AE921" s="41"/>
      <c r="AF921" s="41"/>
      <c r="AG921" s="41"/>
      <c r="AH921" s="41"/>
      <c r="AI921" s="41"/>
      <c r="AJ921" s="41"/>
      <c r="AK921" s="41"/>
      <c r="AL921" s="41"/>
      <c r="AM921" s="41"/>
      <c r="AN921" s="41"/>
      <c r="AO921" s="41"/>
      <c r="AP921" s="41"/>
      <c r="AQ921" s="41"/>
    </row>
    <row r="922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  <c r="AE922" s="41"/>
      <c r="AF922" s="41"/>
      <c r="AG922" s="41"/>
      <c r="AH922" s="41"/>
      <c r="AI922" s="41"/>
      <c r="AJ922" s="41"/>
      <c r="AK922" s="41"/>
      <c r="AL922" s="41"/>
      <c r="AM922" s="41"/>
      <c r="AN922" s="41"/>
      <c r="AO922" s="41"/>
      <c r="AP922" s="41"/>
      <c r="AQ922" s="41"/>
    </row>
    <row r="923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  <c r="AE923" s="41"/>
      <c r="AF923" s="41"/>
      <c r="AG923" s="41"/>
      <c r="AH923" s="41"/>
      <c r="AI923" s="41"/>
      <c r="AJ923" s="41"/>
      <c r="AK923" s="41"/>
      <c r="AL923" s="41"/>
      <c r="AM923" s="41"/>
      <c r="AN923" s="41"/>
      <c r="AO923" s="41"/>
      <c r="AP923" s="41"/>
      <c r="AQ923" s="41"/>
    </row>
    <row r="924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  <c r="AE924" s="41"/>
      <c r="AF924" s="41"/>
      <c r="AG924" s="41"/>
      <c r="AH924" s="41"/>
      <c r="AI924" s="41"/>
      <c r="AJ924" s="41"/>
      <c r="AK924" s="41"/>
      <c r="AL924" s="41"/>
      <c r="AM924" s="41"/>
      <c r="AN924" s="41"/>
      <c r="AO924" s="41"/>
      <c r="AP924" s="41"/>
      <c r="AQ924" s="41"/>
    </row>
    <row r="925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  <c r="AE925" s="41"/>
      <c r="AF925" s="41"/>
      <c r="AG925" s="41"/>
      <c r="AH925" s="41"/>
      <c r="AI925" s="41"/>
      <c r="AJ925" s="41"/>
      <c r="AK925" s="41"/>
      <c r="AL925" s="41"/>
      <c r="AM925" s="41"/>
      <c r="AN925" s="41"/>
      <c r="AO925" s="41"/>
      <c r="AP925" s="41"/>
      <c r="AQ925" s="41"/>
    </row>
    <row r="926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  <c r="AE926" s="41"/>
      <c r="AF926" s="41"/>
      <c r="AG926" s="41"/>
      <c r="AH926" s="41"/>
      <c r="AI926" s="41"/>
      <c r="AJ926" s="41"/>
      <c r="AK926" s="41"/>
      <c r="AL926" s="41"/>
      <c r="AM926" s="41"/>
      <c r="AN926" s="41"/>
      <c r="AO926" s="41"/>
      <c r="AP926" s="41"/>
      <c r="AQ926" s="41"/>
    </row>
    <row r="927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  <c r="AE927" s="41"/>
      <c r="AF927" s="41"/>
      <c r="AG927" s="41"/>
      <c r="AH927" s="41"/>
      <c r="AI927" s="41"/>
      <c r="AJ927" s="41"/>
      <c r="AK927" s="41"/>
      <c r="AL927" s="41"/>
      <c r="AM927" s="41"/>
      <c r="AN927" s="41"/>
      <c r="AO927" s="41"/>
      <c r="AP927" s="41"/>
      <c r="AQ927" s="41"/>
    </row>
    <row r="928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  <c r="AE928" s="41"/>
      <c r="AF928" s="41"/>
      <c r="AG928" s="41"/>
      <c r="AH928" s="41"/>
      <c r="AI928" s="41"/>
      <c r="AJ928" s="41"/>
      <c r="AK928" s="41"/>
      <c r="AL928" s="41"/>
      <c r="AM928" s="41"/>
      <c r="AN928" s="41"/>
      <c r="AO928" s="41"/>
      <c r="AP928" s="41"/>
      <c r="AQ928" s="41"/>
    </row>
    <row r="929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  <c r="AE929" s="41"/>
      <c r="AF929" s="41"/>
      <c r="AG929" s="41"/>
      <c r="AH929" s="41"/>
      <c r="AI929" s="41"/>
      <c r="AJ929" s="41"/>
      <c r="AK929" s="41"/>
      <c r="AL929" s="41"/>
      <c r="AM929" s="41"/>
      <c r="AN929" s="41"/>
      <c r="AO929" s="41"/>
      <c r="AP929" s="41"/>
      <c r="AQ929" s="41"/>
    </row>
    <row r="930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  <c r="AE930" s="41"/>
      <c r="AF930" s="41"/>
      <c r="AG930" s="41"/>
      <c r="AH930" s="41"/>
      <c r="AI930" s="41"/>
      <c r="AJ930" s="41"/>
      <c r="AK930" s="41"/>
      <c r="AL930" s="41"/>
      <c r="AM930" s="41"/>
      <c r="AN930" s="41"/>
      <c r="AO930" s="41"/>
      <c r="AP930" s="41"/>
      <c r="AQ930" s="41"/>
    </row>
    <row r="93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  <c r="AE931" s="41"/>
      <c r="AF931" s="41"/>
      <c r="AG931" s="41"/>
      <c r="AH931" s="41"/>
      <c r="AI931" s="41"/>
      <c r="AJ931" s="41"/>
      <c r="AK931" s="41"/>
      <c r="AL931" s="41"/>
      <c r="AM931" s="41"/>
      <c r="AN931" s="41"/>
      <c r="AO931" s="41"/>
      <c r="AP931" s="41"/>
      <c r="AQ931" s="41"/>
    </row>
    <row r="932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  <c r="AE932" s="41"/>
      <c r="AF932" s="41"/>
      <c r="AG932" s="41"/>
      <c r="AH932" s="41"/>
      <c r="AI932" s="41"/>
      <c r="AJ932" s="41"/>
      <c r="AK932" s="41"/>
      <c r="AL932" s="41"/>
      <c r="AM932" s="41"/>
      <c r="AN932" s="41"/>
      <c r="AO932" s="41"/>
      <c r="AP932" s="41"/>
      <c r="AQ932" s="41"/>
    </row>
    <row r="933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  <c r="AE933" s="41"/>
      <c r="AF933" s="41"/>
      <c r="AG933" s="41"/>
      <c r="AH933" s="41"/>
      <c r="AI933" s="41"/>
      <c r="AJ933" s="41"/>
      <c r="AK933" s="41"/>
      <c r="AL933" s="41"/>
      <c r="AM933" s="41"/>
      <c r="AN933" s="41"/>
      <c r="AO933" s="41"/>
      <c r="AP933" s="41"/>
      <c r="AQ933" s="41"/>
    </row>
    <row r="934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  <c r="AE934" s="41"/>
      <c r="AF934" s="41"/>
      <c r="AG934" s="41"/>
      <c r="AH934" s="41"/>
      <c r="AI934" s="41"/>
      <c r="AJ934" s="41"/>
      <c r="AK934" s="41"/>
      <c r="AL934" s="41"/>
      <c r="AM934" s="41"/>
      <c r="AN934" s="41"/>
      <c r="AO934" s="41"/>
      <c r="AP934" s="41"/>
      <c r="AQ934" s="41"/>
    </row>
    <row r="935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  <c r="AE935" s="41"/>
      <c r="AF935" s="41"/>
      <c r="AG935" s="41"/>
      <c r="AH935" s="41"/>
      <c r="AI935" s="41"/>
      <c r="AJ935" s="41"/>
      <c r="AK935" s="41"/>
      <c r="AL935" s="41"/>
      <c r="AM935" s="41"/>
      <c r="AN935" s="41"/>
      <c r="AO935" s="41"/>
      <c r="AP935" s="41"/>
      <c r="AQ935" s="41"/>
    </row>
    <row r="936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  <c r="AE936" s="41"/>
      <c r="AF936" s="41"/>
      <c r="AG936" s="41"/>
      <c r="AH936" s="41"/>
      <c r="AI936" s="41"/>
      <c r="AJ936" s="41"/>
      <c r="AK936" s="41"/>
      <c r="AL936" s="41"/>
      <c r="AM936" s="41"/>
      <c r="AN936" s="41"/>
      <c r="AO936" s="41"/>
      <c r="AP936" s="41"/>
      <c r="AQ936" s="41"/>
    </row>
    <row r="937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  <c r="AE937" s="41"/>
      <c r="AF937" s="41"/>
      <c r="AG937" s="41"/>
      <c r="AH937" s="41"/>
      <c r="AI937" s="41"/>
      <c r="AJ937" s="41"/>
      <c r="AK937" s="41"/>
      <c r="AL937" s="41"/>
      <c r="AM937" s="41"/>
      <c r="AN937" s="41"/>
      <c r="AO937" s="41"/>
      <c r="AP937" s="41"/>
      <c r="AQ937" s="41"/>
    </row>
    <row r="938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  <c r="AE938" s="41"/>
      <c r="AF938" s="41"/>
      <c r="AG938" s="41"/>
      <c r="AH938" s="41"/>
      <c r="AI938" s="41"/>
      <c r="AJ938" s="41"/>
      <c r="AK938" s="41"/>
      <c r="AL938" s="41"/>
      <c r="AM938" s="41"/>
      <c r="AN938" s="41"/>
      <c r="AO938" s="41"/>
      <c r="AP938" s="41"/>
      <c r="AQ938" s="41"/>
    </row>
    <row r="939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  <c r="AE939" s="41"/>
      <c r="AF939" s="41"/>
      <c r="AG939" s="41"/>
      <c r="AH939" s="41"/>
      <c r="AI939" s="41"/>
      <c r="AJ939" s="41"/>
      <c r="AK939" s="41"/>
      <c r="AL939" s="41"/>
      <c r="AM939" s="41"/>
      <c r="AN939" s="41"/>
      <c r="AO939" s="41"/>
      <c r="AP939" s="41"/>
      <c r="AQ939" s="41"/>
    </row>
    <row r="940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/>
      <c r="AN940" s="41"/>
      <c r="AO940" s="41"/>
      <c r="AP940" s="41"/>
      <c r="AQ940" s="41"/>
    </row>
    <row r="94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  <c r="AE941" s="41"/>
      <c r="AF941" s="41"/>
      <c r="AG941" s="41"/>
      <c r="AH941" s="41"/>
      <c r="AI941" s="41"/>
      <c r="AJ941" s="41"/>
      <c r="AK941" s="41"/>
      <c r="AL941" s="41"/>
      <c r="AM941" s="41"/>
      <c r="AN941" s="41"/>
      <c r="AO941" s="41"/>
      <c r="AP941" s="41"/>
      <c r="AQ941" s="41"/>
    </row>
    <row r="942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  <c r="AE942" s="41"/>
      <c r="AF942" s="41"/>
      <c r="AG942" s="41"/>
      <c r="AH942" s="41"/>
      <c r="AI942" s="41"/>
      <c r="AJ942" s="41"/>
      <c r="AK942" s="41"/>
      <c r="AL942" s="41"/>
      <c r="AM942" s="41"/>
      <c r="AN942" s="41"/>
      <c r="AO942" s="41"/>
      <c r="AP942" s="41"/>
      <c r="AQ942" s="41"/>
    </row>
    <row r="943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  <c r="AE943" s="41"/>
      <c r="AF943" s="41"/>
      <c r="AG943" s="41"/>
      <c r="AH943" s="41"/>
      <c r="AI943" s="41"/>
      <c r="AJ943" s="41"/>
      <c r="AK943" s="41"/>
      <c r="AL943" s="41"/>
      <c r="AM943" s="41"/>
      <c r="AN943" s="41"/>
      <c r="AO943" s="41"/>
      <c r="AP943" s="41"/>
      <c r="AQ943" s="41"/>
    </row>
    <row r="944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  <c r="AE944" s="41"/>
      <c r="AF944" s="41"/>
      <c r="AG944" s="41"/>
      <c r="AH944" s="41"/>
      <c r="AI944" s="41"/>
      <c r="AJ944" s="41"/>
      <c r="AK944" s="41"/>
      <c r="AL944" s="41"/>
      <c r="AM944" s="41"/>
      <c r="AN944" s="41"/>
      <c r="AO944" s="41"/>
      <c r="AP944" s="41"/>
      <c r="AQ944" s="41"/>
    </row>
    <row r="945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  <c r="AE945" s="41"/>
      <c r="AF945" s="41"/>
      <c r="AG945" s="41"/>
      <c r="AH945" s="41"/>
      <c r="AI945" s="41"/>
      <c r="AJ945" s="41"/>
      <c r="AK945" s="41"/>
      <c r="AL945" s="41"/>
      <c r="AM945" s="41"/>
      <c r="AN945" s="41"/>
      <c r="AO945" s="41"/>
      <c r="AP945" s="41"/>
      <c r="AQ945" s="41"/>
    </row>
    <row r="946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  <c r="AE946" s="41"/>
      <c r="AF946" s="41"/>
      <c r="AG946" s="41"/>
      <c r="AH946" s="41"/>
      <c r="AI946" s="41"/>
      <c r="AJ946" s="41"/>
      <c r="AK946" s="41"/>
      <c r="AL946" s="41"/>
      <c r="AM946" s="41"/>
      <c r="AN946" s="41"/>
      <c r="AO946" s="41"/>
      <c r="AP946" s="41"/>
      <c r="AQ946" s="41"/>
    </row>
    <row r="947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  <c r="AE947" s="41"/>
      <c r="AF947" s="41"/>
      <c r="AG947" s="41"/>
      <c r="AH947" s="41"/>
      <c r="AI947" s="41"/>
      <c r="AJ947" s="41"/>
      <c r="AK947" s="41"/>
      <c r="AL947" s="41"/>
      <c r="AM947" s="41"/>
      <c r="AN947" s="41"/>
      <c r="AO947" s="41"/>
      <c r="AP947" s="41"/>
      <c r="AQ947" s="41"/>
    </row>
    <row r="948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  <c r="AE948" s="41"/>
      <c r="AF948" s="41"/>
      <c r="AG948" s="41"/>
      <c r="AH948" s="41"/>
      <c r="AI948" s="41"/>
      <c r="AJ948" s="41"/>
      <c r="AK948" s="41"/>
      <c r="AL948" s="41"/>
      <c r="AM948" s="41"/>
      <c r="AN948" s="41"/>
      <c r="AO948" s="41"/>
      <c r="AP948" s="41"/>
      <c r="AQ948" s="41"/>
    </row>
    <row r="949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  <c r="AE949" s="41"/>
      <c r="AF949" s="41"/>
      <c r="AG949" s="41"/>
      <c r="AH949" s="41"/>
      <c r="AI949" s="41"/>
      <c r="AJ949" s="41"/>
      <c r="AK949" s="41"/>
      <c r="AL949" s="41"/>
      <c r="AM949" s="41"/>
      <c r="AN949" s="41"/>
      <c r="AO949" s="41"/>
      <c r="AP949" s="41"/>
      <c r="AQ949" s="41"/>
    </row>
    <row r="950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  <c r="AE950" s="41"/>
      <c r="AF950" s="41"/>
      <c r="AG950" s="41"/>
      <c r="AH950" s="41"/>
      <c r="AI950" s="41"/>
      <c r="AJ950" s="41"/>
      <c r="AK950" s="41"/>
      <c r="AL950" s="41"/>
      <c r="AM950" s="41"/>
      <c r="AN950" s="41"/>
      <c r="AO950" s="41"/>
      <c r="AP950" s="41"/>
      <c r="AQ950" s="41"/>
    </row>
    <row r="95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  <c r="AE951" s="41"/>
      <c r="AF951" s="41"/>
      <c r="AG951" s="41"/>
      <c r="AH951" s="41"/>
      <c r="AI951" s="41"/>
      <c r="AJ951" s="41"/>
      <c r="AK951" s="41"/>
      <c r="AL951" s="41"/>
      <c r="AM951" s="41"/>
      <c r="AN951" s="41"/>
      <c r="AO951" s="41"/>
      <c r="AP951" s="41"/>
      <c r="AQ951" s="41"/>
    </row>
    <row r="952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  <c r="AE952" s="41"/>
      <c r="AF952" s="41"/>
      <c r="AG952" s="41"/>
      <c r="AH952" s="41"/>
      <c r="AI952" s="41"/>
      <c r="AJ952" s="41"/>
      <c r="AK952" s="41"/>
      <c r="AL952" s="41"/>
      <c r="AM952" s="41"/>
      <c r="AN952" s="41"/>
      <c r="AO952" s="41"/>
      <c r="AP952" s="41"/>
      <c r="AQ952" s="41"/>
    </row>
    <row r="953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  <c r="AE953" s="41"/>
      <c r="AF953" s="41"/>
      <c r="AG953" s="41"/>
      <c r="AH953" s="41"/>
      <c r="AI953" s="41"/>
      <c r="AJ953" s="41"/>
      <c r="AK953" s="41"/>
      <c r="AL953" s="41"/>
      <c r="AM953" s="41"/>
      <c r="AN953" s="41"/>
      <c r="AO953" s="41"/>
      <c r="AP953" s="41"/>
      <c r="AQ953" s="41"/>
    </row>
    <row r="954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  <c r="AE954" s="41"/>
      <c r="AF954" s="41"/>
      <c r="AG954" s="41"/>
      <c r="AH954" s="41"/>
      <c r="AI954" s="41"/>
      <c r="AJ954" s="41"/>
      <c r="AK954" s="41"/>
      <c r="AL954" s="41"/>
      <c r="AM954" s="41"/>
      <c r="AN954" s="41"/>
      <c r="AO954" s="41"/>
      <c r="AP954" s="41"/>
      <c r="AQ954" s="41"/>
    </row>
    <row r="955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  <c r="AE955" s="41"/>
      <c r="AF955" s="41"/>
      <c r="AG955" s="41"/>
      <c r="AH955" s="41"/>
      <c r="AI955" s="41"/>
      <c r="AJ955" s="41"/>
      <c r="AK955" s="41"/>
      <c r="AL955" s="41"/>
      <c r="AM955" s="41"/>
      <c r="AN955" s="41"/>
      <c r="AO955" s="41"/>
      <c r="AP955" s="41"/>
      <c r="AQ955" s="41"/>
    </row>
    <row r="956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  <c r="AE956" s="41"/>
      <c r="AF956" s="41"/>
      <c r="AG956" s="41"/>
      <c r="AH956" s="41"/>
      <c r="AI956" s="41"/>
      <c r="AJ956" s="41"/>
      <c r="AK956" s="41"/>
      <c r="AL956" s="41"/>
      <c r="AM956" s="41"/>
      <c r="AN956" s="41"/>
      <c r="AO956" s="41"/>
      <c r="AP956" s="41"/>
      <c r="AQ956" s="41"/>
    </row>
    <row r="957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  <c r="AE957" s="41"/>
      <c r="AF957" s="41"/>
      <c r="AG957" s="41"/>
      <c r="AH957" s="41"/>
      <c r="AI957" s="41"/>
      <c r="AJ957" s="41"/>
      <c r="AK957" s="41"/>
      <c r="AL957" s="41"/>
      <c r="AM957" s="41"/>
      <c r="AN957" s="41"/>
      <c r="AO957" s="41"/>
      <c r="AP957" s="41"/>
      <c r="AQ957" s="41"/>
    </row>
    <row r="958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  <c r="AE958" s="41"/>
      <c r="AF958" s="41"/>
      <c r="AG958" s="41"/>
      <c r="AH958" s="41"/>
      <c r="AI958" s="41"/>
      <c r="AJ958" s="41"/>
      <c r="AK958" s="41"/>
      <c r="AL958" s="41"/>
      <c r="AM958" s="41"/>
      <c r="AN958" s="41"/>
      <c r="AO958" s="41"/>
      <c r="AP958" s="41"/>
      <c r="AQ958" s="41"/>
    </row>
    <row r="959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  <c r="AE959" s="41"/>
      <c r="AF959" s="41"/>
      <c r="AG959" s="41"/>
      <c r="AH959" s="41"/>
      <c r="AI959" s="41"/>
      <c r="AJ959" s="41"/>
      <c r="AK959" s="41"/>
      <c r="AL959" s="41"/>
      <c r="AM959" s="41"/>
      <c r="AN959" s="41"/>
      <c r="AO959" s="41"/>
      <c r="AP959" s="41"/>
      <c r="AQ959" s="41"/>
    </row>
    <row r="960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  <c r="AE960" s="41"/>
      <c r="AF960" s="41"/>
      <c r="AG960" s="41"/>
      <c r="AH960" s="41"/>
      <c r="AI960" s="41"/>
      <c r="AJ960" s="41"/>
      <c r="AK960" s="41"/>
      <c r="AL960" s="41"/>
      <c r="AM960" s="41"/>
      <c r="AN960" s="41"/>
      <c r="AO960" s="41"/>
      <c r="AP960" s="41"/>
      <c r="AQ960" s="41"/>
    </row>
    <row r="96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  <c r="AE961" s="41"/>
      <c r="AF961" s="41"/>
      <c r="AG961" s="41"/>
      <c r="AH961" s="41"/>
      <c r="AI961" s="41"/>
      <c r="AJ961" s="41"/>
      <c r="AK961" s="41"/>
      <c r="AL961" s="41"/>
      <c r="AM961" s="41"/>
      <c r="AN961" s="41"/>
      <c r="AO961" s="41"/>
      <c r="AP961" s="41"/>
      <c r="AQ961" s="41"/>
    </row>
    <row r="962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  <c r="AE962" s="41"/>
      <c r="AF962" s="41"/>
      <c r="AG962" s="41"/>
      <c r="AH962" s="41"/>
      <c r="AI962" s="41"/>
      <c r="AJ962" s="41"/>
      <c r="AK962" s="41"/>
      <c r="AL962" s="41"/>
      <c r="AM962" s="41"/>
      <c r="AN962" s="41"/>
      <c r="AO962" s="41"/>
      <c r="AP962" s="41"/>
      <c r="AQ962" s="41"/>
    </row>
    <row r="963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  <c r="AE963" s="41"/>
      <c r="AF963" s="41"/>
      <c r="AG963" s="41"/>
      <c r="AH963" s="41"/>
      <c r="AI963" s="41"/>
      <c r="AJ963" s="41"/>
      <c r="AK963" s="41"/>
      <c r="AL963" s="41"/>
      <c r="AM963" s="41"/>
      <c r="AN963" s="41"/>
      <c r="AO963" s="41"/>
      <c r="AP963" s="41"/>
      <c r="AQ963" s="41"/>
    </row>
    <row r="964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  <c r="AE964" s="41"/>
      <c r="AF964" s="41"/>
      <c r="AG964" s="41"/>
      <c r="AH964" s="41"/>
      <c r="AI964" s="41"/>
      <c r="AJ964" s="41"/>
      <c r="AK964" s="41"/>
      <c r="AL964" s="41"/>
      <c r="AM964" s="41"/>
      <c r="AN964" s="41"/>
      <c r="AO964" s="41"/>
      <c r="AP964" s="41"/>
      <c r="AQ964" s="41"/>
    </row>
    <row r="965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  <c r="AE965" s="41"/>
      <c r="AF965" s="41"/>
      <c r="AG965" s="41"/>
      <c r="AH965" s="41"/>
      <c r="AI965" s="41"/>
      <c r="AJ965" s="41"/>
      <c r="AK965" s="41"/>
      <c r="AL965" s="41"/>
      <c r="AM965" s="41"/>
      <c r="AN965" s="41"/>
      <c r="AO965" s="41"/>
      <c r="AP965" s="41"/>
      <c r="AQ965" s="41"/>
    </row>
    <row r="966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  <c r="AE966" s="41"/>
      <c r="AF966" s="41"/>
      <c r="AG966" s="41"/>
      <c r="AH966" s="41"/>
      <c r="AI966" s="41"/>
      <c r="AJ966" s="41"/>
      <c r="AK966" s="41"/>
      <c r="AL966" s="41"/>
      <c r="AM966" s="41"/>
      <c r="AN966" s="41"/>
      <c r="AO966" s="41"/>
      <c r="AP966" s="41"/>
      <c r="AQ966" s="41"/>
    </row>
    <row r="967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  <c r="AE967" s="41"/>
      <c r="AF967" s="41"/>
      <c r="AG967" s="41"/>
      <c r="AH967" s="41"/>
      <c r="AI967" s="41"/>
      <c r="AJ967" s="41"/>
      <c r="AK967" s="41"/>
      <c r="AL967" s="41"/>
      <c r="AM967" s="41"/>
      <c r="AN967" s="41"/>
      <c r="AO967" s="41"/>
      <c r="AP967" s="41"/>
      <c r="AQ967" s="41"/>
    </row>
    <row r="968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  <c r="AE968" s="41"/>
      <c r="AF968" s="41"/>
      <c r="AG968" s="41"/>
      <c r="AH968" s="41"/>
      <c r="AI968" s="41"/>
      <c r="AJ968" s="41"/>
      <c r="AK968" s="41"/>
      <c r="AL968" s="41"/>
      <c r="AM968" s="41"/>
      <c r="AN968" s="41"/>
      <c r="AO968" s="41"/>
      <c r="AP968" s="41"/>
      <c r="AQ968" s="41"/>
    </row>
    <row r="969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  <c r="AE969" s="41"/>
      <c r="AF969" s="41"/>
      <c r="AG969" s="41"/>
      <c r="AH969" s="41"/>
      <c r="AI969" s="41"/>
      <c r="AJ969" s="41"/>
      <c r="AK969" s="41"/>
      <c r="AL969" s="41"/>
      <c r="AM969" s="41"/>
      <c r="AN969" s="41"/>
      <c r="AO969" s="41"/>
      <c r="AP969" s="41"/>
      <c r="AQ969" s="41"/>
    </row>
    <row r="970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  <c r="AE970" s="41"/>
      <c r="AF970" s="41"/>
      <c r="AG970" s="41"/>
      <c r="AH970" s="41"/>
      <c r="AI970" s="41"/>
      <c r="AJ970" s="41"/>
      <c r="AK970" s="41"/>
      <c r="AL970" s="41"/>
      <c r="AM970" s="41"/>
      <c r="AN970" s="41"/>
      <c r="AO970" s="41"/>
      <c r="AP970" s="41"/>
      <c r="AQ970" s="41"/>
    </row>
    <row r="97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  <c r="AE971" s="41"/>
      <c r="AF971" s="41"/>
      <c r="AG971" s="41"/>
      <c r="AH971" s="41"/>
      <c r="AI971" s="41"/>
      <c r="AJ971" s="41"/>
      <c r="AK971" s="41"/>
      <c r="AL971" s="41"/>
      <c r="AM971" s="41"/>
      <c r="AN971" s="41"/>
      <c r="AO971" s="41"/>
      <c r="AP971" s="41"/>
      <c r="AQ971" s="41"/>
    </row>
    <row r="972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  <c r="AE972" s="41"/>
      <c r="AF972" s="41"/>
      <c r="AG972" s="41"/>
      <c r="AH972" s="41"/>
      <c r="AI972" s="41"/>
      <c r="AJ972" s="41"/>
      <c r="AK972" s="41"/>
      <c r="AL972" s="41"/>
      <c r="AM972" s="41"/>
      <c r="AN972" s="41"/>
      <c r="AO972" s="41"/>
      <c r="AP972" s="41"/>
      <c r="AQ972" s="41"/>
    </row>
    <row r="973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  <c r="AE973" s="41"/>
      <c r="AF973" s="41"/>
      <c r="AG973" s="41"/>
      <c r="AH973" s="41"/>
      <c r="AI973" s="41"/>
      <c r="AJ973" s="41"/>
      <c r="AK973" s="41"/>
      <c r="AL973" s="41"/>
      <c r="AM973" s="41"/>
      <c r="AN973" s="41"/>
      <c r="AO973" s="41"/>
      <c r="AP973" s="41"/>
      <c r="AQ973" s="41"/>
    </row>
    <row r="974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  <c r="AE974" s="41"/>
      <c r="AF974" s="41"/>
      <c r="AG974" s="41"/>
      <c r="AH974" s="41"/>
      <c r="AI974" s="41"/>
      <c r="AJ974" s="41"/>
      <c r="AK974" s="41"/>
      <c r="AL974" s="41"/>
      <c r="AM974" s="41"/>
      <c r="AN974" s="41"/>
      <c r="AO974" s="41"/>
      <c r="AP974" s="41"/>
      <c r="AQ974" s="41"/>
    </row>
    <row r="975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  <c r="AE975" s="41"/>
      <c r="AF975" s="41"/>
      <c r="AG975" s="41"/>
      <c r="AH975" s="41"/>
      <c r="AI975" s="41"/>
      <c r="AJ975" s="41"/>
      <c r="AK975" s="41"/>
      <c r="AL975" s="41"/>
      <c r="AM975" s="41"/>
      <c r="AN975" s="41"/>
      <c r="AO975" s="41"/>
      <c r="AP975" s="41"/>
      <c r="AQ975" s="41"/>
    </row>
    <row r="976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  <c r="AE976" s="41"/>
      <c r="AF976" s="41"/>
      <c r="AG976" s="41"/>
      <c r="AH976" s="41"/>
      <c r="AI976" s="41"/>
      <c r="AJ976" s="41"/>
      <c r="AK976" s="41"/>
      <c r="AL976" s="41"/>
      <c r="AM976" s="41"/>
      <c r="AN976" s="41"/>
      <c r="AO976" s="41"/>
      <c r="AP976" s="41"/>
      <c r="AQ976" s="41"/>
    </row>
    <row r="977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  <c r="AE977" s="41"/>
      <c r="AF977" s="41"/>
      <c r="AG977" s="41"/>
      <c r="AH977" s="41"/>
      <c r="AI977" s="41"/>
      <c r="AJ977" s="41"/>
      <c r="AK977" s="41"/>
      <c r="AL977" s="41"/>
      <c r="AM977" s="41"/>
      <c r="AN977" s="41"/>
      <c r="AO977" s="41"/>
      <c r="AP977" s="41"/>
      <c r="AQ977" s="41"/>
    </row>
    <row r="978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/>
      <c r="AN978" s="41"/>
      <c r="AO978" s="41"/>
      <c r="AP978" s="41"/>
      <c r="AQ978" s="41"/>
    </row>
    <row r="979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  <c r="AE979" s="41"/>
      <c r="AF979" s="41"/>
      <c r="AG979" s="41"/>
      <c r="AH979" s="41"/>
      <c r="AI979" s="41"/>
      <c r="AJ979" s="41"/>
      <c r="AK979" s="41"/>
      <c r="AL979" s="41"/>
      <c r="AM979" s="41"/>
      <c r="AN979" s="41"/>
      <c r="AO979" s="41"/>
      <c r="AP979" s="41"/>
      <c r="AQ979" s="41"/>
    </row>
    <row r="980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  <c r="AE980" s="41"/>
      <c r="AF980" s="41"/>
      <c r="AG980" s="41"/>
      <c r="AH980" s="41"/>
      <c r="AI980" s="41"/>
      <c r="AJ980" s="41"/>
      <c r="AK980" s="41"/>
      <c r="AL980" s="41"/>
      <c r="AM980" s="41"/>
      <c r="AN980" s="41"/>
      <c r="AO980" s="41"/>
      <c r="AP980" s="41"/>
      <c r="AQ980" s="41"/>
    </row>
    <row r="98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  <c r="AE981" s="41"/>
      <c r="AF981" s="41"/>
      <c r="AG981" s="41"/>
      <c r="AH981" s="41"/>
      <c r="AI981" s="41"/>
      <c r="AJ981" s="41"/>
      <c r="AK981" s="41"/>
      <c r="AL981" s="41"/>
      <c r="AM981" s="41"/>
      <c r="AN981" s="41"/>
      <c r="AO981" s="41"/>
      <c r="AP981" s="41"/>
      <c r="AQ981" s="41"/>
    </row>
    <row r="982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  <c r="AE982" s="41"/>
      <c r="AF982" s="41"/>
      <c r="AG982" s="41"/>
      <c r="AH982" s="41"/>
      <c r="AI982" s="41"/>
      <c r="AJ982" s="41"/>
      <c r="AK982" s="41"/>
      <c r="AL982" s="41"/>
      <c r="AM982" s="41"/>
      <c r="AN982" s="41"/>
      <c r="AO982" s="41"/>
      <c r="AP982" s="41"/>
      <c r="AQ982" s="41"/>
    </row>
    <row r="983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  <c r="AE983" s="41"/>
      <c r="AF983" s="41"/>
      <c r="AG983" s="41"/>
      <c r="AH983" s="41"/>
      <c r="AI983" s="41"/>
      <c r="AJ983" s="41"/>
      <c r="AK983" s="41"/>
      <c r="AL983" s="41"/>
      <c r="AM983" s="41"/>
      <c r="AN983" s="41"/>
      <c r="AO983" s="41"/>
      <c r="AP983" s="41"/>
      <c r="AQ983" s="41"/>
    </row>
    <row r="984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  <c r="AE984" s="41"/>
      <c r="AF984" s="41"/>
      <c r="AG984" s="41"/>
      <c r="AH984" s="41"/>
      <c r="AI984" s="41"/>
      <c r="AJ984" s="41"/>
      <c r="AK984" s="41"/>
      <c r="AL984" s="41"/>
      <c r="AM984" s="41"/>
      <c r="AN984" s="41"/>
      <c r="AO984" s="41"/>
      <c r="AP984" s="41"/>
      <c r="AQ984" s="41"/>
    </row>
    <row r="985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  <c r="AE985" s="41"/>
      <c r="AF985" s="41"/>
      <c r="AG985" s="41"/>
      <c r="AH985" s="41"/>
      <c r="AI985" s="41"/>
      <c r="AJ985" s="41"/>
      <c r="AK985" s="41"/>
      <c r="AL985" s="41"/>
      <c r="AM985" s="41"/>
      <c r="AN985" s="41"/>
      <c r="AO985" s="41"/>
      <c r="AP985" s="41"/>
      <c r="AQ985" s="41"/>
    </row>
    <row r="986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  <c r="AE986" s="41"/>
      <c r="AF986" s="41"/>
      <c r="AG986" s="41"/>
      <c r="AH986" s="41"/>
      <c r="AI986" s="41"/>
      <c r="AJ986" s="41"/>
      <c r="AK986" s="41"/>
      <c r="AL986" s="41"/>
      <c r="AM986" s="41"/>
      <c r="AN986" s="41"/>
      <c r="AO986" s="41"/>
      <c r="AP986" s="41"/>
      <c r="AQ986" s="41"/>
    </row>
    <row r="987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  <c r="AE987" s="41"/>
      <c r="AF987" s="41"/>
      <c r="AG987" s="41"/>
      <c r="AH987" s="41"/>
      <c r="AI987" s="41"/>
      <c r="AJ987" s="41"/>
      <c r="AK987" s="41"/>
      <c r="AL987" s="41"/>
      <c r="AM987" s="41"/>
      <c r="AN987" s="41"/>
      <c r="AO987" s="41"/>
      <c r="AP987" s="41"/>
      <c r="AQ987" s="41"/>
    </row>
    <row r="988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  <c r="AE988" s="41"/>
      <c r="AF988" s="41"/>
      <c r="AG988" s="41"/>
      <c r="AH988" s="41"/>
      <c r="AI988" s="41"/>
      <c r="AJ988" s="41"/>
      <c r="AK988" s="41"/>
      <c r="AL988" s="41"/>
      <c r="AM988" s="41"/>
      <c r="AN988" s="41"/>
      <c r="AO988" s="41"/>
      <c r="AP988" s="41"/>
      <c r="AQ988" s="41"/>
    </row>
    <row r="989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  <c r="AE989" s="41"/>
      <c r="AF989" s="41"/>
      <c r="AG989" s="41"/>
      <c r="AH989" s="41"/>
      <c r="AI989" s="41"/>
      <c r="AJ989" s="41"/>
      <c r="AK989" s="41"/>
      <c r="AL989" s="41"/>
      <c r="AM989" s="41"/>
      <c r="AN989" s="41"/>
      <c r="AO989" s="41"/>
      <c r="AP989" s="41"/>
      <c r="AQ989" s="41"/>
    </row>
    <row r="990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  <c r="AE990" s="41"/>
      <c r="AF990" s="41"/>
      <c r="AG990" s="41"/>
      <c r="AH990" s="41"/>
      <c r="AI990" s="41"/>
      <c r="AJ990" s="41"/>
      <c r="AK990" s="41"/>
      <c r="AL990" s="41"/>
      <c r="AM990" s="41"/>
      <c r="AN990" s="41"/>
      <c r="AO990" s="41"/>
      <c r="AP990" s="41"/>
      <c r="AQ990" s="41"/>
    </row>
    <row r="99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  <c r="AE991" s="41"/>
      <c r="AF991" s="41"/>
      <c r="AG991" s="41"/>
      <c r="AH991" s="41"/>
      <c r="AI991" s="41"/>
      <c r="AJ991" s="41"/>
      <c r="AK991" s="41"/>
      <c r="AL991" s="41"/>
      <c r="AM991" s="41"/>
      <c r="AN991" s="41"/>
      <c r="AO991" s="41"/>
      <c r="AP991" s="41"/>
      <c r="AQ991" s="41"/>
    </row>
    <row r="992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  <c r="AE992" s="41"/>
      <c r="AF992" s="41"/>
      <c r="AG992" s="41"/>
      <c r="AH992" s="41"/>
      <c r="AI992" s="41"/>
      <c r="AJ992" s="41"/>
      <c r="AK992" s="41"/>
      <c r="AL992" s="41"/>
      <c r="AM992" s="41"/>
      <c r="AN992" s="41"/>
      <c r="AO992" s="41"/>
      <c r="AP992" s="41"/>
      <c r="AQ992" s="41"/>
    </row>
    <row r="993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  <c r="AE993" s="41"/>
      <c r="AF993" s="41"/>
      <c r="AG993" s="41"/>
      <c r="AH993" s="41"/>
      <c r="AI993" s="41"/>
      <c r="AJ993" s="41"/>
      <c r="AK993" s="41"/>
      <c r="AL993" s="41"/>
      <c r="AM993" s="41"/>
      <c r="AN993" s="41"/>
      <c r="AO993" s="41"/>
      <c r="AP993" s="41"/>
      <c r="AQ993" s="41"/>
    </row>
    <row r="994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  <c r="AE994" s="41"/>
      <c r="AF994" s="41"/>
      <c r="AG994" s="41"/>
      <c r="AH994" s="41"/>
      <c r="AI994" s="41"/>
      <c r="AJ994" s="41"/>
      <c r="AK994" s="41"/>
      <c r="AL994" s="41"/>
      <c r="AM994" s="41"/>
      <c r="AN994" s="41"/>
      <c r="AO994" s="41"/>
      <c r="AP994" s="41"/>
      <c r="AQ994" s="41"/>
    </row>
    <row r="995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  <c r="AE995" s="41"/>
      <c r="AF995" s="41"/>
      <c r="AG995" s="41"/>
      <c r="AH995" s="41"/>
      <c r="AI995" s="41"/>
      <c r="AJ995" s="41"/>
      <c r="AK995" s="41"/>
      <c r="AL995" s="41"/>
      <c r="AM995" s="41"/>
      <c r="AN995" s="41"/>
      <c r="AO995" s="41"/>
      <c r="AP995" s="41"/>
      <c r="AQ995" s="41"/>
    </row>
    <row r="996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  <c r="AE996" s="41"/>
      <c r="AF996" s="41"/>
      <c r="AG996" s="41"/>
      <c r="AH996" s="41"/>
      <c r="AI996" s="41"/>
      <c r="AJ996" s="41"/>
      <c r="AK996" s="41"/>
      <c r="AL996" s="41"/>
      <c r="AM996" s="41"/>
      <c r="AN996" s="41"/>
      <c r="AO996" s="41"/>
      <c r="AP996" s="41"/>
      <c r="AQ996" s="4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3" width="33.38"/>
    <col customWidth="1" min="4" max="4" width="16.63"/>
  </cols>
  <sheetData>
    <row r="1">
      <c r="A1" s="45" t="s">
        <v>93</v>
      </c>
      <c r="B1" s="46" t="s">
        <v>94</v>
      </c>
      <c r="C1" s="46" t="s">
        <v>95</v>
      </c>
      <c r="D1" s="46" t="s">
        <v>96</v>
      </c>
      <c r="E1" s="46" t="s">
        <v>97</v>
      </c>
    </row>
    <row r="2">
      <c r="A2" s="1">
        <v>1.0</v>
      </c>
      <c r="B2" s="7" t="s">
        <v>7</v>
      </c>
      <c r="C2" s="47" t="s">
        <v>98</v>
      </c>
      <c r="D2" s="47" t="s">
        <v>99</v>
      </c>
      <c r="E2" s="5"/>
    </row>
    <row r="3">
      <c r="A3" s="1">
        <v>2.0</v>
      </c>
      <c r="B3" s="8" t="s">
        <v>9</v>
      </c>
      <c r="C3" s="47" t="s">
        <v>100</v>
      </c>
      <c r="D3" s="47" t="s">
        <v>101</v>
      </c>
      <c r="E3" s="5"/>
    </row>
    <row r="4">
      <c r="A4" s="1">
        <v>3.0</v>
      </c>
      <c r="B4" s="8" t="s">
        <v>10</v>
      </c>
      <c r="C4" s="48" t="s">
        <v>102</v>
      </c>
      <c r="D4" s="47" t="s">
        <v>103</v>
      </c>
      <c r="E4" s="5"/>
    </row>
    <row r="5">
      <c r="A5" s="1">
        <v>4.0</v>
      </c>
      <c r="B5" s="8" t="s">
        <v>11</v>
      </c>
      <c r="C5" s="47" t="s">
        <v>104</v>
      </c>
      <c r="D5" s="47" t="s">
        <v>99</v>
      </c>
      <c r="E5" s="5"/>
    </row>
    <row r="6">
      <c r="A6" s="1">
        <v>5.0</v>
      </c>
      <c r="B6" s="8" t="s">
        <v>12</v>
      </c>
      <c r="C6" s="47" t="s">
        <v>105</v>
      </c>
      <c r="D6" s="47" t="s">
        <v>103</v>
      </c>
      <c r="E6" s="5"/>
    </row>
    <row r="7">
      <c r="A7" s="10">
        <v>6.0</v>
      </c>
      <c r="B7" s="8" t="s">
        <v>13</v>
      </c>
      <c r="C7" s="49" t="s">
        <v>106</v>
      </c>
      <c r="D7" s="49" t="s">
        <v>103</v>
      </c>
    </row>
  </sheetData>
  <drawing r:id="rId1"/>
</worksheet>
</file>
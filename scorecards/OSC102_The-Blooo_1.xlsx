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Results!$A$1:$D$36</definedName>
  </definedNames>
  <calcPr/>
</workbook>
</file>

<file path=xl/sharedStrings.xml><?xml version="1.0" encoding="utf-8"?>
<sst xmlns="http://schemas.openxmlformats.org/spreadsheetml/2006/main" count="154" uniqueCount="109">
  <si>
    <t>Name</t>
  </si>
  <si>
    <t>Score</t>
  </si>
  <si>
    <t>Meakaale - Love In Dreams</t>
  </si>
  <si>
    <t>pts</t>
  </si>
  <si>
    <t>Photonic - Night In The City</t>
  </si>
  <si>
    <t>Taron - PerUltimaVerba</t>
  </si>
  <si>
    <t>mehum - Diffuse Psyche Radiation</t>
  </si>
  <si>
    <t>The Five Assed Monkey - Bloo Moon</t>
  </si>
  <si>
    <t>trojakew - Heat</t>
  </si>
  <si>
    <t>Programator2 - State Of Equilibrium</t>
  </si>
  <si>
    <t>jmqjmq - Circular Seven</t>
  </si>
  <si>
    <t>Stunkit - Interstellar Blooo</t>
  </si>
  <si>
    <t>NedK - Across The Sea In Three Thirty Three</t>
  </si>
  <si>
    <t>asi4 - Through The Bone</t>
  </si>
  <si>
    <t>12/dq</t>
  </si>
  <si>
    <t>Dj Pomme - Blooo Lights</t>
  </si>
  <si>
    <t>Doctor Bob - Blooo Calypso</t>
  </si>
  <si>
    <t>eauson - FullBuckets BLOOO</t>
  </si>
  <si>
    <t>zarf - three 2 one</t>
  </si>
  <si>
    <t>eraze the borders - Blaues Wunder</t>
  </si>
  <si>
    <t>ilmai - Please Hurry Watson</t>
  </si>
  <si>
    <t>Yeager - Klaus Trophobic</t>
  </si>
  <si>
    <t>Bh9090 - Shafts</t>
  </si>
  <si>
    <t>Generaldiomedes - The Blooo Planet</t>
  </si>
  <si>
    <t>Medniex - Shifting Orbits</t>
  </si>
  <si>
    <t>Darksynth FX - Future Race</t>
  </si>
  <si>
    <t>Bblunt Productions - Boo Hoo</t>
  </si>
  <si>
    <t>574x - Phantom Of The White Hats GOAT Synths Collection</t>
  </si>
  <si>
    <t>25/dq</t>
  </si>
  <si>
    <t>Dee.P.Tree - That Sparkling Darkness</t>
  </si>
  <si>
    <t>PeterH - Technos Aliens Battle Bass Music Zombie Apokalypse With A Used Tooth Brush</t>
  </si>
  <si>
    <t>Maaaaxim - What the F</t>
  </si>
  <si>
    <t>e@rs - deddmoo5</t>
  </si>
  <si>
    <t>Jazzaria - Parkway Pugilist</t>
  </si>
  <si>
    <t>Jovexli - Kulb</t>
  </si>
  <si>
    <t>psmacmur - Power Distribution Board</t>
  </si>
  <si>
    <t>Aluode - Cheetos</t>
  </si>
  <si>
    <t>AmvEx - Blooby Business</t>
  </si>
  <si>
    <t>JKFlashico - Night Fly</t>
  </si>
  <si>
    <t>35/dq</t>
  </si>
  <si>
    <t>aciddose - analog hihat single oscillator</t>
  </si>
  <si>
    <t>Voter Name (KVR nick)</t>
  </si>
  <si>
    <t>asi4  - Through The Bone</t>
  </si>
  <si>
    <t>Bblunt Productions  - Boo Hoo</t>
  </si>
  <si>
    <t>Bh9090  - Shafts</t>
  </si>
  <si>
    <t>Darksynth FX  - Future Race</t>
  </si>
  <si>
    <t>Dj Pomme  - Blooo Lights</t>
  </si>
  <si>
    <t>Doctor Bob  - Blooo Calypso</t>
  </si>
  <si>
    <t>e@rs  - deddmoo5</t>
  </si>
  <si>
    <t>eraze the borders  - Blaues Wunder</t>
  </si>
  <si>
    <t>Generaldiomedes  - The Blooo Planet</t>
  </si>
  <si>
    <t>ilmai - Please Hurry  Watson</t>
  </si>
  <si>
    <t>JKFlashico  - Night Fly</t>
  </si>
  <si>
    <t>jmqjmq  - Circular Seven</t>
  </si>
  <si>
    <t>Jovexli  - Kulb</t>
  </si>
  <si>
    <t>Maaaaxim  - What the F</t>
  </si>
  <si>
    <t>Meakaale  - Love In Dreams</t>
  </si>
  <si>
    <t>mehum  - Diffuse Psyche Radiation</t>
  </si>
  <si>
    <t>NedK  - Across The Sea In Three Thirty Three</t>
  </si>
  <si>
    <t>Photonic  - Night In The City</t>
  </si>
  <si>
    <t>Programator2  - State Of Equilibrium</t>
  </si>
  <si>
    <t>psmacmur  - Power Distribution Board</t>
  </si>
  <si>
    <t>Stunkit  - Interstellar Blooo</t>
  </si>
  <si>
    <t>Taron  - PerUltimaVerba</t>
  </si>
  <si>
    <t>The Five Assed Monkey  - Bloo Moon</t>
  </si>
  <si>
    <t>Yeager  - Klaus Trophobic</t>
  </si>
  <si>
    <t>zarf  - three 2 one</t>
  </si>
  <si>
    <t xml:space="preserve"> </t>
  </si>
  <si>
    <t>574X</t>
  </si>
  <si>
    <t>aluode</t>
  </si>
  <si>
    <t>AmvEx</t>
  </si>
  <si>
    <t>asi4</t>
  </si>
  <si>
    <t>BbluntProductions</t>
  </si>
  <si>
    <t>bh9090</t>
  </si>
  <si>
    <t>bjporter</t>
  </si>
  <si>
    <t>Darksynth FX</t>
  </si>
  <si>
    <t>doctorbob</t>
  </si>
  <si>
    <t>e@rs</t>
  </si>
  <si>
    <t>eauson</t>
  </si>
  <si>
    <t>eraze the borders</t>
  </si>
  <si>
    <t>generaldiomedes</t>
  </si>
  <si>
    <t>ilmai</t>
  </si>
  <si>
    <t>Jazzaria</t>
  </si>
  <si>
    <t>JKflashico</t>
  </si>
  <si>
    <t>jmqjmq</t>
  </si>
  <si>
    <t>jovexli</t>
  </si>
  <si>
    <t>Maaaaxim</t>
  </si>
  <si>
    <t>meakaale</t>
  </si>
  <si>
    <t>Medniex</t>
  </si>
  <si>
    <t>mehum</t>
  </si>
  <si>
    <t>NedK</t>
  </si>
  <si>
    <t>PeterH</t>
  </si>
  <si>
    <t>Photonic</t>
  </si>
  <si>
    <t>Programator2</t>
  </si>
  <si>
    <t>psmacmur</t>
  </si>
  <si>
    <t>stunkit</t>
  </si>
  <si>
    <t>Taron</t>
  </si>
  <si>
    <t>the five assed monkey</t>
  </si>
  <si>
    <t>TrojakEW</t>
  </si>
  <si>
    <t>Yeager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</si>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</sst>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000000"/>
      <name val="Calibri"/>
    </font>
    <font>
      <sz val="11.0"/>
      <color rgb="FF666666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10" xfId="0" applyFont="1" applyNumberFormat="1"/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76200</xdr:colOff>
      <xdr:row>41</xdr:row>
      <xdr:rowOff>47625</xdr:rowOff>
    </xdr:from>
    <xdr:ext cx="2533650" cy="2533650"/>
    <xdr:pic>
      <xdr:nvPicPr>
        <xdr:cNvPr id="20363600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4.38"/>
    <col customWidth="1" min="3" max="3" width="7.88"/>
    <col customWidth="1" min="4" max="4" width="3.2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4">
        <v>146.0</v>
      </c>
      <c r="D2" s="5" t="s">
        <v>3</v>
      </c>
    </row>
    <row r="3">
      <c r="A3" s="3">
        <v>2.0</v>
      </c>
      <c r="B3" s="4" t="s">
        <v>4</v>
      </c>
      <c r="C3" s="4">
        <v>145.0</v>
      </c>
      <c r="D3" s="5" t="s">
        <v>3</v>
      </c>
    </row>
    <row r="4">
      <c r="A4" s="3">
        <v>3.0</v>
      </c>
      <c r="B4" s="4" t="s">
        <v>5</v>
      </c>
      <c r="C4" s="4">
        <v>140.0</v>
      </c>
      <c r="D4" s="5" t="s">
        <v>3</v>
      </c>
    </row>
    <row r="5">
      <c r="A5" s="3">
        <v>4.0</v>
      </c>
      <c r="B5" s="4" t="s">
        <v>6</v>
      </c>
      <c r="C5" s="4">
        <v>131.0</v>
      </c>
      <c r="D5" s="5" t="s">
        <v>3</v>
      </c>
    </row>
    <row r="6">
      <c r="A6" s="3">
        <v>5.0</v>
      </c>
      <c r="B6" s="4" t="s">
        <v>7</v>
      </c>
      <c r="C6" s="4">
        <v>130.0</v>
      </c>
      <c r="D6" s="5" t="s">
        <v>3</v>
      </c>
    </row>
    <row r="7">
      <c r="A7" s="3">
        <v>6.0</v>
      </c>
      <c r="B7" s="4" t="s">
        <v>8</v>
      </c>
      <c r="C7" s="4">
        <v>128.0</v>
      </c>
      <c r="D7" s="5" t="s">
        <v>3</v>
      </c>
    </row>
    <row r="8">
      <c r="A8" s="3">
        <v>7.0</v>
      </c>
      <c r="B8" s="4" t="s">
        <v>9</v>
      </c>
      <c r="C8" s="4">
        <v>127.0</v>
      </c>
      <c r="D8" s="5" t="s">
        <v>3</v>
      </c>
    </row>
    <row r="9">
      <c r="A9" s="3">
        <v>8.0</v>
      </c>
      <c r="B9" s="4" t="s">
        <v>10</v>
      </c>
      <c r="C9" s="4">
        <v>126.0</v>
      </c>
      <c r="D9" s="5" t="s">
        <v>3</v>
      </c>
    </row>
    <row r="10">
      <c r="A10" s="3">
        <v>9.0</v>
      </c>
      <c r="B10" s="4" t="s">
        <v>11</v>
      </c>
      <c r="C10" s="4">
        <v>124.0</v>
      </c>
      <c r="D10" s="5" t="s">
        <v>3</v>
      </c>
    </row>
    <row r="11">
      <c r="A11" s="3">
        <v>10.0</v>
      </c>
      <c r="B11" s="4" t="s">
        <v>12</v>
      </c>
      <c r="C11" s="4">
        <v>123.0</v>
      </c>
      <c r="D11" s="5" t="s">
        <v>3</v>
      </c>
    </row>
    <row r="12">
      <c r="A12" s="3">
        <v>11.0</v>
      </c>
      <c r="B12" s="4" t="s">
        <v>13</v>
      </c>
      <c r="C12" s="4">
        <v>123.0</v>
      </c>
      <c r="D12" s="5" t="s">
        <v>3</v>
      </c>
    </row>
    <row r="13">
      <c r="A13" s="3" t="s">
        <v>14</v>
      </c>
      <c r="B13" s="4" t="s">
        <v>15</v>
      </c>
      <c r="C13" s="4">
        <v>123.0</v>
      </c>
      <c r="D13" s="5" t="s">
        <v>3</v>
      </c>
    </row>
    <row r="14">
      <c r="A14" s="3">
        <v>13.0</v>
      </c>
      <c r="B14" s="4" t="s">
        <v>16</v>
      </c>
      <c r="C14" s="4">
        <v>120.0</v>
      </c>
      <c r="D14" s="5" t="s">
        <v>3</v>
      </c>
    </row>
    <row r="15">
      <c r="A15" s="3">
        <v>14.0</v>
      </c>
      <c r="B15" s="4" t="s">
        <v>17</v>
      </c>
      <c r="C15" s="4">
        <v>117.0</v>
      </c>
      <c r="D15" s="5" t="s">
        <v>3</v>
      </c>
    </row>
    <row r="16">
      <c r="A16" s="3">
        <v>15.0</v>
      </c>
      <c r="B16" s="4" t="s">
        <v>18</v>
      </c>
      <c r="C16" s="4">
        <v>115.0</v>
      </c>
      <c r="D16" s="5" t="s">
        <v>3</v>
      </c>
    </row>
    <row r="17">
      <c r="A17" s="3">
        <v>16.0</v>
      </c>
      <c r="B17" s="4" t="s">
        <v>19</v>
      </c>
      <c r="C17" s="4">
        <v>114.0</v>
      </c>
      <c r="D17" s="5" t="s">
        <v>3</v>
      </c>
    </row>
    <row r="18">
      <c r="A18" s="3">
        <v>17.0</v>
      </c>
      <c r="B18" s="4" t="s">
        <v>20</v>
      </c>
      <c r="C18" s="4">
        <v>114.0</v>
      </c>
      <c r="D18" s="5" t="s">
        <v>3</v>
      </c>
    </row>
    <row r="19">
      <c r="A19" s="3">
        <v>18.0</v>
      </c>
      <c r="B19" s="4" t="s">
        <v>21</v>
      </c>
      <c r="C19" s="4">
        <v>111.0</v>
      </c>
      <c r="D19" s="5" t="s">
        <v>3</v>
      </c>
    </row>
    <row r="20">
      <c r="A20" s="3">
        <v>19.0</v>
      </c>
      <c r="B20" s="4" t="s">
        <v>22</v>
      </c>
      <c r="C20" s="4">
        <v>108.0</v>
      </c>
      <c r="D20" s="5" t="s">
        <v>3</v>
      </c>
    </row>
    <row r="21">
      <c r="A21" s="3">
        <v>20.0</v>
      </c>
      <c r="B21" s="4" t="s">
        <v>23</v>
      </c>
      <c r="C21" s="4">
        <v>108.0</v>
      </c>
      <c r="D21" s="5" t="s">
        <v>3</v>
      </c>
    </row>
    <row r="22">
      <c r="A22" s="3">
        <v>21.0</v>
      </c>
      <c r="B22" s="4" t="s">
        <v>24</v>
      </c>
      <c r="C22" s="4">
        <v>107.0</v>
      </c>
      <c r="D22" s="5" t="s">
        <v>3</v>
      </c>
    </row>
    <row r="23">
      <c r="A23" s="3">
        <v>22.0</v>
      </c>
      <c r="B23" s="4" t="s">
        <v>25</v>
      </c>
      <c r="C23" s="4">
        <v>106.0</v>
      </c>
      <c r="D23" s="5" t="s">
        <v>3</v>
      </c>
    </row>
    <row r="24">
      <c r="A24" s="3">
        <v>23.0</v>
      </c>
      <c r="B24" s="4" t="s">
        <v>26</v>
      </c>
      <c r="C24" s="4">
        <v>104.0</v>
      </c>
      <c r="D24" s="5" t="s">
        <v>3</v>
      </c>
    </row>
    <row r="25">
      <c r="A25" s="3">
        <v>24.0</v>
      </c>
      <c r="B25" s="4" t="s">
        <v>27</v>
      </c>
      <c r="C25" s="4">
        <v>103.0</v>
      </c>
      <c r="D25" s="5" t="s">
        <v>3</v>
      </c>
    </row>
    <row r="26">
      <c r="A26" s="3" t="s">
        <v>28</v>
      </c>
      <c r="B26" s="4" t="s">
        <v>29</v>
      </c>
      <c r="C26" s="4">
        <v>102.0</v>
      </c>
      <c r="D26" s="5" t="s">
        <v>3</v>
      </c>
    </row>
    <row r="27">
      <c r="A27" s="3">
        <v>26.0</v>
      </c>
      <c r="B27" s="4" t="s">
        <v>30</v>
      </c>
      <c r="C27" s="4">
        <v>102.0</v>
      </c>
      <c r="D27" s="5" t="s">
        <v>3</v>
      </c>
    </row>
    <row r="28">
      <c r="A28" s="3">
        <v>27.0</v>
      </c>
      <c r="B28" s="4" t="s">
        <v>31</v>
      </c>
      <c r="C28" s="4">
        <v>95.0</v>
      </c>
      <c r="D28" s="5" t="s">
        <v>3</v>
      </c>
    </row>
    <row r="29">
      <c r="A29" s="3">
        <v>28.0</v>
      </c>
      <c r="B29" s="4" t="s">
        <v>32</v>
      </c>
      <c r="C29" s="4">
        <v>93.0</v>
      </c>
      <c r="D29" s="5" t="s">
        <v>3</v>
      </c>
    </row>
    <row r="30">
      <c r="A30" s="3">
        <v>29.0</v>
      </c>
      <c r="B30" s="4" t="s">
        <v>33</v>
      </c>
      <c r="C30" s="4">
        <v>92.0</v>
      </c>
      <c r="D30" s="5" t="s">
        <v>3</v>
      </c>
    </row>
    <row r="31">
      <c r="A31" s="3">
        <v>30.0</v>
      </c>
      <c r="B31" s="4" t="s">
        <v>34</v>
      </c>
      <c r="C31" s="4">
        <v>86.0</v>
      </c>
      <c r="D31" s="5" t="s">
        <v>3</v>
      </c>
    </row>
    <row r="32">
      <c r="A32" s="3">
        <v>31.0</v>
      </c>
      <c r="B32" s="4" t="s">
        <v>35</v>
      </c>
      <c r="C32" s="4">
        <v>84.0</v>
      </c>
      <c r="D32" s="5" t="s">
        <v>3</v>
      </c>
    </row>
    <row r="33">
      <c r="A33" s="3">
        <v>32.0</v>
      </c>
      <c r="B33" s="4" t="s">
        <v>36</v>
      </c>
      <c r="C33" s="4">
        <v>79.0</v>
      </c>
      <c r="D33" s="5" t="s">
        <v>3</v>
      </c>
    </row>
    <row r="34">
      <c r="A34" s="3">
        <v>33.0</v>
      </c>
      <c r="B34" s="4" t="s">
        <v>37</v>
      </c>
      <c r="C34" s="4">
        <v>77.0</v>
      </c>
      <c r="D34" s="5" t="s">
        <v>3</v>
      </c>
    </row>
    <row r="35">
      <c r="A35" s="3">
        <v>34.0</v>
      </c>
      <c r="B35" s="4" t="s">
        <v>38</v>
      </c>
      <c r="C35" s="4">
        <v>53.0</v>
      </c>
      <c r="D35" s="5" t="s">
        <v>3</v>
      </c>
    </row>
    <row r="36">
      <c r="A36" s="3" t="s">
        <v>39</v>
      </c>
      <c r="B36" s="4" t="s">
        <v>40</v>
      </c>
      <c r="C36" s="4">
        <v>49.0</v>
      </c>
      <c r="D36" s="5" t="s">
        <v>3</v>
      </c>
    </row>
  </sheetData>
  <autoFilter ref="$A$1:$D$36">
    <sortState ref="A1:D36">
      <sortCondition descending="1" ref="C1:C3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37" width="5.0"/>
    <col customWidth="1" min="38" max="38" width="7.63"/>
  </cols>
  <sheetData>
    <row r="1">
      <c r="A1" s="6" t="s">
        <v>41</v>
      </c>
      <c r="B1" s="6" t="s">
        <v>27</v>
      </c>
      <c r="C1" s="7" t="s">
        <v>40</v>
      </c>
      <c r="D1" s="6" t="s">
        <v>36</v>
      </c>
      <c r="E1" s="6" t="s">
        <v>37</v>
      </c>
      <c r="F1" s="6" t="s">
        <v>42</v>
      </c>
      <c r="G1" s="6" t="s">
        <v>43</v>
      </c>
      <c r="H1" s="6" t="s">
        <v>44</v>
      </c>
      <c r="I1" s="6" t="s">
        <v>45</v>
      </c>
      <c r="J1" s="7" t="s">
        <v>29</v>
      </c>
      <c r="K1" s="7" t="s">
        <v>46</v>
      </c>
      <c r="L1" s="6" t="s">
        <v>47</v>
      </c>
      <c r="M1" s="6" t="s">
        <v>48</v>
      </c>
      <c r="N1" s="6" t="s">
        <v>17</v>
      </c>
      <c r="O1" s="6" t="s">
        <v>49</v>
      </c>
      <c r="P1" s="6" t="s">
        <v>50</v>
      </c>
      <c r="Q1" s="6" t="s">
        <v>51</v>
      </c>
      <c r="R1" s="6" t="s">
        <v>33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24</v>
      </c>
      <c r="Y1" s="6" t="s">
        <v>57</v>
      </c>
      <c r="Z1" s="6" t="s">
        <v>58</v>
      </c>
      <c r="AA1" s="6" t="s">
        <v>30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8</v>
      </c>
      <c r="AI1" s="6" t="s">
        <v>65</v>
      </c>
      <c r="AJ1" s="6" t="s">
        <v>66</v>
      </c>
      <c r="AK1" s="6" t="s">
        <v>67</v>
      </c>
    </row>
    <row r="2">
      <c r="A2" s="6" t="s">
        <v>68</v>
      </c>
      <c r="B2" s="8">
        <v>1.0</v>
      </c>
      <c r="C2" s="6">
        <v>1.0</v>
      </c>
      <c r="D2" s="6">
        <v>4.0</v>
      </c>
      <c r="E2" s="6">
        <v>4.0</v>
      </c>
      <c r="F2" s="6">
        <v>5.0</v>
      </c>
      <c r="G2" s="6">
        <v>5.0</v>
      </c>
      <c r="H2" s="6">
        <v>5.0</v>
      </c>
      <c r="I2" s="6">
        <v>5.0</v>
      </c>
      <c r="J2" s="6">
        <v>5.0</v>
      </c>
      <c r="K2" s="6">
        <v>5.0</v>
      </c>
      <c r="L2" s="6">
        <v>5.0</v>
      </c>
      <c r="M2" s="6">
        <v>4.0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1.0</v>
      </c>
      <c r="T2" s="6">
        <v>5.0</v>
      </c>
      <c r="U2" s="6">
        <v>5.0</v>
      </c>
      <c r="V2" s="6">
        <v>5.0</v>
      </c>
      <c r="W2" s="6">
        <v>5.0</v>
      </c>
      <c r="X2" s="6">
        <v>5.0</v>
      </c>
      <c r="Y2" s="6">
        <v>4.0</v>
      </c>
      <c r="Z2" s="6">
        <v>5.0</v>
      </c>
      <c r="AA2" s="6">
        <v>5.0</v>
      </c>
      <c r="AB2" s="6">
        <v>5.0</v>
      </c>
      <c r="AC2" s="6">
        <v>5.0</v>
      </c>
      <c r="AD2" s="6">
        <v>4.0</v>
      </c>
      <c r="AE2" s="6">
        <v>5.0</v>
      </c>
      <c r="AF2" s="6">
        <v>5.0</v>
      </c>
      <c r="AG2" s="6">
        <v>5.0</v>
      </c>
      <c r="AH2" s="6">
        <v>5.0</v>
      </c>
      <c r="AI2" s="6">
        <v>5.0</v>
      </c>
      <c r="AJ2" s="6">
        <v>5.0</v>
      </c>
      <c r="AK2">
        <f t="shared" ref="AK2:AK34" si="1">SUM(B2:AJ2)</f>
        <v>158</v>
      </c>
      <c r="AL2" s="9">
        <f t="shared" ref="AL2:AL34" si="2">(AK2-$B$43)/AK2</f>
        <v>0.2702339854</v>
      </c>
    </row>
    <row r="3">
      <c r="A3" s="6" t="s">
        <v>69</v>
      </c>
      <c r="B3" s="6">
        <v>4.0</v>
      </c>
      <c r="C3" s="6">
        <v>2.0</v>
      </c>
      <c r="D3" s="8">
        <v>1.0</v>
      </c>
      <c r="E3" s="6">
        <v>2.0</v>
      </c>
      <c r="F3" s="6">
        <v>4.0</v>
      </c>
      <c r="G3" s="6">
        <v>3.0</v>
      </c>
      <c r="H3" s="6">
        <v>4.0</v>
      </c>
      <c r="I3" s="6">
        <v>3.0</v>
      </c>
      <c r="J3" s="6">
        <v>4.0</v>
      </c>
      <c r="K3" s="6">
        <v>4.0</v>
      </c>
      <c r="L3" s="6">
        <v>4.0</v>
      </c>
      <c r="M3" s="6">
        <v>3.0</v>
      </c>
      <c r="N3" s="6">
        <v>3.0</v>
      </c>
      <c r="O3" s="6">
        <v>3.0</v>
      </c>
      <c r="P3" s="6">
        <v>3.0</v>
      </c>
      <c r="Q3" s="6">
        <v>4.0</v>
      </c>
      <c r="R3" s="6">
        <v>3.0</v>
      </c>
      <c r="S3" s="6">
        <v>1.0</v>
      </c>
      <c r="T3" s="6">
        <v>4.0</v>
      </c>
      <c r="U3" s="6">
        <v>3.0</v>
      </c>
      <c r="V3" s="6">
        <v>3.0</v>
      </c>
      <c r="W3" s="6">
        <v>5.0</v>
      </c>
      <c r="X3" s="6">
        <v>4.0</v>
      </c>
      <c r="Y3" s="6">
        <v>4.0</v>
      </c>
      <c r="Z3" s="6">
        <v>4.0</v>
      </c>
      <c r="AA3" s="6">
        <v>2.0</v>
      </c>
      <c r="AB3" s="6">
        <v>5.0</v>
      </c>
      <c r="AC3" s="6">
        <v>4.0</v>
      </c>
      <c r="AD3" s="6">
        <v>3.0</v>
      </c>
      <c r="AE3" s="6">
        <v>3.0</v>
      </c>
      <c r="AF3" s="6">
        <v>4.0</v>
      </c>
      <c r="AG3" s="6">
        <v>4.0</v>
      </c>
      <c r="AH3" s="6">
        <v>4.0</v>
      </c>
      <c r="AI3" s="6">
        <v>3.0</v>
      </c>
      <c r="AJ3" s="6">
        <v>4.0</v>
      </c>
      <c r="AK3">
        <f t="shared" si="1"/>
        <v>118</v>
      </c>
      <c r="AL3" s="9">
        <f t="shared" si="2"/>
        <v>0.0228556754</v>
      </c>
    </row>
    <row r="4">
      <c r="A4" s="6" t="s">
        <v>70</v>
      </c>
      <c r="B4" s="6">
        <v>4.0</v>
      </c>
      <c r="C4" s="6">
        <v>3.0</v>
      </c>
      <c r="D4" s="6">
        <v>3.0</v>
      </c>
      <c r="E4" s="8">
        <v>1.0</v>
      </c>
      <c r="F4" s="6">
        <v>5.0</v>
      </c>
      <c r="G4" s="6">
        <v>3.0</v>
      </c>
      <c r="H4" s="6">
        <v>2.0</v>
      </c>
      <c r="I4" s="6">
        <v>3.0</v>
      </c>
      <c r="J4" s="6">
        <v>4.0</v>
      </c>
      <c r="K4" s="6">
        <v>4.0</v>
      </c>
      <c r="L4" s="6">
        <v>3.0</v>
      </c>
      <c r="M4" s="6">
        <v>3.0</v>
      </c>
      <c r="N4" s="6">
        <v>4.0</v>
      </c>
      <c r="O4" s="6">
        <v>3.0</v>
      </c>
      <c r="P4" s="6">
        <v>3.0</v>
      </c>
      <c r="Q4" s="6">
        <v>3.0</v>
      </c>
      <c r="R4" s="6">
        <v>3.0</v>
      </c>
      <c r="S4" s="6">
        <v>1.0</v>
      </c>
      <c r="T4" s="6">
        <v>3.0</v>
      </c>
      <c r="U4" s="6">
        <v>2.0</v>
      </c>
      <c r="V4" s="6">
        <v>5.0</v>
      </c>
      <c r="W4" s="6">
        <v>5.0</v>
      </c>
      <c r="X4" s="6">
        <v>4.0</v>
      </c>
      <c r="Y4" s="6">
        <v>4.0</v>
      </c>
      <c r="Z4" s="6">
        <v>3.0</v>
      </c>
      <c r="AA4" s="6">
        <v>3.0</v>
      </c>
      <c r="AB4" s="6">
        <v>4.0</v>
      </c>
      <c r="AC4" s="6">
        <v>3.0</v>
      </c>
      <c r="AD4" s="6">
        <v>2.0</v>
      </c>
      <c r="AE4" s="6">
        <v>3.0</v>
      </c>
      <c r="AF4" s="6">
        <v>5.0</v>
      </c>
      <c r="AG4" s="6">
        <v>5.0</v>
      </c>
      <c r="AH4" s="6">
        <v>3.0</v>
      </c>
      <c r="AI4" s="6">
        <v>4.0</v>
      </c>
      <c r="AJ4" s="6">
        <v>3.0</v>
      </c>
      <c r="AK4">
        <f t="shared" si="1"/>
        <v>116</v>
      </c>
      <c r="AL4" s="9">
        <f t="shared" si="2"/>
        <v>0.006008359457</v>
      </c>
    </row>
    <row r="5">
      <c r="A5" s="6" t="s">
        <v>71</v>
      </c>
      <c r="B5" s="6">
        <v>4.0</v>
      </c>
      <c r="C5" s="6">
        <v>2.0</v>
      </c>
      <c r="D5" s="6">
        <v>2.0</v>
      </c>
      <c r="E5" s="6">
        <v>2.0</v>
      </c>
      <c r="F5" s="8">
        <v>1.0</v>
      </c>
      <c r="G5" s="6">
        <v>3.0</v>
      </c>
      <c r="H5" s="6">
        <v>4.0</v>
      </c>
      <c r="I5" s="6">
        <v>4.0</v>
      </c>
      <c r="J5" s="6">
        <v>3.0</v>
      </c>
      <c r="K5" s="6">
        <v>5.0</v>
      </c>
      <c r="L5" s="6">
        <v>4.0</v>
      </c>
      <c r="M5" s="6">
        <v>3.0</v>
      </c>
      <c r="N5" s="6">
        <v>4.0</v>
      </c>
      <c r="O5" s="6">
        <v>4.0</v>
      </c>
      <c r="P5" s="6">
        <v>3.0</v>
      </c>
      <c r="Q5" s="6">
        <v>4.0</v>
      </c>
      <c r="R5" s="6">
        <v>3.0</v>
      </c>
      <c r="S5" s="6">
        <v>4.0</v>
      </c>
      <c r="T5" s="6">
        <v>4.0</v>
      </c>
      <c r="U5" s="6">
        <v>3.0</v>
      </c>
      <c r="V5" s="6">
        <v>3.0</v>
      </c>
      <c r="W5" s="6">
        <v>5.0</v>
      </c>
      <c r="X5" s="6">
        <v>3.0</v>
      </c>
      <c r="Y5" s="6">
        <v>5.0</v>
      </c>
      <c r="Z5" s="6">
        <v>5.0</v>
      </c>
      <c r="AA5" s="6">
        <v>5.0</v>
      </c>
      <c r="AB5" s="6">
        <v>5.0</v>
      </c>
      <c r="AC5" s="6">
        <v>4.0</v>
      </c>
      <c r="AD5" s="6">
        <v>2.0</v>
      </c>
      <c r="AE5" s="6">
        <v>5.0</v>
      </c>
      <c r="AF5" s="6">
        <v>4.0</v>
      </c>
      <c r="AG5" s="6">
        <v>5.0</v>
      </c>
      <c r="AH5" s="6">
        <v>3.0</v>
      </c>
      <c r="AI5" s="6">
        <v>4.0</v>
      </c>
      <c r="AJ5" s="6">
        <v>5.0</v>
      </c>
      <c r="AK5">
        <f t="shared" si="1"/>
        <v>129</v>
      </c>
      <c r="AL5" s="9">
        <f t="shared" si="2"/>
        <v>0.1061780597</v>
      </c>
    </row>
    <row r="6">
      <c r="A6" s="6" t="s">
        <v>72</v>
      </c>
      <c r="B6" s="6">
        <v>3.0</v>
      </c>
      <c r="C6" s="6">
        <v>1.0</v>
      </c>
      <c r="D6" s="6">
        <v>2.0</v>
      </c>
      <c r="E6" s="6">
        <v>3.0</v>
      </c>
      <c r="F6" s="6">
        <v>3.0</v>
      </c>
      <c r="G6" s="8">
        <v>1.0</v>
      </c>
      <c r="H6" s="6">
        <v>3.0</v>
      </c>
      <c r="I6" s="6">
        <v>3.0</v>
      </c>
      <c r="J6" s="6">
        <v>3.0</v>
      </c>
      <c r="K6" s="6">
        <v>4.0</v>
      </c>
      <c r="L6" s="6">
        <v>5.0</v>
      </c>
      <c r="M6" s="6">
        <v>2.0</v>
      </c>
      <c r="N6" s="6">
        <v>3.0</v>
      </c>
      <c r="O6" s="6">
        <v>3.0</v>
      </c>
      <c r="P6" s="6">
        <v>3.0</v>
      </c>
      <c r="Q6" s="6">
        <v>3.0</v>
      </c>
      <c r="R6" s="6">
        <v>2.0</v>
      </c>
      <c r="S6" s="6">
        <v>1.0</v>
      </c>
      <c r="T6" s="6">
        <v>4.0</v>
      </c>
      <c r="U6" s="6">
        <v>1.0</v>
      </c>
      <c r="V6" s="6">
        <v>2.0</v>
      </c>
      <c r="W6" s="6">
        <v>4.0</v>
      </c>
      <c r="X6" s="6">
        <v>2.0</v>
      </c>
      <c r="Y6" s="6">
        <v>4.0</v>
      </c>
      <c r="Z6" s="6">
        <v>4.0</v>
      </c>
      <c r="AA6" s="6">
        <v>1.0</v>
      </c>
      <c r="AB6" s="6">
        <v>4.0</v>
      </c>
      <c r="AC6" s="6">
        <v>3.0</v>
      </c>
      <c r="AD6" s="6">
        <v>3.0</v>
      </c>
      <c r="AE6" s="6">
        <v>2.0</v>
      </c>
      <c r="AF6" s="6">
        <v>4.0</v>
      </c>
      <c r="AG6" s="6">
        <v>4.0</v>
      </c>
      <c r="AH6" s="6">
        <v>4.0</v>
      </c>
      <c r="AI6" s="6">
        <v>2.0</v>
      </c>
      <c r="AJ6" s="6">
        <v>3.0</v>
      </c>
      <c r="AK6">
        <f t="shared" si="1"/>
        <v>99</v>
      </c>
      <c r="AL6" s="9">
        <f t="shared" si="2"/>
        <v>-0.1646770738</v>
      </c>
    </row>
    <row r="7">
      <c r="A7" s="6" t="s">
        <v>73</v>
      </c>
      <c r="B7" s="6">
        <v>4.0</v>
      </c>
      <c r="C7" s="6">
        <v>1.0</v>
      </c>
      <c r="D7" s="6">
        <v>3.0</v>
      </c>
      <c r="E7" s="6">
        <v>3.0</v>
      </c>
      <c r="F7" s="6">
        <v>3.0</v>
      </c>
      <c r="G7" s="6">
        <v>4.0</v>
      </c>
      <c r="H7" s="8">
        <v>1.0</v>
      </c>
      <c r="I7" s="6">
        <v>3.0</v>
      </c>
      <c r="J7" s="6">
        <v>4.0</v>
      </c>
      <c r="K7" s="6">
        <v>4.0</v>
      </c>
      <c r="L7" s="6">
        <v>5.0</v>
      </c>
      <c r="M7" s="6">
        <v>3.0</v>
      </c>
      <c r="N7" s="6">
        <v>4.0</v>
      </c>
      <c r="O7" s="6">
        <v>4.0</v>
      </c>
      <c r="P7" s="6">
        <v>3.0</v>
      </c>
      <c r="Q7" s="6">
        <v>3.0</v>
      </c>
      <c r="R7" s="6">
        <v>3.0</v>
      </c>
      <c r="S7" s="6">
        <v>1.0</v>
      </c>
      <c r="T7" s="6">
        <v>5.0</v>
      </c>
      <c r="U7" s="6">
        <v>4.0</v>
      </c>
      <c r="V7" s="6">
        <v>3.0</v>
      </c>
      <c r="W7" s="6">
        <v>5.0</v>
      </c>
      <c r="X7" s="6">
        <v>4.0</v>
      </c>
      <c r="Y7" s="6">
        <v>4.0</v>
      </c>
      <c r="Z7" s="6">
        <v>3.0</v>
      </c>
      <c r="AA7" s="6">
        <v>4.0</v>
      </c>
      <c r="AB7" s="6">
        <v>3.0</v>
      </c>
      <c r="AC7" s="6">
        <v>4.0</v>
      </c>
      <c r="AD7" s="6">
        <v>3.0</v>
      </c>
      <c r="AE7" s="6">
        <v>4.0</v>
      </c>
      <c r="AF7" s="6">
        <v>5.0</v>
      </c>
      <c r="AG7" s="6">
        <v>3.0</v>
      </c>
      <c r="AH7" s="6">
        <v>4.0</v>
      </c>
      <c r="AI7" s="6">
        <v>4.0</v>
      </c>
      <c r="AJ7" s="6">
        <v>4.0</v>
      </c>
      <c r="AK7">
        <f t="shared" si="1"/>
        <v>122</v>
      </c>
      <c r="AL7" s="9">
        <f t="shared" si="2"/>
        <v>0.05489319424</v>
      </c>
    </row>
    <row r="8">
      <c r="A8" s="10" t="s">
        <v>74</v>
      </c>
      <c r="B8" s="6">
        <v>3.0</v>
      </c>
      <c r="C8" s="6">
        <v>2.0</v>
      </c>
      <c r="D8" s="6">
        <v>3.0</v>
      </c>
      <c r="E8" s="6">
        <v>3.0</v>
      </c>
      <c r="F8" s="6">
        <v>4.0</v>
      </c>
      <c r="G8" s="6">
        <v>3.0</v>
      </c>
      <c r="H8" s="6">
        <v>4.0</v>
      </c>
      <c r="I8" s="6">
        <v>4.0</v>
      </c>
      <c r="J8" s="6">
        <v>4.0</v>
      </c>
      <c r="K8" s="6">
        <v>4.0</v>
      </c>
      <c r="L8" s="6">
        <v>5.0</v>
      </c>
      <c r="M8" s="6">
        <v>4.0</v>
      </c>
      <c r="N8" s="6">
        <v>3.0</v>
      </c>
      <c r="O8" s="6">
        <v>4.0</v>
      </c>
      <c r="P8" s="6">
        <v>4.0</v>
      </c>
      <c r="Q8" s="6">
        <v>5.0</v>
      </c>
      <c r="R8" s="6">
        <v>3.0</v>
      </c>
      <c r="S8" s="6">
        <v>4.0</v>
      </c>
      <c r="T8" s="6">
        <v>5.0</v>
      </c>
      <c r="U8" s="6">
        <v>4.0</v>
      </c>
      <c r="V8" s="6">
        <v>3.0</v>
      </c>
      <c r="W8" s="6">
        <v>5.0</v>
      </c>
      <c r="X8" s="6">
        <v>4.0</v>
      </c>
      <c r="Y8" s="6">
        <v>5.0</v>
      </c>
      <c r="Z8" s="6">
        <v>4.0</v>
      </c>
      <c r="AA8" s="6">
        <v>3.0</v>
      </c>
      <c r="AB8" s="6">
        <v>4.0</v>
      </c>
      <c r="AC8" s="6">
        <v>5.0</v>
      </c>
      <c r="AD8" s="6">
        <v>4.0</v>
      </c>
      <c r="AE8" s="6">
        <v>4.0</v>
      </c>
      <c r="AF8" s="6">
        <v>5.0</v>
      </c>
      <c r="AG8" s="6">
        <v>3.0</v>
      </c>
      <c r="AH8" s="6">
        <v>4.0</v>
      </c>
      <c r="AI8" s="6">
        <v>4.0</v>
      </c>
      <c r="AJ8" s="6">
        <v>4.0</v>
      </c>
      <c r="AK8">
        <f t="shared" si="1"/>
        <v>136</v>
      </c>
      <c r="AL8" s="9">
        <f t="shared" si="2"/>
        <v>0.1521836007</v>
      </c>
    </row>
    <row r="9">
      <c r="A9" s="6" t="s">
        <v>75</v>
      </c>
      <c r="B9" s="6">
        <v>3.0</v>
      </c>
      <c r="C9" s="6">
        <v>2.0</v>
      </c>
      <c r="D9" s="6">
        <v>3.0</v>
      </c>
      <c r="E9" s="6">
        <v>3.0</v>
      </c>
      <c r="F9" s="6">
        <v>4.0</v>
      </c>
      <c r="G9" s="6">
        <v>4.0</v>
      </c>
      <c r="H9" s="6">
        <v>3.0</v>
      </c>
      <c r="I9" s="8">
        <v>1.0</v>
      </c>
      <c r="J9" s="6">
        <v>3.0</v>
      </c>
      <c r="K9" s="6">
        <v>4.0</v>
      </c>
      <c r="L9" s="6">
        <v>4.0</v>
      </c>
      <c r="M9" s="6">
        <v>3.0</v>
      </c>
      <c r="N9" s="6">
        <v>3.0</v>
      </c>
      <c r="O9" s="6">
        <v>4.0</v>
      </c>
      <c r="P9" s="6">
        <v>4.0</v>
      </c>
      <c r="Q9" s="6">
        <v>5.0</v>
      </c>
      <c r="R9" s="6">
        <v>3.0</v>
      </c>
      <c r="S9" s="6">
        <v>3.0</v>
      </c>
      <c r="T9" s="6">
        <v>4.0</v>
      </c>
      <c r="U9" s="6">
        <v>3.0</v>
      </c>
      <c r="V9" s="6">
        <v>4.0</v>
      </c>
      <c r="W9" s="6">
        <v>5.0</v>
      </c>
      <c r="X9" s="6">
        <v>4.0</v>
      </c>
      <c r="Y9" s="6">
        <v>4.0</v>
      </c>
      <c r="Z9" s="6">
        <v>3.0</v>
      </c>
      <c r="AA9" s="6">
        <v>3.0</v>
      </c>
      <c r="AB9" s="6">
        <v>4.0</v>
      </c>
      <c r="AC9" s="6">
        <v>4.0</v>
      </c>
      <c r="AD9" s="6">
        <v>3.0</v>
      </c>
      <c r="AE9" s="6">
        <v>4.0</v>
      </c>
      <c r="AF9" s="6">
        <v>4.0</v>
      </c>
      <c r="AG9" s="6">
        <v>3.0</v>
      </c>
      <c r="AH9" s="6">
        <v>4.0</v>
      </c>
      <c r="AI9" s="6">
        <v>4.0</v>
      </c>
      <c r="AJ9" s="6">
        <v>3.0</v>
      </c>
      <c r="AK9">
        <f t="shared" si="1"/>
        <v>122</v>
      </c>
      <c r="AL9" s="9">
        <f t="shared" si="2"/>
        <v>0.05489319424</v>
      </c>
    </row>
    <row r="10">
      <c r="A10" s="6" t="s">
        <v>76</v>
      </c>
      <c r="B10" s="6">
        <v>3.0</v>
      </c>
      <c r="C10" s="6">
        <v>1.0</v>
      </c>
      <c r="D10" s="6">
        <v>2.0</v>
      </c>
      <c r="E10" s="6">
        <v>2.0</v>
      </c>
      <c r="F10" s="6">
        <v>3.0</v>
      </c>
      <c r="G10" s="6">
        <v>3.0</v>
      </c>
      <c r="H10" s="6">
        <v>3.0</v>
      </c>
      <c r="I10" s="6">
        <v>3.0</v>
      </c>
      <c r="J10" s="6">
        <v>3.0</v>
      </c>
      <c r="K10" s="6">
        <v>3.0</v>
      </c>
      <c r="L10" s="8">
        <v>1.0</v>
      </c>
      <c r="M10" s="6">
        <v>3.0</v>
      </c>
      <c r="N10" s="6">
        <v>5.0</v>
      </c>
      <c r="O10" s="6">
        <v>3.0</v>
      </c>
      <c r="P10" s="6">
        <v>3.0</v>
      </c>
      <c r="Q10" s="6">
        <v>3.0</v>
      </c>
      <c r="R10" s="6">
        <v>3.0</v>
      </c>
      <c r="S10" s="6">
        <v>1.0</v>
      </c>
      <c r="T10" s="6">
        <v>3.0</v>
      </c>
      <c r="U10" s="6">
        <v>2.0</v>
      </c>
      <c r="V10" s="6">
        <v>3.0</v>
      </c>
      <c r="W10" s="6">
        <v>4.0</v>
      </c>
      <c r="X10" s="6">
        <v>3.0</v>
      </c>
      <c r="Y10" s="6">
        <v>3.0</v>
      </c>
      <c r="Z10" s="6">
        <v>3.0</v>
      </c>
      <c r="AA10" s="6">
        <v>3.0</v>
      </c>
      <c r="AB10" s="6">
        <v>5.0</v>
      </c>
      <c r="AC10" s="6">
        <v>4.0</v>
      </c>
      <c r="AD10" s="6">
        <v>3.0</v>
      </c>
      <c r="AE10" s="6">
        <v>3.0</v>
      </c>
      <c r="AF10" s="6">
        <v>4.0</v>
      </c>
      <c r="AG10" s="6">
        <v>3.0</v>
      </c>
      <c r="AH10" s="6">
        <v>3.0</v>
      </c>
      <c r="AI10" s="6">
        <v>4.0</v>
      </c>
      <c r="AJ10" s="6">
        <v>3.0</v>
      </c>
      <c r="AK10">
        <f t="shared" si="1"/>
        <v>104</v>
      </c>
      <c r="AL10" s="9">
        <f t="shared" si="2"/>
        <v>-0.1086829837</v>
      </c>
    </row>
    <row r="11">
      <c r="A11" s="6" t="s">
        <v>77</v>
      </c>
      <c r="B11" s="6">
        <v>2.0</v>
      </c>
      <c r="C11" s="6">
        <v>2.0</v>
      </c>
      <c r="D11" s="6">
        <v>2.0</v>
      </c>
      <c r="E11" s="6">
        <v>1.0</v>
      </c>
      <c r="F11" s="6">
        <v>3.0</v>
      </c>
      <c r="G11" s="6">
        <v>3.0</v>
      </c>
      <c r="H11" s="6">
        <v>1.0</v>
      </c>
      <c r="I11" s="6">
        <v>4.0</v>
      </c>
      <c r="J11" s="6">
        <v>1.0</v>
      </c>
      <c r="K11" s="6">
        <v>4.0</v>
      </c>
      <c r="L11" s="6">
        <v>3.0</v>
      </c>
      <c r="M11" s="8">
        <v>1.0</v>
      </c>
      <c r="N11" s="6">
        <v>3.0</v>
      </c>
      <c r="O11" s="6">
        <v>4.0</v>
      </c>
      <c r="P11" s="6">
        <v>3.0</v>
      </c>
      <c r="Q11" s="6">
        <v>4.0</v>
      </c>
      <c r="R11" s="6">
        <v>4.0</v>
      </c>
      <c r="S11" s="6">
        <v>2.0</v>
      </c>
      <c r="T11" s="6">
        <v>4.0</v>
      </c>
      <c r="U11" s="6">
        <v>1.0</v>
      </c>
      <c r="V11" s="6">
        <v>3.0</v>
      </c>
      <c r="W11" s="6">
        <v>5.0</v>
      </c>
      <c r="X11" s="6">
        <v>3.0</v>
      </c>
      <c r="Y11" s="6">
        <v>4.0</v>
      </c>
      <c r="Z11" s="6">
        <v>4.0</v>
      </c>
      <c r="AA11" s="6">
        <v>3.0</v>
      </c>
      <c r="AB11" s="6">
        <v>4.0</v>
      </c>
      <c r="AC11" s="6">
        <v>5.0</v>
      </c>
      <c r="AD11" s="6">
        <v>3.0</v>
      </c>
      <c r="AE11" s="6">
        <v>3.0</v>
      </c>
      <c r="AF11" s="6">
        <v>4.0</v>
      </c>
      <c r="AG11" s="6">
        <v>3.0</v>
      </c>
      <c r="AH11" s="6">
        <v>3.0</v>
      </c>
      <c r="AI11" s="6">
        <v>3.0</v>
      </c>
      <c r="AJ11" s="6">
        <v>3.0</v>
      </c>
      <c r="AK11">
        <f t="shared" si="1"/>
        <v>105</v>
      </c>
      <c r="AL11" s="9">
        <f t="shared" si="2"/>
        <v>-0.09812409812</v>
      </c>
    </row>
    <row r="12">
      <c r="A12" s="6" t="s">
        <v>78</v>
      </c>
      <c r="B12" s="6">
        <v>4.0</v>
      </c>
      <c r="C12" s="6">
        <v>2.0</v>
      </c>
      <c r="D12" s="6">
        <v>3.0</v>
      </c>
      <c r="E12" s="6">
        <v>3.0</v>
      </c>
      <c r="F12" s="6">
        <v>5.0</v>
      </c>
      <c r="G12" s="6">
        <v>3.0</v>
      </c>
      <c r="H12" s="6">
        <v>5.0</v>
      </c>
      <c r="I12" s="6">
        <v>3.0</v>
      </c>
      <c r="J12" s="6">
        <v>4.0</v>
      </c>
      <c r="K12" s="6">
        <v>4.0</v>
      </c>
      <c r="L12" s="6">
        <v>4.0</v>
      </c>
      <c r="M12" s="6">
        <v>4.0</v>
      </c>
      <c r="N12" s="8">
        <v>1.0</v>
      </c>
      <c r="O12" s="6">
        <v>4.0</v>
      </c>
      <c r="P12" s="6">
        <v>4.0</v>
      </c>
      <c r="Q12" s="6">
        <v>4.0</v>
      </c>
      <c r="R12" s="6">
        <v>3.0</v>
      </c>
      <c r="S12" s="6">
        <v>1.0</v>
      </c>
      <c r="T12" s="6">
        <v>4.0</v>
      </c>
      <c r="U12" s="6">
        <v>4.0</v>
      </c>
      <c r="V12" s="6">
        <v>3.0</v>
      </c>
      <c r="W12" s="6">
        <v>5.0</v>
      </c>
      <c r="X12" s="6">
        <v>4.0</v>
      </c>
      <c r="Y12" s="6">
        <v>4.0</v>
      </c>
      <c r="Z12" s="6">
        <v>3.0</v>
      </c>
      <c r="AA12" s="6">
        <v>4.0</v>
      </c>
      <c r="AB12" s="6">
        <v>5.0</v>
      </c>
      <c r="AC12" s="6">
        <v>4.0</v>
      </c>
      <c r="AD12" s="6">
        <v>4.0</v>
      </c>
      <c r="AE12" s="6">
        <v>3.0</v>
      </c>
      <c r="AF12" s="6">
        <v>5.0</v>
      </c>
      <c r="AG12" s="6">
        <v>5.0</v>
      </c>
      <c r="AH12" s="6">
        <v>4.0</v>
      </c>
      <c r="AI12" s="6">
        <v>4.0</v>
      </c>
      <c r="AJ12" s="6">
        <v>3.0</v>
      </c>
      <c r="AK12">
        <f t="shared" si="1"/>
        <v>129</v>
      </c>
      <c r="AL12" s="9">
        <f t="shared" si="2"/>
        <v>0.1061780597</v>
      </c>
    </row>
    <row r="13">
      <c r="A13" s="6" t="s">
        <v>79</v>
      </c>
      <c r="B13" s="6">
        <v>3.0</v>
      </c>
      <c r="C13" s="6">
        <v>1.0</v>
      </c>
      <c r="D13" s="6">
        <v>3.0</v>
      </c>
      <c r="E13" s="6">
        <v>3.0</v>
      </c>
      <c r="F13" s="6">
        <v>4.0</v>
      </c>
      <c r="G13" s="6">
        <v>3.0</v>
      </c>
      <c r="H13" s="6">
        <v>4.0</v>
      </c>
      <c r="I13" s="6">
        <v>3.0</v>
      </c>
      <c r="J13" s="6">
        <v>3.0</v>
      </c>
      <c r="K13" s="6">
        <v>4.0</v>
      </c>
      <c r="L13" s="6">
        <v>3.0</v>
      </c>
      <c r="M13" s="6">
        <v>3.0</v>
      </c>
      <c r="N13" s="6">
        <v>4.0</v>
      </c>
      <c r="O13" s="8">
        <v>1.0</v>
      </c>
      <c r="P13" s="6">
        <v>3.0</v>
      </c>
      <c r="Q13" s="6">
        <v>3.0</v>
      </c>
      <c r="R13" s="6">
        <v>3.0</v>
      </c>
      <c r="S13" s="6">
        <v>1.0</v>
      </c>
      <c r="T13" s="6">
        <v>4.0</v>
      </c>
      <c r="U13" s="6">
        <v>2.0</v>
      </c>
      <c r="V13" s="6">
        <v>3.0</v>
      </c>
      <c r="W13" s="6">
        <v>5.0</v>
      </c>
      <c r="X13" s="6">
        <v>3.0</v>
      </c>
      <c r="Y13" s="6">
        <v>4.0</v>
      </c>
      <c r="Z13" s="6">
        <v>5.0</v>
      </c>
      <c r="AA13" s="6">
        <v>3.0</v>
      </c>
      <c r="AB13" s="6">
        <v>5.0</v>
      </c>
      <c r="AC13" s="6">
        <v>4.0</v>
      </c>
      <c r="AD13" s="6">
        <v>3.0</v>
      </c>
      <c r="AE13" s="6">
        <v>4.0</v>
      </c>
      <c r="AF13" s="6">
        <v>5.0</v>
      </c>
      <c r="AG13" s="6">
        <v>5.0</v>
      </c>
      <c r="AH13" s="6">
        <v>4.0</v>
      </c>
      <c r="AI13" s="6">
        <v>3.0</v>
      </c>
      <c r="AJ13" s="6">
        <v>4.0</v>
      </c>
      <c r="AK13">
        <f t="shared" si="1"/>
        <v>118</v>
      </c>
      <c r="AL13" s="9">
        <f t="shared" si="2"/>
        <v>0.0228556754</v>
      </c>
    </row>
    <row r="14">
      <c r="A14" s="6" t="s">
        <v>80</v>
      </c>
      <c r="B14" s="6">
        <v>3.0</v>
      </c>
      <c r="C14" s="6">
        <v>1.0</v>
      </c>
      <c r="D14" s="6">
        <v>3.0</v>
      </c>
      <c r="E14" s="6">
        <v>2.0</v>
      </c>
      <c r="F14" s="6">
        <v>5.0</v>
      </c>
      <c r="G14" s="6">
        <v>4.0</v>
      </c>
      <c r="H14" s="6">
        <v>4.0</v>
      </c>
      <c r="I14" s="6">
        <v>3.0</v>
      </c>
      <c r="J14" s="6">
        <v>3.0</v>
      </c>
      <c r="K14" s="6">
        <v>4.0</v>
      </c>
      <c r="L14" s="6">
        <v>3.0</v>
      </c>
      <c r="M14" s="6">
        <v>3.0</v>
      </c>
      <c r="N14" s="6">
        <v>4.0</v>
      </c>
      <c r="O14" s="6">
        <v>4.0</v>
      </c>
      <c r="P14" s="8">
        <v>1.0</v>
      </c>
      <c r="Q14" s="6">
        <v>4.0</v>
      </c>
      <c r="R14" s="6">
        <v>3.0</v>
      </c>
      <c r="S14" s="6">
        <v>1.0</v>
      </c>
      <c r="T14" s="6">
        <v>5.0</v>
      </c>
      <c r="U14" s="6">
        <v>3.0</v>
      </c>
      <c r="V14" s="6">
        <v>3.0</v>
      </c>
      <c r="W14" s="6">
        <v>5.0</v>
      </c>
      <c r="X14" s="6">
        <v>3.0</v>
      </c>
      <c r="Y14" s="6">
        <v>5.0</v>
      </c>
      <c r="Z14" s="6">
        <v>4.0</v>
      </c>
      <c r="AA14" s="6">
        <v>3.0</v>
      </c>
      <c r="AB14" s="6">
        <v>5.0</v>
      </c>
      <c r="AC14" s="6">
        <v>5.0</v>
      </c>
      <c r="AD14" s="6">
        <v>3.0</v>
      </c>
      <c r="AE14" s="6">
        <v>5.0</v>
      </c>
      <c r="AF14" s="6">
        <v>5.0</v>
      </c>
      <c r="AG14" s="6">
        <v>5.0</v>
      </c>
      <c r="AH14" s="6">
        <v>5.0</v>
      </c>
      <c r="AI14" s="6">
        <v>4.0</v>
      </c>
      <c r="AJ14" s="6">
        <v>5.0</v>
      </c>
      <c r="AK14">
        <f t="shared" si="1"/>
        <v>128</v>
      </c>
      <c r="AL14" s="9">
        <f t="shared" si="2"/>
        <v>0.09919507576</v>
      </c>
    </row>
    <row r="15">
      <c r="A15" s="6" t="s">
        <v>81</v>
      </c>
      <c r="B15" s="6">
        <v>2.0</v>
      </c>
      <c r="C15" s="6">
        <v>1.0</v>
      </c>
      <c r="D15" s="6">
        <v>1.0</v>
      </c>
      <c r="E15" s="6">
        <v>2.0</v>
      </c>
      <c r="F15" s="6">
        <v>3.0</v>
      </c>
      <c r="G15" s="6">
        <v>3.0</v>
      </c>
      <c r="H15" s="6">
        <v>2.0</v>
      </c>
      <c r="I15" s="6">
        <v>3.0</v>
      </c>
      <c r="J15" s="6">
        <v>2.0</v>
      </c>
      <c r="K15" s="6">
        <v>3.0</v>
      </c>
      <c r="L15" s="6">
        <v>4.0</v>
      </c>
      <c r="M15" s="6">
        <v>2.0</v>
      </c>
      <c r="N15" s="6">
        <v>3.0</v>
      </c>
      <c r="O15" s="6">
        <v>2.0</v>
      </c>
      <c r="P15" s="6">
        <v>3.0</v>
      </c>
      <c r="Q15" s="8">
        <v>1.0</v>
      </c>
      <c r="R15" s="6">
        <v>2.0</v>
      </c>
      <c r="S15" s="6">
        <v>2.0</v>
      </c>
      <c r="T15" s="6">
        <v>3.0</v>
      </c>
      <c r="U15" s="6">
        <v>2.0</v>
      </c>
      <c r="V15" s="6">
        <v>3.0</v>
      </c>
      <c r="W15" s="6">
        <v>4.0</v>
      </c>
      <c r="X15" s="6">
        <v>3.0</v>
      </c>
      <c r="Y15" s="6">
        <v>3.0</v>
      </c>
      <c r="Z15" s="6">
        <v>3.0</v>
      </c>
      <c r="AA15" s="6">
        <v>2.0</v>
      </c>
      <c r="AB15" s="6">
        <v>4.0</v>
      </c>
      <c r="AC15" s="6">
        <v>2.0</v>
      </c>
      <c r="AD15" s="6">
        <v>2.0</v>
      </c>
      <c r="AE15" s="6">
        <v>3.0</v>
      </c>
      <c r="AF15" s="6">
        <v>2.0</v>
      </c>
      <c r="AG15" s="6">
        <v>3.0</v>
      </c>
      <c r="AH15" s="6">
        <v>4.0</v>
      </c>
      <c r="AI15" s="6">
        <v>3.0</v>
      </c>
      <c r="AJ15" s="6">
        <v>3.0</v>
      </c>
      <c r="AK15">
        <f t="shared" si="1"/>
        <v>90</v>
      </c>
      <c r="AL15" s="9">
        <f t="shared" si="2"/>
        <v>-0.2811447811</v>
      </c>
    </row>
    <row r="16">
      <c r="A16" s="6" t="s">
        <v>82</v>
      </c>
      <c r="B16" s="6">
        <v>1.0</v>
      </c>
      <c r="C16" s="6">
        <v>1.0</v>
      </c>
      <c r="D16" s="6">
        <v>3.0</v>
      </c>
      <c r="E16" s="6">
        <v>2.0</v>
      </c>
      <c r="F16" s="6">
        <v>3.0</v>
      </c>
      <c r="G16" s="6">
        <v>3.0</v>
      </c>
      <c r="H16" s="6">
        <v>2.0</v>
      </c>
      <c r="I16" s="6">
        <v>3.0</v>
      </c>
      <c r="J16" s="6">
        <v>4.0</v>
      </c>
      <c r="K16" s="6">
        <v>2.0</v>
      </c>
      <c r="L16" s="6">
        <v>4.0</v>
      </c>
      <c r="M16" s="6">
        <v>2.0</v>
      </c>
      <c r="N16" s="6">
        <v>2.0</v>
      </c>
      <c r="O16" s="6">
        <v>3.0</v>
      </c>
      <c r="P16" s="6">
        <v>3.0</v>
      </c>
      <c r="Q16" s="6">
        <v>3.0</v>
      </c>
      <c r="R16" s="8">
        <v>1.0</v>
      </c>
      <c r="S16" s="6">
        <v>1.0</v>
      </c>
      <c r="T16" s="6">
        <v>3.0</v>
      </c>
      <c r="U16" s="6">
        <v>3.0</v>
      </c>
      <c r="V16" s="6">
        <v>3.0</v>
      </c>
      <c r="W16" s="6">
        <v>4.0</v>
      </c>
      <c r="X16" s="6">
        <v>3.0</v>
      </c>
      <c r="Y16" s="6">
        <v>4.0</v>
      </c>
      <c r="Z16" s="6">
        <v>5.0</v>
      </c>
      <c r="AA16" s="6">
        <v>2.0</v>
      </c>
      <c r="AB16" s="6">
        <v>3.0</v>
      </c>
      <c r="AC16" s="6">
        <v>4.0</v>
      </c>
      <c r="AD16" s="6">
        <v>2.0</v>
      </c>
      <c r="AE16" s="6">
        <v>5.0</v>
      </c>
      <c r="AF16" s="6">
        <v>4.0</v>
      </c>
      <c r="AG16" s="6">
        <v>3.0</v>
      </c>
      <c r="AH16" s="6">
        <v>4.0</v>
      </c>
      <c r="AI16" s="6">
        <v>3.0</v>
      </c>
      <c r="AJ16" s="6">
        <v>3.0</v>
      </c>
      <c r="AK16">
        <f t="shared" si="1"/>
        <v>101</v>
      </c>
      <c r="AL16" s="9">
        <f t="shared" si="2"/>
        <v>-0.1416141614</v>
      </c>
    </row>
    <row r="17">
      <c r="A17" s="6" t="s">
        <v>83</v>
      </c>
      <c r="B17" s="6">
        <v>3.0</v>
      </c>
      <c r="C17" s="6">
        <v>1.0</v>
      </c>
      <c r="D17" s="6">
        <v>3.0</v>
      </c>
      <c r="E17" s="6">
        <v>2.0</v>
      </c>
      <c r="F17" s="6">
        <v>4.0</v>
      </c>
      <c r="G17" s="6">
        <v>4.0</v>
      </c>
      <c r="H17" s="6">
        <v>4.0</v>
      </c>
      <c r="I17" s="6">
        <v>3.0</v>
      </c>
      <c r="J17" s="6">
        <v>4.0</v>
      </c>
      <c r="K17" s="6">
        <v>4.0</v>
      </c>
      <c r="L17" s="6">
        <v>4.0</v>
      </c>
      <c r="M17" s="6">
        <v>4.0</v>
      </c>
      <c r="N17" s="6">
        <v>4.0</v>
      </c>
      <c r="O17" s="6">
        <v>3.0</v>
      </c>
      <c r="P17" s="6">
        <v>3.0</v>
      </c>
      <c r="Q17" s="6">
        <v>3.0</v>
      </c>
      <c r="R17" s="6">
        <v>3.0</v>
      </c>
      <c r="S17" s="8">
        <v>1.0</v>
      </c>
      <c r="T17" s="6">
        <v>4.0</v>
      </c>
      <c r="U17" s="6">
        <v>3.0</v>
      </c>
      <c r="V17" s="6">
        <v>3.0</v>
      </c>
      <c r="W17" s="6">
        <v>5.0</v>
      </c>
      <c r="X17" s="6">
        <v>2.0</v>
      </c>
      <c r="Y17" s="6">
        <v>4.0</v>
      </c>
      <c r="Z17" s="6">
        <v>4.0</v>
      </c>
      <c r="AA17" s="6">
        <v>3.0</v>
      </c>
      <c r="AB17" s="6">
        <v>5.0</v>
      </c>
      <c r="AC17" s="6">
        <v>5.0</v>
      </c>
      <c r="AD17" s="6">
        <v>3.0</v>
      </c>
      <c r="AE17" s="6">
        <v>4.0</v>
      </c>
      <c r="AF17" s="6">
        <v>4.0</v>
      </c>
      <c r="AG17" s="6">
        <v>4.0</v>
      </c>
      <c r="AH17" s="6">
        <v>4.0</v>
      </c>
      <c r="AI17" s="6">
        <v>4.0</v>
      </c>
      <c r="AJ17" s="6">
        <v>3.0</v>
      </c>
      <c r="AK17">
        <f t="shared" si="1"/>
        <v>121</v>
      </c>
      <c r="AL17" s="9">
        <f t="shared" si="2"/>
        <v>0.04708239419</v>
      </c>
    </row>
    <row r="18">
      <c r="A18" s="6" t="s">
        <v>84</v>
      </c>
      <c r="B18" s="6">
        <v>2.0</v>
      </c>
      <c r="C18" s="6">
        <v>2.0</v>
      </c>
      <c r="D18" s="6">
        <v>3.0</v>
      </c>
      <c r="E18" s="6">
        <v>2.0</v>
      </c>
      <c r="F18" s="6">
        <v>4.0</v>
      </c>
      <c r="G18" s="6">
        <v>3.0</v>
      </c>
      <c r="H18" s="6">
        <v>5.0</v>
      </c>
      <c r="I18" s="6">
        <v>3.0</v>
      </c>
      <c r="J18" s="6">
        <v>3.0</v>
      </c>
      <c r="K18" s="6">
        <v>3.0</v>
      </c>
      <c r="L18" s="6">
        <v>3.0</v>
      </c>
      <c r="M18" s="6">
        <v>3.0</v>
      </c>
      <c r="N18" s="6">
        <v>4.0</v>
      </c>
      <c r="O18" s="6">
        <v>5.0</v>
      </c>
      <c r="P18" s="6">
        <v>3.0</v>
      </c>
      <c r="Q18" s="6">
        <v>3.0</v>
      </c>
      <c r="R18" s="6">
        <v>3.0</v>
      </c>
      <c r="S18" s="6">
        <v>3.0</v>
      </c>
      <c r="T18" s="8">
        <v>1.0</v>
      </c>
      <c r="U18" s="6">
        <v>3.0</v>
      </c>
      <c r="V18" s="6">
        <v>3.0</v>
      </c>
      <c r="W18" s="6">
        <v>4.0</v>
      </c>
      <c r="X18" s="6">
        <v>3.0</v>
      </c>
      <c r="Y18" s="6">
        <v>5.0</v>
      </c>
      <c r="Z18" s="6">
        <v>2.0</v>
      </c>
      <c r="AA18" s="6">
        <v>3.0</v>
      </c>
      <c r="AB18" s="6">
        <v>3.0</v>
      </c>
      <c r="AC18" s="6">
        <v>3.0</v>
      </c>
      <c r="AD18" s="6">
        <v>3.0</v>
      </c>
      <c r="AE18" s="6">
        <v>4.0</v>
      </c>
      <c r="AF18" s="6">
        <v>3.0</v>
      </c>
      <c r="AG18" s="6">
        <v>3.0</v>
      </c>
      <c r="AH18" s="6">
        <v>3.0</v>
      </c>
      <c r="AI18" s="6">
        <v>3.0</v>
      </c>
      <c r="AJ18" s="6">
        <v>4.0</v>
      </c>
      <c r="AK18">
        <f t="shared" si="1"/>
        <v>110</v>
      </c>
      <c r="AL18" s="9">
        <f t="shared" si="2"/>
        <v>-0.04820936639</v>
      </c>
    </row>
    <row r="19">
      <c r="A19" s="6" t="s">
        <v>85</v>
      </c>
      <c r="B19" s="6">
        <v>4.0</v>
      </c>
      <c r="C19" s="6">
        <v>1.0</v>
      </c>
      <c r="D19" s="6">
        <v>3.0</v>
      </c>
      <c r="E19" s="6">
        <v>2.0</v>
      </c>
      <c r="F19" s="6">
        <v>5.0</v>
      </c>
      <c r="G19" s="6">
        <v>4.0</v>
      </c>
      <c r="H19" s="6">
        <v>4.0</v>
      </c>
      <c r="I19" s="6">
        <v>3.0</v>
      </c>
      <c r="J19" s="6">
        <v>4.0</v>
      </c>
      <c r="K19" s="6">
        <v>3.0</v>
      </c>
      <c r="L19" s="6">
        <v>5.0</v>
      </c>
      <c r="M19" s="6">
        <v>3.0</v>
      </c>
      <c r="N19" s="6">
        <v>4.0</v>
      </c>
      <c r="O19" s="6">
        <v>3.0</v>
      </c>
      <c r="P19" s="6">
        <v>4.0</v>
      </c>
      <c r="Q19" s="6">
        <v>4.0</v>
      </c>
      <c r="R19" s="6">
        <v>3.0</v>
      </c>
      <c r="S19" s="6">
        <v>1.0</v>
      </c>
      <c r="T19" s="6">
        <v>5.0</v>
      </c>
      <c r="U19" s="8">
        <v>1.0</v>
      </c>
      <c r="V19" s="6">
        <v>3.0</v>
      </c>
      <c r="W19" s="6">
        <v>4.0</v>
      </c>
      <c r="X19" s="6">
        <v>5.0</v>
      </c>
      <c r="Y19" s="6">
        <v>5.0</v>
      </c>
      <c r="Z19" s="6">
        <v>4.0</v>
      </c>
      <c r="AA19" s="6">
        <v>4.0</v>
      </c>
      <c r="AB19" s="6">
        <v>4.0</v>
      </c>
      <c r="AC19" s="6">
        <v>4.0</v>
      </c>
      <c r="AD19" s="6">
        <v>3.0</v>
      </c>
      <c r="AE19" s="6">
        <v>5.0</v>
      </c>
      <c r="AF19" s="6">
        <v>3.0</v>
      </c>
      <c r="AG19" s="6">
        <v>4.0</v>
      </c>
      <c r="AH19" s="6">
        <v>4.0</v>
      </c>
      <c r="AI19" s="6">
        <v>4.0</v>
      </c>
      <c r="AJ19" s="6">
        <v>4.0</v>
      </c>
      <c r="AK19">
        <f t="shared" si="1"/>
        <v>126</v>
      </c>
      <c r="AL19" s="9">
        <f t="shared" si="2"/>
        <v>0.0848965849</v>
      </c>
    </row>
    <row r="20">
      <c r="A20" s="6" t="s">
        <v>86</v>
      </c>
      <c r="B20" s="6">
        <v>4.0</v>
      </c>
      <c r="C20" s="6">
        <v>1.0</v>
      </c>
      <c r="D20" s="6">
        <v>2.0</v>
      </c>
      <c r="E20" s="6">
        <v>2.0</v>
      </c>
      <c r="F20" s="6">
        <v>3.0</v>
      </c>
      <c r="G20" s="6">
        <v>2.0</v>
      </c>
      <c r="H20" s="6">
        <v>1.0</v>
      </c>
      <c r="I20" s="6">
        <v>3.0</v>
      </c>
      <c r="J20" s="6">
        <v>2.0</v>
      </c>
      <c r="K20" s="6">
        <v>4.0</v>
      </c>
      <c r="L20" s="6">
        <v>1.0</v>
      </c>
      <c r="M20" s="6">
        <v>2.0</v>
      </c>
      <c r="N20" s="6">
        <v>3.0</v>
      </c>
      <c r="O20" s="6">
        <v>5.0</v>
      </c>
      <c r="P20" s="6">
        <v>3.0</v>
      </c>
      <c r="Q20" s="6">
        <v>4.0</v>
      </c>
      <c r="R20" s="6">
        <v>4.0</v>
      </c>
      <c r="S20" s="6">
        <v>1.0</v>
      </c>
      <c r="T20" s="6">
        <v>3.0</v>
      </c>
      <c r="U20" s="6">
        <v>1.0</v>
      </c>
      <c r="V20" s="8">
        <v>1.0</v>
      </c>
      <c r="W20" s="6">
        <v>1.0</v>
      </c>
      <c r="X20" s="6">
        <v>3.0</v>
      </c>
      <c r="Y20" s="6">
        <v>3.0</v>
      </c>
      <c r="Z20" s="6">
        <v>3.0</v>
      </c>
      <c r="AA20" s="6">
        <v>3.0</v>
      </c>
      <c r="AB20" s="6">
        <v>5.0</v>
      </c>
      <c r="AC20" s="6">
        <v>2.0</v>
      </c>
      <c r="AD20" s="6">
        <v>2.0</v>
      </c>
      <c r="AE20" s="6">
        <v>2.0</v>
      </c>
      <c r="AF20" s="6">
        <v>4.0</v>
      </c>
      <c r="AG20" s="6">
        <v>2.0</v>
      </c>
      <c r="AH20" s="6">
        <v>3.0</v>
      </c>
      <c r="AI20" s="6">
        <v>2.0</v>
      </c>
      <c r="AJ20" s="6">
        <v>1.0</v>
      </c>
      <c r="AK20">
        <f t="shared" si="1"/>
        <v>88</v>
      </c>
      <c r="AL20" s="9">
        <f t="shared" si="2"/>
        <v>-0.310261708</v>
      </c>
    </row>
    <row r="21">
      <c r="A21" s="6" t="s">
        <v>87</v>
      </c>
      <c r="B21" s="6">
        <v>3.0</v>
      </c>
      <c r="C21" s="6">
        <v>3.0</v>
      </c>
      <c r="D21" s="6">
        <v>3.0</v>
      </c>
      <c r="E21" s="6">
        <v>3.0</v>
      </c>
      <c r="F21" s="6">
        <v>3.0</v>
      </c>
      <c r="G21" s="6">
        <v>3.0</v>
      </c>
      <c r="H21" s="6">
        <v>3.0</v>
      </c>
      <c r="I21" s="6">
        <v>4.0</v>
      </c>
      <c r="J21" s="6">
        <v>4.0</v>
      </c>
      <c r="K21" s="6">
        <v>4.0</v>
      </c>
      <c r="L21" s="6">
        <v>4.0</v>
      </c>
      <c r="M21" s="6">
        <v>3.0</v>
      </c>
      <c r="N21" s="6">
        <v>5.0</v>
      </c>
      <c r="O21" s="6">
        <v>3.0</v>
      </c>
      <c r="P21" s="6">
        <v>3.0</v>
      </c>
      <c r="Q21" s="6">
        <v>5.0</v>
      </c>
      <c r="R21" s="6">
        <v>3.0</v>
      </c>
      <c r="S21" s="6">
        <v>3.0</v>
      </c>
      <c r="T21" s="6">
        <v>3.0</v>
      </c>
      <c r="U21" s="6">
        <v>3.0</v>
      </c>
      <c r="V21" s="6">
        <v>3.0</v>
      </c>
      <c r="W21" s="8">
        <v>1.0</v>
      </c>
      <c r="X21" s="6">
        <v>4.0</v>
      </c>
      <c r="Y21" s="6">
        <v>4.0</v>
      </c>
      <c r="Z21" s="6">
        <v>3.0</v>
      </c>
      <c r="AA21" s="6">
        <v>4.0</v>
      </c>
      <c r="AB21" s="6">
        <v>5.0</v>
      </c>
      <c r="AC21" s="6">
        <v>5.0</v>
      </c>
      <c r="AD21" s="6">
        <v>3.0</v>
      </c>
      <c r="AE21" s="6">
        <v>4.0</v>
      </c>
      <c r="AF21" s="6">
        <v>5.0</v>
      </c>
      <c r="AG21" s="6">
        <v>4.0</v>
      </c>
      <c r="AH21" s="6">
        <v>5.0</v>
      </c>
      <c r="AI21" s="6">
        <v>3.0</v>
      </c>
      <c r="AJ21" s="6">
        <v>3.0</v>
      </c>
      <c r="AK21">
        <f t="shared" si="1"/>
        <v>124</v>
      </c>
      <c r="AL21" s="9">
        <f t="shared" si="2"/>
        <v>0.07013685239</v>
      </c>
    </row>
    <row r="22">
      <c r="A22" s="6" t="s">
        <v>88</v>
      </c>
      <c r="B22" s="6">
        <v>5.0</v>
      </c>
      <c r="C22" s="6">
        <v>1.0</v>
      </c>
      <c r="D22" s="6">
        <v>1.0</v>
      </c>
      <c r="E22" s="6">
        <v>2.0</v>
      </c>
      <c r="F22" s="6">
        <v>4.0</v>
      </c>
      <c r="G22" s="6">
        <v>4.0</v>
      </c>
      <c r="H22" s="6">
        <v>2.0</v>
      </c>
      <c r="I22" s="6">
        <v>5.0</v>
      </c>
      <c r="J22" s="6">
        <v>3.0</v>
      </c>
      <c r="K22" s="6">
        <v>4.0</v>
      </c>
      <c r="L22" s="6">
        <v>3.0</v>
      </c>
      <c r="M22" s="6">
        <v>2.0</v>
      </c>
      <c r="N22" s="6">
        <v>3.0</v>
      </c>
      <c r="O22" s="6">
        <v>4.0</v>
      </c>
      <c r="P22" s="6">
        <v>3.0</v>
      </c>
      <c r="Q22" s="6">
        <v>3.0</v>
      </c>
      <c r="R22" s="6">
        <v>2.0</v>
      </c>
      <c r="S22" s="6">
        <v>1.0</v>
      </c>
      <c r="T22" s="6">
        <v>3.0</v>
      </c>
      <c r="U22" s="6">
        <v>2.0</v>
      </c>
      <c r="V22" s="6">
        <v>4.0</v>
      </c>
      <c r="W22" s="6">
        <v>5.0</v>
      </c>
      <c r="X22" s="8">
        <v>1.0</v>
      </c>
      <c r="Y22" s="6">
        <v>4.0</v>
      </c>
      <c r="Z22" s="6">
        <v>3.0</v>
      </c>
      <c r="AA22" s="6">
        <v>4.0</v>
      </c>
      <c r="AB22" s="6">
        <v>5.0</v>
      </c>
      <c r="AC22" s="6">
        <v>4.0</v>
      </c>
      <c r="AD22" s="6">
        <v>2.0</v>
      </c>
      <c r="AE22" s="6">
        <v>5.0</v>
      </c>
      <c r="AF22" s="6">
        <v>4.0</v>
      </c>
      <c r="AG22" s="6">
        <v>5.0</v>
      </c>
      <c r="AH22" s="6">
        <v>4.0</v>
      </c>
      <c r="AI22" s="6">
        <v>5.0</v>
      </c>
      <c r="AJ22" s="6">
        <v>4.0</v>
      </c>
      <c r="AK22">
        <f t="shared" si="1"/>
        <v>116</v>
      </c>
      <c r="AL22" s="9">
        <f t="shared" si="2"/>
        <v>0.006008359457</v>
      </c>
    </row>
    <row r="23">
      <c r="A23" s="6" t="s">
        <v>89</v>
      </c>
      <c r="B23" s="6">
        <v>3.0</v>
      </c>
      <c r="C23" s="6">
        <v>1.0</v>
      </c>
      <c r="D23" s="6">
        <v>1.0</v>
      </c>
      <c r="E23" s="6">
        <v>3.0</v>
      </c>
      <c r="F23" s="6">
        <v>3.0</v>
      </c>
      <c r="G23" s="6">
        <v>2.0</v>
      </c>
      <c r="H23" s="6">
        <v>4.0</v>
      </c>
      <c r="I23" s="6">
        <v>2.0</v>
      </c>
      <c r="J23" s="6">
        <v>2.0</v>
      </c>
      <c r="K23" s="6">
        <v>4.0</v>
      </c>
      <c r="L23" s="6">
        <v>2.0</v>
      </c>
      <c r="M23" s="6">
        <v>3.0</v>
      </c>
      <c r="N23" s="6">
        <v>3.0</v>
      </c>
      <c r="O23" s="6">
        <v>4.0</v>
      </c>
      <c r="P23" s="6">
        <v>4.0</v>
      </c>
      <c r="Q23" s="6">
        <v>2.0</v>
      </c>
      <c r="R23" s="6">
        <v>2.0</v>
      </c>
      <c r="S23" s="6">
        <v>1.0</v>
      </c>
      <c r="T23" s="6">
        <v>5.0</v>
      </c>
      <c r="U23" s="6">
        <v>4.0</v>
      </c>
      <c r="V23" s="6">
        <v>2.0</v>
      </c>
      <c r="W23" s="6">
        <v>4.0</v>
      </c>
      <c r="X23" s="6">
        <v>3.0</v>
      </c>
      <c r="Y23" s="8">
        <v>1.0</v>
      </c>
      <c r="Z23" s="6">
        <v>4.0</v>
      </c>
      <c r="AA23" s="6">
        <v>3.0</v>
      </c>
      <c r="AB23" s="6">
        <v>5.0</v>
      </c>
      <c r="AC23" s="6">
        <v>3.0</v>
      </c>
      <c r="AD23" s="6">
        <v>1.0</v>
      </c>
      <c r="AE23" s="6">
        <v>3.0</v>
      </c>
      <c r="AF23" s="6">
        <v>5.0</v>
      </c>
      <c r="AG23" s="6">
        <v>5.0</v>
      </c>
      <c r="AH23" s="6">
        <v>3.0</v>
      </c>
      <c r="AI23" s="6">
        <v>3.0</v>
      </c>
      <c r="AJ23" s="6">
        <v>3.0</v>
      </c>
      <c r="AK23">
        <f t="shared" si="1"/>
        <v>103</v>
      </c>
      <c r="AL23" s="9">
        <f t="shared" si="2"/>
        <v>-0.1194468961</v>
      </c>
    </row>
    <row r="24">
      <c r="A24" s="6" t="s">
        <v>90</v>
      </c>
      <c r="B24" s="6">
        <v>2.0</v>
      </c>
      <c r="C24" s="6">
        <v>1.0</v>
      </c>
      <c r="D24" s="6">
        <v>2.0</v>
      </c>
      <c r="E24" s="6">
        <v>2.0</v>
      </c>
      <c r="F24" s="6">
        <v>5.0</v>
      </c>
      <c r="G24" s="6">
        <v>3.0</v>
      </c>
      <c r="H24" s="6">
        <v>3.0</v>
      </c>
      <c r="I24" s="6">
        <v>3.0</v>
      </c>
      <c r="J24" s="6">
        <v>3.0</v>
      </c>
      <c r="K24" s="6">
        <v>3.0</v>
      </c>
      <c r="L24" s="6">
        <v>2.0</v>
      </c>
      <c r="M24" s="6">
        <v>3.0</v>
      </c>
      <c r="N24" s="6">
        <v>4.0</v>
      </c>
      <c r="O24" s="6">
        <v>3.0</v>
      </c>
      <c r="P24" s="6">
        <v>3.0</v>
      </c>
      <c r="Q24" s="6">
        <v>3.0</v>
      </c>
      <c r="R24" s="6">
        <v>3.0</v>
      </c>
      <c r="S24" s="6">
        <v>1.0</v>
      </c>
      <c r="T24" s="6">
        <v>4.0</v>
      </c>
      <c r="U24" s="6">
        <v>2.0</v>
      </c>
      <c r="V24" s="6">
        <v>2.0</v>
      </c>
      <c r="W24" s="6">
        <v>5.0</v>
      </c>
      <c r="X24" s="6">
        <v>3.0</v>
      </c>
      <c r="Y24" s="6">
        <v>4.0</v>
      </c>
      <c r="Z24" s="8">
        <v>1.0</v>
      </c>
      <c r="AA24" s="6">
        <v>3.0</v>
      </c>
      <c r="AB24" s="6">
        <v>5.0</v>
      </c>
      <c r="AC24" s="6">
        <v>4.0</v>
      </c>
      <c r="AD24" s="6">
        <v>2.0</v>
      </c>
      <c r="AE24" s="6">
        <v>4.0</v>
      </c>
      <c r="AF24" s="6">
        <v>5.0</v>
      </c>
      <c r="AG24" s="6">
        <v>4.0</v>
      </c>
      <c r="AH24" s="6">
        <v>4.0</v>
      </c>
      <c r="AI24" s="6">
        <v>3.0</v>
      </c>
      <c r="AJ24" s="6">
        <v>3.0</v>
      </c>
      <c r="AK24">
        <f t="shared" si="1"/>
        <v>107</v>
      </c>
      <c r="AL24" s="9">
        <f t="shared" si="2"/>
        <v>-0.07759841405</v>
      </c>
    </row>
    <row r="25">
      <c r="A25" s="6" t="s">
        <v>91</v>
      </c>
      <c r="B25" s="6">
        <v>3.0</v>
      </c>
      <c r="C25" s="6">
        <v>5.0</v>
      </c>
      <c r="D25" s="6">
        <v>1.0</v>
      </c>
      <c r="E25" s="6">
        <v>2.0</v>
      </c>
      <c r="F25" s="6">
        <v>3.0</v>
      </c>
      <c r="G25" s="6">
        <v>3.0</v>
      </c>
      <c r="H25" s="6">
        <v>2.0</v>
      </c>
      <c r="I25" s="6">
        <v>3.0</v>
      </c>
      <c r="J25" s="6">
        <v>3.0</v>
      </c>
      <c r="K25" s="6">
        <v>4.0</v>
      </c>
      <c r="L25" s="6">
        <v>3.0</v>
      </c>
      <c r="M25" s="6">
        <v>2.0</v>
      </c>
      <c r="N25" s="6">
        <v>4.0</v>
      </c>
      <c r="O25" s="6">
        <v>3.0</v>
      </c>
      <c r="P25" s="6">
        <v>4.0</v>
      </c>
      <c r="Q25" s="6">
        <v>3.0</v>
      </c>
      <c r="R25" s="6">
        <v>1.0</v>
      </c>
      <c r="S25" s="6">
        <v>2.0</v>
      </c>
      <c r="T25" s="6">
        <v>3.0</v>
      </c>
      <c r="U25" s="6">
        <v>2.0</v>
      </c>
      <c r="V25" s="6">
        <v>2.0</v>
      </c>
      <c r="W25" s="6">
        <v>3.0</v>
      </c>
      <c r="X25" s="6">
        <v>2.0</v>
      </c>
      <c r="Y25" s="6">
        <v>4.0</v>
      </c>
      <c r="Z25" s="6">
        <v>2.0</v>
      </c>
      <c r="AA25" s="8">
        <v>1.0</v>
      </c>
      <c r="AB25" s="6">
        <v>3.0</v>
      </c>
      <c r="AC25" s="6">
        <v>3.0</v>
      </c>
      <c r="AD25" s="6">
        <v>2.0</v>
      </c>
      <c r="AE25" s="6">
        <v>5.0</v>
      </c>
      <c r="AF25" s="6">
        <v>3.0</v>
      </c>
      <c r="AG25" s="6">
        <v>5.0</v>
      </c>
      <c r="AH25" s="6">
        <v>5.0</v>
      </c>
      <c r="AI25" s="6">
        <v>3.0</v>
      </c>
      <c r="AJ25" s="6">
        <v>4.0</v>
      </c>
      <c r="AK25">
        <f t="shared" si="1"/>
        <v>103</v>
      </c>
      <c r="AL25" s="9">
        <f t="shared" si="2"/>
        <v>-0.1194468961</v>
      </c>
    </row>
    <row r="26">
      <c r="A26" s="6" t="s">
        <v>92</v>
      </c>
      <c r="B26" s="6">
        <v>3.0</v>
      </c>
      <c r="C26" s="6">
        <v>1.0</v>
      </c>
      <c r="D26" s="6">
        <v>2.0</v>
      </c>
      <c r="E26" s="6">
        <v>3.0</v>
      </c>
      <c r="F26" s="6">
        <v>4.0</v>
      </c>
      <c r="G26" s="6">
        <v>3.0</v>
      </c>
      <c r="H26" s="6">
        <v>4.0</v>
      </c>
      <c r="I26" s="6">
        <v>3.0</v>
      </c>
      <c r="J26" s="6">
        <v>4.0</v>
      </c>
      <c r="K26" s="6">
        <v>5.0</v>
      </c>
      <c r="L26" s="6">
        <v>4.0</v>
      </c>
      <c r="M26" s="6">
        <v>3.0</v>
      </c>
      <c r="N26" s="6">
        <v>3.0</v>
      </c>
      <c r="O26" s="6">
        <v>3.0</v>
      </c>
      <c r="P26" s="6">
        <v>3.0</v>
      </c>
      <c r="Q26" s="6">
        <v>3.0</v>
      </c>
      <c r="R26" s="6">
        <v>3.0</v>
      </c>
      <c r="S26" s="6">
        <v>1.0</v>
      </c>
      <c r="T26" s="6">
        <v>4.0</v>
      </c>
      <c r="U26" s="6">
        <v>2.0</v>
      </c>
      <c r="V26" s="6">
        <v>2.0</v>
      </c>
      <c r="W26" s="6">
        <v>5.0</v>
      </c>
      <c r="X26" s="6">
        <v>4.0</v>
      </c>
      <c r="Y26" s="6">
        <v>3.0</v>
      </c>
      <c r="Z26" s="6">
        <v>5.0</v>
      </c>
      <c r="AA26" s="6">
        <v>3.0</v>
      </c>
      <c r="AB26" s="8">
        <v>1.0</v>
      </c>
      <c r="AC26" s="6">
        <v>5.0</v>
      </c>
      <c r="AD26" s="6">
        <v>2.0</v>
      </c>
      <c r="AE26" s="6">
        <v>4.0</v>
      </c>
      <c r="AF26" s="6">
        <v>5.0</v>
      </c>
      <c r="AG26" s="6">
        <v>3.0</v>
      </c>
      <c r="AH26" s="6">
        <v>4.0</v>
      </c>
      <c r="AI26" s="6">
        <v>3.0</v>
      </c>
      <c r="AJ26" s="6">
        <v>3.0</v>
      </c>
      <c r="AK26">
        <f t="shared" si="1"/>
        <v>113</v>
      </c>
      <c r="AL26" s="9">
        <f t="shared" si="2"/>
        <v>-0.02038079914</v>
      </c>
    </row>
    <row r="27">
      <c r="A27" s="6" t="s">
        <v>93</v>
      </c>
      <c r="B27" s="6">
        <v>2.0</v>
      </c>
      <c r="C27" s="6">
        <v>1.0</v>
      </c>
      <c r="D27" s="6">
        <v>3.0</v>
      </c>
      <c r="E27" s="6">
        <v>2.0</v>
      </c>
      <c r="F27" s="6">
        <v>3.0</v>
      </c>
      <c r="G27" s="6">
        <v>4.0</v>
      </c>
      <c r="H27" s="6">
        <v>4.0</v>
      </c>
      <c r="I27" s="6">
        <v>3.0</v>
      </c>
      <c r="J27" s="6">
        <v>1.0</v>
      </c>
      <c r="K27" s="6">
        <v>3.0</v>
      </c>
      <c r="L27" s="6">
        <v>4.0</v>
      </c>
      <c r="M27" s="6">
        <v>2.0</v>
      </c>
      <c r="N27" s="6">
        <v>3.0</v>
      </c>
      <c r="O27" s="6">
        <v>3.0</v>
      </c>
      <c r="P27" s="6">
        <v>5.0</v>
      </c>
      <c r="Q27" s="6">
        <v>4.0</v>
      </c>
      <c r="R27" s="6">
        <v>3.0</v>
      </c>
      <c r="S27" s="6">
        <v>1.0</v>
      </c>
      <c r="T27" s="6">
        <v>5.0</v>
      </c>
      <c r="U27" s="6">
        <v>3.0</v>
      </c>
      <c r="V27" s="6">
        <v>3.0</v>
      </c>
      <c r="W27" s="6">
        <v>5.0</v>
      </c>
      <c r="X27" s="6">
        <v>3.0</v>
      </c>
      <c r="Y27" s="6">
        <v>4.0</v>
      </c>
      <c r="Z27" s="6">
        <v>4.0</v>
      </c>
      <c r="AA27" s="6">
        <v>4.0</v>
      </c>
      <c r="AB27" s="6">
        <v>5.0</v>
      </c>
      <c r="AC27" s="8">
        <v>1.0</v>
      </c>
      <c r="AD27" s="6">
        <v>2.0</v>
      </c>
      <c r="AE27" s="6">
        <v>3.0</v>
      </c>
      <c r="AF27" s="6">
        <v>4.0</v>
      </c>
      <c r="AG27" s="6">
        <v>3.0</v>
      </c>
      <c r="AH27" s="6">
        <v>4.0</v>
      </c>
      <c r="AI27" s="6">
        <v>3.0</v>
      </c>
      <c r="AJ27" s="6">
        <v>3.0</v>
      </c>
      <c r="AK27">
        <f t="shared" si="1"/>
        <v>110</v>
      </c>
      <c r="AL27" s="9">
        <f t="shared" si="2"/>
        <v>-0.04820936639</v>
      </c>
    </row>
    <row r="28">
      <c r="A28" s="6" t="s">
        <v>94</v>
      </c>
      <c r="B28" s="6">
        <v>4.0</v>
      </c>
      <c r="C28" s="6">
        <v>2.0</v>
      </c>
      <c r="D28" s="6">
        <v>3.0</v>
      </c>
      <c r="E28" s="6">
        <v>3.0</v>
      </c>
      <c r="F28" s="6">
        <v>5.0</v>
      </c>
      <c r="G28" s="6">
        <v>4.0</v>
      </c>
      <c r="H28" s="6">
        <v>4.0</v>
      </c>
      <c r="I28" s="6">
        <v>4.0</v>
      </c>
      <c r="J28" s="6">
        <v>3.0</v>
      </c>
      <c r="K28" s="6">
        <v>4.0</v>
      </c>
      <c r="L28" s="6">
        <v>4.0</v>
      </c>
      <c r="M28" s="6">
        <v>3.0</v>
      </c>
      <c r="N28" s="6">
        <v>3.0</v>
      </c>
      <c r="O28" s="6">
        <v>5.0</v>
      </c>
      <c r="P28" s="6">
        <v>4.0</v>
      </c>
      <c r="Q28" s="6">
        <v>3.0</v>
      </c>
      <c r="R28" s="6">
        <v>2.0</v>
      </c>
      <c r="S28" s="6">
        <v>3.0</v>
      </c>
      <c r="T28" s="6">
        <v>4.0</v>
      </c>
      <c r="U28" s="6">
        <v>2.0</v>
      </c>
      <c r="V28" s="6">
        <v>3.0</v>
      </c>
      <c r="W28" s="6">
        <v>5.0</v>
      </c>
      <c r="X28" s="6">
        <v>4.0</v>
      </c>
      <c r="Y28" s="6">
        <v>4.0</v>
      </c>
      <c r="Z28" s="6">
        <v>5.0</v>
      </c>
      <c r="AA28" s="6">
        <v>3.0</v>
      </c>
      <c r="AB28" s="6">
        <v>5.0</v>
      </c>
      <c r="AC28" s="6">
        <v>4.0</v>
      </c>
      <c r="AD28" s="8">
        <v>1.0</v>
      </c>
      <c r="AE28" s="6">
        <v>3.0</v>
      </c>
      <c r="AF28" s="6">
        <v>5.0</v>
      </c>
      <c r="AG28" s="6">
        <v>5.0</v>
      </c>
      <c r="AH28" s="6">
        <v>4.0</v>
      </c>
      <c r="AI28" s="6">
        <v>4.0</v>
      </c>
      <c r="AJ28" s="6">
        <v>5.0</v>
      </c>
      <c r="AK28">
        <f t="shared" si="1"/>
        <v>129</v>
      </c>
      <c r="AL28" s="9">
        <f t="shared" si="2"/>
        <v>0.1061780597</v>
      </c>
    </row>
    <row r="29">
      <c r="A29" s="6" t="s">
        <v>95</v>
      </c>
      <c r="B29" s="6">
        <v>3.0</v>
      </c>
      <c r="C29" s="6">
        <v>1.0</v>
      </c>
      <c r="D29" s="6">
        <v>1.0</v>
      </c>
      <c r="E29" s="6">
        <v>1.0</v>
      </c>
      <c r="F29" s="6">
        <v>1.0</v>
      </c>
      <c r="G29" s="6">
        <v>1.0</v>
      </c>
      <c r="H29" s="6">
        <v>3.0</v>
      </c>
      <c r="I29" s="6">
        <v>1.0</v>
      </c>
      <c r="J29" s="6">
        <v>1.0</v>
      </c>
      <c r="K29" s="6">
        <v>1.0</v>
      </c>
      <c r="L29" s="6">
        <v>4.0</v>
      </c>
      <c r="M29" s="6">
        <v>1.0</v>
      </c>
      <c r="N29" s="6">
        <v>1.0</v>
      </c>
      <c r="O29" s="6">
        <v>1.0</v>
      </c>
      <c r="P29" s="6">
        <v>1.0</v>
      </c>
      <c r="Q29" s="6">
        <v>1.0</v>
      </c>
      <c r="R29" s="6">
        <v>1.0</v>
      </c>
      <c r="S29" s="6">
        <v>1.0</v>
      </c>
      <c r="T29" s="6">
        <v>1.0</v>
      </c>
      <c r="U29" s="6">
        <v>1.0</v>
      </c>
      <c r="V29" s="6">
        <v>1.0</v>
      </c>
      <c r="W29" s="6">
        <v>5.0</v>
      </c>
      <c r="X29" s="6">
        <v>1.0</v>
      </c>
      <c r="Y29" s="6">
        <v>3.0</v>
      </c>
      <c r="Z29" s="6">
        <v>1.0</v>
      </c>
      <c r="AA29" s="6">
        <v>1.0</v>
      </c>
      <c r="AB29" s="6">
        <v>5.0</v>
      </c>
      <c r="AC29" s="6">
        <v>1.0</v>
      </c>
      <c r="AD29" s="6">
        <v>1.0</v>
      </c>
      <c r="AE29" s="8">
        <v>1.0</v>
      </c>
      <c r="AF29" s="6">
        <v>5.0</v>
      </c>
      <c r="AG29" s="6">
        <v>5.0</v>
      </c>
      <c r="AH29" s="6">
        <v>5.0</v>
      </c>
      <c r="AI29" s="6">
        <v>1.0</v>
      </c>
      <c r="AJ29" s="6">
        <v>3.0</v>
      </c>
      <c r="AK29">
        <f t="shared" si="1"/>
        <v>66</v>
      </c>
      <c r="AL29" s="9">
        <f t="shared" si="2"/>
        <v>-0.7470156107</v>
      </c>
    </row>
    <row r="30">
      <c r="A30" s="6" t="s">
        <v>96</v>
      </c>
      <c r="B30" s="6">
        <v>3.0</v>
      </c>
      <c r="C30" s="6">
        <v>1.0</v>
      </c>
      <c r="D30" s="6">
        <v>2.0</v>
      </c>
      <c r="E30" s="6">
        <v>2.0</v>
      </c>
      <c r="F30" s="6">
        <v>5.0</v>
      </c>
      <c r="G30" s="6">
        <v>3.0</v>
      </c>
      <c r="H30" s="6">
        <v>3.0</v>
      </c>
      <c r="I30" s="6">
        <v>4.0</v>
      </c>
      <c r="J30" s="6">
        <v>3.0</v>
      </c>
      <c r="K30" s="6">
        <v>3.0</v>
      </c>
      <c r="L30" s="6">
        <v>3.0</v>
      </c>
      <c r="M30" s="6">
        <v>3.0</v>
      </c>
      <c r="N30" s="6">
        <v>5.0</v>
      </c>
      <c r="O30" s="6">
        <v>3.0</v>
      </c>
      <c r="P30" s="6">
        <v>3.0</v>
      </c>
      <c r="Q30" s="6">
        <v>3.0</v>
      </c>
      <c r="R30" s="6">
        <v>3.0</v>
      </c>
      <c r="S30" s="6">
        <v>2.0</v>
      </c>
      <c r="T30" s="6">
        <v>4.0</v>
      </c>
      <c r="U30" s="6">
        <v>2.0</v>
      </c>
      <c r="V30" s="6">
        <v>2.0</v>
      </c>
      <c r="W30" s="6">
        <v>5.0</v>
      </c>
      <c r="X30" s="6">
        <v>3.0</v>
      </c>
      <c r="Y30" s="6">
        <v>5.0</v>
      </c>
      <c r="Z30" s="6">
        <v>5.0</v>
      </c>
      <c r="AA30" s="6">
        <v>3.0</v>
      </c>
      <c r="AB30" s="6">
        <v>5.0</v>
      </c>
      <c r="AC30" s="6">
        <v>5.0</v>
      </c>
      <c r="AD30" s="6">
        <v>2.0</v>
      </c>
      <c r="AE30" s="6">
        <v>4.0</v>
      </c>
      <c r="AF30" s="8">
        <v>1.0</v>
      </c>
      <c r="AG30" s="6">
        <v>5.0</v>
      </c>
      <c r="AH30" s="6">
        <v>4.0</v>
      </c>
      <c r="AI30" s="6">
        <v>3.0</v>
      </c>
      <c r="AJ30" s="6">
        <v>4.0</v>
      </c>
      <c r="AK30">
        <f t="shared" si="1"/>
        <v>116</v>
      </c>
      <c r="AL30" s="9">
        <f t="shared" si="2"/>
        <v>0.006008359457</v>
      </c>
    </row>
    <row r="31">
      <c r="A31" s="6" t="s">
        <v>97</v>
      </c>
      <c r="B31" s="6">
        <v>3.0</v>
      </c>
      <c r="C31" s="6">
        <v>1.0</v>
      </c>
      <c r="D31" s="6">
        <v>3.0</v>
      </c>
      <c r="E31" s="6">
        <v>3.0</v>
      </c>
      <c r="F31" s="6">
        <v>4.0</v>
      </c>
      <c r="G31" s="6">
        <v>4.0</v>
      </c>
      <c r="H31" s="6">
        <v>4.0</v>
      </c>
      <c r="I31" s="6">
        <v>4.0</v>
      </c>
      <c r="J31" s="6">
        <v>3.0</v>
      </c>
      <c r="K31" s="6">
        <v>3.0</v>
      </c>
      <c r="L31" s="6">
        <v>4.0</v>
      </c>
      <c r="M31" s="6">
        <v>3.0</v>
      </c>
      <c r="N31" s="6">
        <v>4.0</v>
      </c>
      <c r="O31" s="6">
        <v>4.0</v>
      </c>
      <c r="P31" s="6">
        <v>3.0</v>
      </c>
      <c r="Q31" s="6">
        <v>4.0</v>
      </c>
      <c r="R31" s="6">
        <v>3.0</v>
      </c>
      <c r="S31" s="6">
        <v>3.0</v>
      </c>
      <c r="T31" s="6">
        <v>5.0</v>
      </c>
      <c r="U31" s="6">
        <v>3.0</v>
      </c>
      <c r="V31" s="6">
        <v>3.0</v>
      </c>
      <c r="W31" s="6">
        <v>4.0</v>
      </c>
      <c r="X31" s="6">
        <v>4.0</v>
      </c>
      <c r="Y31" s="6">
        <v>4.0</v>
      </c>
      <c r="Z31" s="6">
        <v>4.0</v>
      </c>
      <c r="AA31" s="6">
        <v>3.0</v>
      </c>
      <c r="AB31" s="6">
        <v>5.0</v>
      </c>
      <c r="AC31" s="6">
        <v>4.0</v>
      </c>
      <c r="AD31" s="6">
        <v>3.0</v>
      </c>
      <c r="AE31" s="6">
        <v>4.0</v>
      </c>
      <c r="AF31" s="6">
        <v>5.0</v>
      </c>
      <c r="AG31" s="8">
        <v>1.0</v>
      </c>
      <c r="AH31" s="6">
        <v>4.0</v>
      </c>
      <c r="AI31" s="6">
        <v>4.0</v>
      </c>
      <c r="AJ31" s="6">
        <v>4.0</v>
      </c>
      <c r="AK31">
        <f t="shared" si="1"/>
        <v>124</v>
      </c>
      <c r="AL31" s="9">
        <f t="shared" si="2"/>
        <v>0.07013685239</v>
      </c>
    </row>
    <row r="32">
      <c r="A32" s="6" t="s">
        <v>98</v>
      </c>
      <c r="B32" s="6">
        <v>3.0</v>
      </c>
      <c r="C32" s="6">
        <v>1.0</v>
      </c>
      <c r="D32" s="6">
        <v>2.0</v>
      </c>
      <c r="E32" s="6">
        <v>2.0</v>
      </c>
      <c r="F32" s="6">
        <v>4.0</v>
      </c>
      <c r="G32" s="6">
        <v>3.0</v>
      </c>
      <c r="H32" s="6">
        <v>3.0</v>
      </c>
      <c r="I32" s="6">
        <v>3.0</v>
      </c>
      <c r="J32" s="6">
        <v>3.0</v>
      </c>
      <c r="K32" s="6">
        <v>5.0</v>
      </c>
      <c r="L32" s="6">
        <v>4.0</v>
      </c>
      <c r="M32" s="6">
        <v>4.0</v>
      </c>
      <c r="N32" s="6">
        <v>4.0</v>
      </c>
      <c r="O32" s="6">
        <v>4.0</v>
      </c>
      <c r="P32" s="6">
        <v>4.0</v>
      </c>
      <c r="Q32" s="6">
        <v>4.0</v>
      </c>
      <c r="R32" s="6">
        <v>3.0</v>
      </c>
      <c r="S32" s="6">
        <v>1.0</v>
      </c>
      <c r="T32" s="6">
        <v>4.0</v>
      </c>
      <c r="U32" s="6">
        <v>4.0</v>
      </c>
      <c r="V32" s="6">
        <v>4.0</v>
      </c>
      <c r="W32" s="6">
        <v>5.0</v>
      </c>
      <c r="X32" s="6">
        <v>4.0</v>
      </c>
      <c r="Y32" s="6">
        <v>4.0</v>
      </c>
      <c r="Z32" s="6">
        <v>5.0</v>
      </c>
      <c r="AA32" s="6">
        <v>3.0</v>
      </c>
      <c r="AB32" s="6">
        <v>5.0</v>
      </c>
      <c r="AC32" s="6">
        <v>5.0</v>
      </c>
      <c r="AD32" s="6">
        <v>2.0</v>
      </c>
      <c r="AE32" s="6">
        <v>5.0</v>
      </c>
      <c r="AF32" s="6">
        <v>5.0</v>
      </c>
      <c r="AG32" s="6">
        <v>4.0</v>
      </c>
      <c r="AH32" s="8">
        <v>1.0</v>
      </c>
      <c r="AI32" s="6">
        <v>4.0</v>
      </c>
      <c r="AJ32" s="6">
        <v>4.0</v>
      </c>
      <c r="AK32">
        <f t="shared" si="1"/>
        <v>125</v>
      </c>
      <c r="AL32" s="9">
        <f t="shared" si="2"/>
        <v>0.07757575758</v>
      </c>
    </row>
    <row r="33">
      <c r="A33" s="6" t="s">
        <v>99</v>
      </c>
      <c r="B33" s="6">
        <v>5.0</v>
      </c>
      <c r="C33" s="6">
        <v>1.0</v>
      </c>
      <c r="D33" s="6">
        <v>3.0</v>
      </c>
      <c r="E33" s="6">
        <v>3.0</v>
      </c>
      <c r="F33" s="6">
        <v>3.0</v>
      </c>
      <c r="G33" s="6">
        <v>3.0</v>
      </c>
      <c r="H33" s="6">
        <v>4.0</v>
      </c>
      <c r="I33" s="6">
        <v>3.0</v>
      </c>
      <c r="J33" s="6">
        <v>3.0</v>
      </c>
      <c r="K33" s="6">
        <v>4.0</v>
      </c>
      <c r="L33" s="6">
        <v>4.0</v>
      </c>
      <c r="M33" s="6">
        <v>3.0</v>
      </c>
      <c r="N33" s="6">
        <v>4.0</v>
      </c>
      <c r="O33" s="6">
        <v>3.0</v>
      </c>
      <c r="P33" s="6">
        <v>3.0</v>
      </c>
      <c r="Q33" s="6">
        <v>4.0</v>
      </c>
      <c r="R33" s="6">
        <v>3.0</v>
      </c>
      <c r="S33" s="6">
        <v>1.0</v>
      </c>
      <c r="T33" s="6">
        <v>4.0</v>
      </c>
      <c r="U33" s="6">
        <v>3.0</v>
      </c>
      <c r="V33" s="6">
        <v>3.0</v>
      </c>
      <c r="W33" s="6">
        <v>4.0</v>
      </c>
      <c r="X33" s="6">
        <v>3.0</v>
      </c>
      <c r="Y33" s="6">
        <v>4.0</v>
      </c>
      <c r="Z33" s="6">
        <v>5.0</v>
      </c>
      <c r="AA33" s="6">
        <v>4.0</v>
      </c>
      <c r="AB33" s="6">
        <v>4.0</v>
      </c>
      <c r="AC33" s="6">
        <v>5.0</v>
      </c>
      <c r="AD33" s="6">
        <v>3.0</v>
      </c>
      <c r="AE33" s="6">
        <v>4.0</v>
      </c>
      <c r="AF33" s="6">
        <v>5.0</v>
      </c>
      <c r="AG33" s="6">
        <v>5.0</v>
      </c>
      <c r="AH33" s="6">
        <v>4.0</v>
      </c>
      <c r="AI33" s="8">
        <v>1.0</v>
      </c>
      <c r="AJ33" s="6">
        <v>4.0</v>
      </c>
      <c r="AK33">
        <f t="shared" si="1"/>
        <v>122</v>
      </c>
      <c r="AL33" s="9">
        <f t="shared" si="2"/>
        <v>0.05489319424</v>
      </c>
    </row>
    <row r="34">
      <c r="A34" s="6" t="s">
        <v>100</v>
      </c>
      <c r="B34" s="6">
        <v>4.0</v>
      </c>
      <c r="C34" s="6">
        <v>1.0</v>
      </c>
      <c r="D34" s="6">
        <v>3.0</v>
      </c>
      <c r="E34" s="6">
        <v>2.0</v>
      </c>
      <c r="F34" s="6">
        <v>5.0</v>
      </c>
      <c r="G34" s="6">
        <v>3.0</v>
      </c>
      <c r="H34" s="6">
        <v>4.0</v>
      </c>
      <c r="I34" s="6">
        <v>4.0</v>
      </c>
      <c r="J34" s="6">
        <v>3.0</v>
      </c>
      <c r="K34" s="6">
        <v>4.0</v>
      </c>
      <c r="L34" s="6">
        <v>5.0</v>
      </c>
      <c r="M34" s="6">
        <v>3.0</v>
      </c>
      <c r="N34" s="6">
        <v>5.0</v>
      </c>
      <c r="O34" s="6">
        <v>4.0</v>
      </c>
      <c r="P34" s="6">
        <v>4.0</v>
      </c>
      <c r="Q34" s="6">
        <v>4.0</v>
      </c>
      <c r="R34" s="6">
        <v>3.0</v>
      </c>
      <c r="S34" s="6">
        <v>1.0</v>
      </c>
      <c r="T34" s="6">
        <v>4.0</v>
      </c>
      <c r="U34" s="6">
        <v>3.0</v>
      </c>
      <c r="V34" s="6">
        <v>2.0</v>
      </c>
      <c r="W34" s="6">
        <v>5.0</v>
      </c>
      <c r="X34" s="6">
        <v>3.0</v>
      </c>
      <c r="Y34" s="6">
        <v>5.0</v>
      </c>
      <c r="Z34" s="6">
        <v>5.0</v>
      </c>
      <c r="AA34" s="6">
        <v>4.0</v>
      </c>
      <c r="AB34" s="6">
        <v>5.0</v>
      </c>
      <c r="AC34" s="6">
        <v>4.0</v>
      </c>
      <c r="AD34" s="6">
        <v>3.0</v>
      </c>
      <c r="AE34" s="6">
        <v>4.0</v>
      </c>
      <c r="AF34" s="6">
        <v>4.0</v>
      </c>
      <c r="AG34" s="6">
        <v>4.0</v>
      </c>
      <c r="AH34" s="6">
        <v>5.0</v>
      </c>
      <c r="AI34" s="6">
        <v>4.0</v>
      </c>
      <c r="AJ34" s="8">
        <v>1.0</v>
      </c>
      <c r="AK34">
        <f t="shared" si="1"/>
        <v>127</v>
      </c>
      <c r="AL34" s="9">
        <f t="shared" si="2"/>
        <v>0.0921021236</v>
      </c>
    </row>
    <row r="35">
      <c r="A35" s="11" t="s">
        <v>1</v>
      </c>
      <c r="B35">
        <f t="shared" ref="B35:AJ35" si="3">SUM(B2:B34)</f>
        <v>103</v>
      </c>
      <c r="C35">
        <f t="shared" si="3"/>
        <v>49</v>
      </c>
      <c r="D35">
        <f t="shared" si="3"/>
        <v>79</v>
      </c>
      <c r="E35">
        <f t="shared" si="3"/>
        <v>77</v>
      </c>
      <c r="F35">
        <f t="shared" si="3"/>
        <v>123</v>
      </c>
      <c r="G35">
        <f t="shared" si="3"/>
        <v>104</v>
      </c>
      <c r="H35">
        <f t="shared" si="3"/>
        <v>108</v>
      </c>
      <c r="I35">
        <f t="shared" si="3"/>
        <v>106</v>
      </c>
      <c r="J35">
        <f t="shared" si="3"/>
        <v>102</v>
      </c>
      <c r="K35">
        <f t="shared" si="3"/>
        <v>123</v>
      </c>
      <c r="L35">
        <f t="shared" si="3"/>
        <v>120</v>
      </c>
      <c r="M35">
        <f t="shared" si="3"/>
        <v>93</v>
      </c>
      <c r="N35">
        <f t="shared" si="3"/>
        <v>117</v>
      </c>
      <c r="O35">
        <f t="shared" si="3"/>
        <v>114</v>
      </c>
      <c r="P35">
        <f t="shared" si="3"/>
        <v>108</v>
      </c>
      <c r="Q35">
        <f t="shared" si="3"/>
        <v>114</v>
      </c>
      <c r="R35">
        <f t="shared" si="3"/>
        <v>92</v>
      </c>
      <c r="S35">
        <f t="shared" si="3"/>
        <v>53</v>
      </c>
      <c r="T35">
        <f t="shared" si="3"/>
        <v>126</v>
      </c>
      <c r="U35">
        <f t="shared" si="3"/>
        <v>86</v>
      </c>
      <c r="V35">
        <f t="shared" si="3"/>
        <v>95</v>
      </c>
      <c r="W35">
        <f t="shared" si="3"/>
        <v>146</v>
      </c>
      <c r="X35">
        <f t="shared" si="3"/>
        <v>107</v>
      </c>
      <c r="Y35">
        <f t="shared" si="3"/>
        <v>131</v>
      </c>
      <c r="Z35">
        <f t="shared" si="3"/>
        <v>123</v>
      </c>
      <c r="AA35">
        <f t="shared" si="3"/>
        <v>102</v>
      </c>
      <c r="AB35">
        <f t="shared" si="3"/>
        <v>145</v>
      </c>
      <c r="AC35">
        <f t="shared" si="3"/>
        <v>127</v>
      </c>
      <c r="AD35">
        <f t="shared" si="3"/>
        <v>84</v>
      </c>
      <c r="AE35">
        <f t="shared" si="3"/>
        <v>124</v>
      </c>
      <c r="AF35">
        <f t="shared" si="3"/>
        <v>140</v>
      </c>
      <c r="AG35">
        <f t="shared" si="3"/>
        <v>130</v>
      </c>
      <c r="AH35">
        <f t="shared" si="3"/>
        <v>128</v>
      </c>
      <c r="AI35">
        <f t="shared" si="3"/>
        <v>111</v>
      </c>
      <c r="AJ35">
        <f t="shared" si="3"/>
        <v>115</v>
      </c>
      <c r="AK35" s="12" t="s">
        <v>101</v>
      </c>
      <c r="AL35" s="13"/>
    </row>
    <row r="36">
      <c r="A36" s="14" t="s">
        <v>102</v>
      </c>
      <c r="B36" s="15">
        <f t="shared" ref="B36:AJ36" si="4">COUNTIF(B2:B34,5)</f>
        <v>2</v>
      </c>
      <c r="C36" s="15">
        <f t="shared" si="4"/>
        <v>1</v>
      </c>
      <c r="D36" s="15">
        <f t="shared" si="4"/>
        <v>0</v>
      </c>
      <c r="E36" s="15">
        <f t="shared" si="4"/>
        <v>0</v>
      </c>
      <c r="F36" s="15">
        <f t="shared" si="4"/>
        <v>9</v>
      </c>
      <c r="G36" s="15">
        <f t="shared" si="4"/>
        <v>1</v>
      </c>
      <c r="H36" s="15">
        <f t="shared" si="4"/>
        <v>3</v>
      </c>
      <c r="I36" s="15">
        <f t="shared" si="4"/>
        <v>2</v>
      </c>
      <c r="J36" s="15">
        <f t="shared" si="4"/>
        <v>1</v>
      </c>
      <c r="K36" s="15">
        <f t="shared" si="4"/>
        <v>4</v>
      </c>
      <c r="L36" s="15">
        <f t="shared" si="4"/>
        <v>6</v>
      </c>
      <c r="M36" s="15">
        <f t="shared" si="4"/>
        <v>0</v>
      </c>
      <c r="N36" s="15">
        <f t="shared" si="4"/>
        <v>5</v>
      </c>
      <c r="O36" s="15">
        <f t="shared" si="4"/>
        <v>4</v>
      </c>
      <c r="P36" s="15">
        <f t="shared" si="4"/>
        <v>2</v>
      </c>
      <c r="Q36" s="15">
        <f t="shared" si="4"/>
        <v>4</v>
      </c>
      <c r="R36" s="15">
        <f t="shared" si="4"/>
        <v>1</v>
      </c>
      <c r="S36" s="15">
        <f t="shared" si="4"/>
        <v>0</v>
      </c>
      <c r="T36" s="15">
        <f t="shared" si="4"/>
        <v>8</v>
      </c>
      <c r="U36" s="15">
        <f t="shared" si="4"/>
        <v>1</v>
      </c>
      <c r="V36" s="15">
        <f t="shared" si="4"/>
        <v>2</v>
      </c>
      <c r="W36" s="15">
        <f t="shared" si="4"/>
        <v>21</v>
      </c>
      <c r="X36" s="15">
        <f t="shared" si="4"/>
        <v>2</v>
      </c>
      <c r="Y36" s="15">
        <f t="shared" si="4"/>
        <v>7</v>
      </c>
      <c r="Z36" s="15">
        <f t="shared" si="4"/>
        <v>10</v>
      </c>
      <c r="AA36" s="15">
        <f t="shared" si="4"/>
        <v>2</v>
      </c>
      <c r="AB36" s="15">
        <f t="shared" si="4"/>
        <v>20</v>
      </c>
      <c r="AC36" s="15">
        <f t="shared" si="4"/>
        <v>10</v>
      </c>
      <c r="AD36" s="15">
        <f t="shared" si="4"/>
        <v>0</v>
      </c>
      <c r="AE36" s="15">
        <f t="shared" si="4"/>
        <v>8</v>
      </c>
      <c r="AF36" s="15">
        <f t="shared" si="4"/>
        <v>16</v>
      </c>
      <c r="AG36" s="15">
        <f t="shared" si="4"/>
        <v>13</v>
      </c>
      <c r="AH36" s="15">
        <f t="shared" si="4"/>
        <v>6</v>
      </c>
      <c r="AI36" s="15">
        <f t="shared" si="4"/>
        <v>2</v>
      </c>
      <c r="AJ36" s="15">
        <f t="shared" si="4"/>
        <v>4</v>
      </c>
      <c r="AK36" s="16">
        <f t="shared" ref="AK36:AK40" si="6">SUM(B36:AJ36)</f>
        <v>177</v>
      </c>
      <c r="AL36" s="17">
        <f t="shared" ref="AL36:AL40" si="7">AK36/$AK$41</f>
        <v>0.1532467532</v>
      </c>
    </row>
    <row r="37">
      <c r="A37" s="14" t="s">
        <v>103</v>
      </c>
      <c r="B37" s="15">
        <f t="shared" ref="B37:AJ37" si="5">COUNTIF(B2:B34,4)</f>
        <v>9</v>
      </c>
      <c r="C37" s="15">
        <f t="shared" si="5"/>
        <v>0</v>
      </c>
      <c r="D37" s="15">
        <f t="shared" si="5"/>
        <v>1</v>
      </c>
      <c r="E37" s="15">
        <f t="shared" si="5"/>
        <v>1</v>
      </c>
      <c r="F37" s="15">
        <f t="shared" si="5"/>
        <v>10</v>
      </c>
      <c r="G37" s="15">
        <f t="shared" si="5"/>
        <v>9</v>
      </c>
      <c r="H37" s="15">
        <f t="shared" si="5"/>
        <v>14</v>
      </c>
      <c r="I37" s="15">
        <f t="shared" si="5"/>
        <v>8</v>
      </c>
      <c r="J37" s="15">
        <f t="shared" si="5"/>
        <v>10</v>
      </c>
      <c r="K37" s="15">
        <f t="shared" si="5"/>
        <v>19</v>
      </c>
      <c r="L37" s="15">
        <f t="shared" si="5"/>
        <v>15</v>
      </c>
      <c r="M37" s="15">
        <f t="shared" si="5"/>
        <v>5</v>
      </c>
      <c r="N37" s="15">
        <f t="shared" si="5"/>
        <v>13</v>
      </c>
      <c r="O37" s="15">
        <f t="shared" si="5"/>
        <v>12</v>
      </c>
      <c r="P37" s="15">
        <f t="shared" si="5"/>
        <v>9</v>
      </c>
      <c r="Q37" s="15">
        <f t="shared" si="5"/>
        <v>12</v>
      </c>
      <c r="R37" s="15">
        <f t="shared" si="5"/>
        <v>2</v>
      </c>
      <c r="S37" s="15">
        <f t="shared" si="5"/>
        <v>2</v>
      </c>
      <c r="T37" s="15">
        <f t="shared" si="5"/>
        <v>15</v>
      </c>
      <c r="U37" s="15">
        <f t="shared" si="5"/>
        <v>5</v>
      </c>
      <c r="V37" s="15">
        <f t="shared" si="5"/>
        <v>3</v>
      </c>
      <c r="W37" s="15">
        <f t="shared" si="5"/>
        <v>9</v>
      </c>
      <c r="X37" s="15">
        <f t="shared" si="5"/>
        <v>11</v>
      </c>
      <c r="Y37" s="15">
        <f t="shared" si="5"/>
        <v>20</v>
      </c>
      <c r="Z37" s="15">
        <f t="shared" si="5"/>
        <v>10</v>
      </c>
      <c r="AA37" s="15">
        <f t="shared" si="5"/>
        <v>8</v>
      </c>
      <c r="AB37" s="15">
        <f t="shared" si="5"/>
        <v>8</v>
      </c>
      <c r="AC37" s="15">
        <f t="shared" si="5"/>
        <v>14</v>
      </c>
      <c r="AD37" s="15">
        <f t="shared" si="5"/>
        <v>3</v>
      </c>
      <c r="AE37" s="15">
        <f t="shared" si="5"/>
        <v>13</v>
      </c>
      <c r="AF37" s="15">
        <f t="shared" si="5"/>
        <v>12</v>
      </c>
      <c r="AG37" s="15">
        <f t="shared" si="5"/>
        <v>8</v>
      </c>
      <c r="AH37" s="15">
        <f t="shared" si="5"/>
        <v>19</v>
      </c>
      <c r="AI37" s="15">
        <f t="shared" si="5"/>
        <v>14</v>
      </c>
      <c r="AJ37" s="15">
        <f t="shared" si="5"/>
        <v>12</v>
      </c>
      <c r="AK37" s="16">
        <f t="shared" si="6"/>
        <v>335</v>
      </c>
      <c r="AL37" s="17">
        <f t="shared" si="7"/>
        <v>0.29004329</v>
      </c>
    </row>
    <row r="38">
      <c r="A38" s="14" t="s">
        <v>104</v>
      </c>
      <c r="B38" s="15">
        <f t="shared" ref="B38:AJ38" si="8">COUNTIF(B2:B34,3)</f>
        <v>15</v>
      </c>
      <c r="C38" s="15">
        <f t="shared" si="8"/>
        <v>2</v>
      </c>
      <c r="D38" s="15">
        <f t="shared" si="8"/>
        <v>17</v>
      </c>
      <c r="E38" s="15">
        <f t="shared" si="8"/>
        <v>12</v>
      </c>
      <c r="F38" s="15">
        <f t="shared" si="8"/>
        <v>12</v>
      </c>
      <c r="G38" s="15">
        <f t="shared" si="8"/>
        <v>19</v>
      </c>
      <c r="H38" s="15">
        <f t="shared" si="8"/>
        <v>8</v>
      </c>
      <c r="I38" s="15">
        <f t="shared" si="8"/>
        <v>20</v>
      </c>
      <c r="J38" s="15">
        <f t="shared" si="8"/>
        <v>16</v>
      </c>
      <c r="K38" s="15">
        <f t="shared" si="8"/>
        <v>8</v>
      </c>
      <c r="L38" s="15">
        <f t="shared" si="8"/>
        <v>8</v>
      </c>
      <c r="M38" s="15">
        <f t="shared" si="8"/>
        <v>19</v>
      </c>
      <c r="N38" s="15">
        <f t="shared" si="8"/>
        <v>12</v>
      </c>
      <c r="O38" s="15">
        <f t="shared" si="8"/>
        <v>14</v>
      </c>
      <c r="P38" s="15">
        <f t="shared" si="8"/>
        <v>20</v>
      </c>
      <c r="Q38" s="15">
        <f t="shared" si="8"/>
        <v>14</v>
      </c>
      <c r="R38" s="15">
        <f t="shared" si="8"/>
        <v>22</v>
      </c>
      <c r="S38" s="15">
        <f t="shared" si="8"/>
        <v>5</v>
      </c>
      <c r="T38" s="15">
        <f t="shared" si="8"/>
        <v>8</v>
      </c>
      <c r="U38" s="15">
        <f t="shared" si="8"/>
        <v>12</v>
      </c>
      <c r="V38" s="15">
        <f t="shared" si="8"/>
        <v>19</v>
      </c>
      <c r="W38" s="15">
        <f t="shared" si="8"/>
        <v>1</v>
      </c>
      <c r="X38" s="15">
        <f t="shared" si="8"/>
        <v>15</v>
      </c>
      <c r="Y38" s="15">
        <f t="shared" si="8"/>
        <v>5</v>
      </c>
      <c r="Z38" s="15">
        <f t="shared" si="8"/>
        <v>9</v>
      </c>
      <c r="AA38" s="15">
        <f t="shared" si="8"/>
        <v>17</v>
      </c>
      <c r="AB38" s="15">
        <f t="shared" si="8"/>
        <v>4</v>
      </c>
      <c r="AC38" s="15">
        <f t="shared" si="8"/>
        <v>5</v>
      </c>
      <c r="AD38" s="15">
        <f t="shared" si="8"/>
        <v>15</v>
      </c>
      <c r="AE38" s="15">
        <f t="shared" si="8"/>
        <v>9</v>
      </c>
      <c r="AF38" s="15">
        <f t="shared" si="8"/>
        <v>3</v>
      </c>
      <c r="AG38" s="15">
        <f t="shared" si="8"/>
        <v>10</v>
      </c>
      <c r="AH38" s="15">
        <f t="shared" si="8"/>
        <v>7</v>
      </c>
      <c r="AI38" s="15">
        <f t="shared" si="8"/>
        <v>13</v>
      </c>
      <c r="AJ38" s="15">
        <f t="shared" si="8"/>
        <v>15</v>
      </c>
      <c r="AK38" s="16">
        <f t="shared" si="6"/>
        <v>410</v>
      </c>
      <c r="AL38" s="17">
        <f t="shared" si="7"/>
        <v>0.354978355</v>
      </c>
    </row>
    <row r="39">
      <c r="A39" s="14" t="s">
        <v>105</v>
      </c>
      <c r="B39" s="15">
        <f t="shared" ref="B39:AJ39" si="9">COUNTIF(B2:B34,2)</f>
        <v>5</v>
      </c>
      <c r="C39" s="15">
        <f t="shared" si="9"/>
        <v>8</v>
      </c>
      <c r="D39" s="15">
        <f t="shared" si="9"/>
        <v>9</v>
      </c>
      <c r="E39" s="15">
        <f t="shared" si="9"/>
        <v>17</v>
      </c>
      <c r="F39" s="15">
        <f t="shared" si="9"/>
        <v>0</v>
      </c>
      <c r="G39" s="15">
        <f t="shared" si="9"/>
        <v>2</v>
      </c>
      <c r="H39" s="15">
        <f t="shared" si="9"/>
        <v>5</v>
      </c>
      <c r="I39" s="15">
        <f t="shared" si="9"/>
        <v>1</v>
      </c>
      <c r="J39" s="15">
        <f t="shared" si="9"/>
        <v>3</v>
      </c>
      <c r="K39" s="15">
        <f t="shared" si="9"/>
        <v>1</v>
      </c>
      <c r="L39" s="15">
        <f t="shared" si="9"/>
        <v>2</v>
      </c>
      <c r="M39" s="15">
        <f t="shared" si="9"/>
        <v>7</v>
      </c>
      <c r="N39" s="15">
        <f t="shared" si="9"/>
        <v>1</v>
      </c>
      <c r="O39" s="15">
        <f t="shared" si="9"/>
        <v>1</v>
      </c>
      <c r="P39" s="15">
        <f t="shared" si="9"/>
        <v>0</v>
      </c>
      <c r="Q39" s="15">
        <f t="shared" si="9"/>
        <v>1</v>
      </c>
      <c r="R39" s="15">
        <f t="shared" si="9"/>
        <v>5</v>
      </c>
      <c r="S39" s="15">
        <f t="shared" si="9"/>
        <v>4</v>
      </c>
      <c r="T39" s="15">
        <f t="shared" si="9"/>
        <v>0</v>
      </c>
      <c r="U39" s="15">
        <f t="shared" si="9"/>
        <v>10</v>
      </c>
      <c r="V39" s="15">
        <f t="shared" si="9"/>
        <v>7</v>
      </c>
      <c r="W39" s="15">
        <f t="shared" si="9"/>
        <v>0</v>
      </c>
      <c r="X39" s="15">
        <f t="shared" si="9"/>
        <v>3</v>
      </c>
      <c r="Y39" s="15">
        <f t="shared" si="9"/>
        <v>0</v>
      </c>
      <c r="Z39" s="15">
        <f t="shared" si="9"/>
        <v>2</v>
      </c>
      <c r="AA39" s="15">
        <f t="shared" si="9"/>
        <v>3</v>
      </c>
      <c r="AB39" s="15">
        <f t="shared" si="9"/>
        <v>0</v>
      </c>
      <c r="AC39" s="15">
        <f t="shared" si="9"/>
        <v>2</v>
      </c>
      <c r="AD39" s="15">
        <f t="shared" si="9"/>
        <v>12</v>
      </c>
      <c r="AE39" s="15">
        <f t="shared" si="9"/>
        <v>2</v>
      </c>
      <c r="AF39" s="15">
        <f t="shared" si="9"/>
        <v>1</v>
      </c>
      <c r="AG39" s="15">
        <f t="shared" si="9"/>
        <v>1</v>
      </c>
      <c r="AH39" s="15">
        <f t="shared" si="9"/>
        <v>0</v>
      </c>
      <c r="AI39" s="15">
        <f t="shared" si="9"/>
        <v>2</v>
      </c>
      <c r="AJ39" s="15">
        <f t="shared" si="9"/>
        <v>0</v>
      </c>
      <c r="AK39" s="16">
        <f t="shared" si="6"/>
        <v>117</v>
      </c>
      <c r="AL39" s="17">
        <f t="shared" si="7"/>
        <v>0.1012987013</v>
      </c>
    </row>
    <row r="40">
      <c r="A40" s="14" t="s">
        <v>106</v>
      </c>
      <c r="B40" s="15">
        <f t="shared" ref="B40:AJ40" si="10">COUNTIF(B2:B34,1)</f>
        <v>2</v>
      </c>
      <c r="C40" s="15">
        <f t="shared" si="10"/>
        <v>22</v>
      </c>
      <c r="D40" s="15">
        <f t="shared" si="10"/>
        <v>6</v>
      </c>
      <c r="E40" s="15">
        <f t="shared" si="10"/>
        <v>3</v>
      </c>
      <c r="F40" s="15">
        <f t="shared" si="10"/>
        <v>2</v>
      </c>
      <c r="G40" s="15">
        <f t="shared" si="10"/>
        <v>2</v>
      </c>
      <c r="H40" s="15">
        <f t="shared" si="10"/>
        <v>3</v>
      </c>
      <c r="I40" s="15">
        <f t="shared" si="10"/>
        <v>2</v>
      </c>
      <c r="J40" s="15">
        <f t="shared" si="10"/>
        <v>3</v>
      </c>
      <c r="K40" s="15">
        <f t="shared" si="10"/>
        <v>1</v>
      </c>
      <c r="L40" s="15">
        <f t="shared" si="10"/>
        <v>2</v>
      </c>
      <c r="M40" s="15">
        <f t="shared" si="10"/>
        <v>2</v>
      </c>
      <c r="N40" s="15">
        <f t="shared" si="10"/>
        <v>2</v>
      </c>
      <c r="O40" s="15">
        <f t="shared" si="10"/>
        <v>2</v>
      </c>
      <c r="P40" s="15">
        <f t="shared" si="10"/>
        <v>2</v>
      </c>
      <c r="Q40" s="15">
        <f t="shared" si="10"/>
        <v>2</v>
      </c>
      <c r="R40" s="15">
        <f t="shared" si="10"/>
        <v>3</v>
      </c>
      <c r="S40" s="15">
        <f t="shared" si="10"/>
        <v>22</v>
      </c>
      <c r="T40" s="15">
        <f t="shared" si="10"/>
        <v>2</v>
      </c>
      <c r="U40" s="15">
        <f t="shared" si="10"/>
        <v>5</v>
      </c>
      <c r="V40" s="15">
        <f t="shared" si="10"/>
        <v>2</v>
      </c>
      <c r="W40" s="15">
        <f t="shared" si="10"/>
        <v>2</v>
      </c>
      <c r="X40" s="15">
        <f t="shared" si="10"/>
        <v>2</v>
      </c>
      <c r="Y40" s="15">
        <f t="shared" si="10"/>
        <v>1</v>
      </c>
      <c r="Z40" s="15">
        <f t="shared" si="10"/>
        <v>2</v>
      </c>
      <c r="AA40" s="15">
        <f t="shared" si="10"/>
        <v>3</v>
      </c>
      <c r="AB40" s="15">
        <f t="shared" si="10"/>
        <v>1</v>
      </c>
      <c r="AC40" s="15">
        <f t="shared" si="10"/>
        <v>2</v>
      </c>
      <c r="AD40" s="15">
        <f t="shared" si="10"/>
        <v>3</v>
      </c>
      <c r="AE40" s="15">
        <f t="shared" si="10"/>
        <v>1</v>
      </c>
      <c r="AF40" s="15">
        <f t="shared" si="10"/>
        <v>1</v>
      </c>
      <c r="AG40" s="15">
        <f t="shared" si="10"/>
        <v>1</v>
      </c>
      <c r="AH40" s="15">
        <f t="shared" si="10"/>
        <v>1</v>
      </c>
      <c r="AI40" s="15">
        <f t="shared" si="10"/>
        <v>2</v>
      </c>
      <c r="AJ40" s="15">
        <f t="shared" si="10"/>
        <v>2</v>
      </c>
      <c r="AK40" s="16">
        <f t="shared" si="6"/>
        <v>116</v>
      </c>
      <c r="AL40" s="17">
        <f t="shared" si="7"/>
        <v>0.1004329004</v>
      </c>
    </row>
    <row r="41">
      <c r="AK41" s="16">
        <f t="shared" ref="AK41:AL41" si="11">SUM(AK36:AK40)</f>
        <v>1155</v>
      </c>
      <c r="AL41" s="17">
        <f t="shared" si="11"/>
        <v>1</v>
      </c>
    </row>
    <row r="42">
      <c r="A42" s="18" t="s">
        <v>107</v>
      </c>
      <c r="B42" s="13"/>
      <c r="C42" s="13"/>
    </row>
    <row r="43">
      <c r="A43" s="19" t="s">
        <v>108</v>
      </c>
      <c r="B43" s="13">
        <f>AVERAGE(AK2:AK34)</f>
        <v>115.3030303</v>
      </c>
      <c r="C43" s="20"/>
      <c r="K43" s="13"/>
      <c r="L43" s="13"/>
      <c r="M43" s="13"/>
      <c r="N43" s="13"/>
      <c r="X43" s="6"/>
    </row>
    <row r="44">
      <c r="A44" s="19"/>
      <c r="B44" s="13"/>
      <c r="C44" s="20"/>
      <c r="K44" s="13"/>
      <c r="L44" s="13"/>
      <c r="M44" s="13"/>
      <c r="N44" s="13"/>
    </row>
    <row r="45">
      <c r="A45" s="19"/>
      <c r="B45" s="13"/>
      <c r="C45" s="20"/>
      <c r="K45" s="13"/>
      <c r="L45" s="13"/>
      <c r="M45" s="13"/>
      <c r="N45" s="13"/>
    </row>
    <row r="46">
      <c r="A46" s="19"/>
      <c r="B46" s="13"/>
      <c r="C46" s="20"/>
      <c r="K46" s="13"/>
      <c r="L46" s="13"/>
      <c r="M46" s="13"/>
      <c r="N46" s="13"/>
    </row>
    <row r="47">
      <c r="A47" s="19"/>
      <c r="B47" s="13"/>
      <c r="C47" s="20"/>
      <c r="K47" s="13"/>
      <c r="L47" s="13"/>
      <c r="M47" s="13"/>
      <c r="N47" s="13"/>
    </row>
    <row r="48">
      <c r="A48" s="19"/>
      <c r="B48" s="13"/>
      <c r="C48" s="20"/>
      <c r="K48" s="13"/>
      <c r="L48" s="13"/>
      <c r="M48" s="13"/>
      <c r="N48" s="13"/>
    </row>
    <row r="49">
      <c r="A49" s="19"/>
      <c r="B49" s="13"/>
      <c r="C49" s="20"/>
      <c r="K49" s="13"/>
      <c r="L49" s="13"/>
      <c r="M49" s="13"/>
      <c r="N49" s="13"/>
    </row>
    <row r="50">
      <c r="A50" s="19"/>
      <c r="B50" s="13"/>
      <c r="C50" s="20"/>
      <c r="K50" s="13"/>
      <c r="L50" s="13"/>
      <c r="M50" s="13"/>
      <c r="N50" s="13"/>
    </row>
    <row r="51">
      <c r="A51" s="19"/>
      <c r="B51" s="13"/>
      <c r="C51" s="20"/>
      <c r="K51" s="13"/>
      <c r="L51" s="13"/>
      <c r="M51" s="13"/>
      <c r="N51" s="13"/>
    </row>
    <row r="52">
      <c r="A52" s="19"/>
      <c r="B52" s="13"/>
      <c r="C52" s="20"/>
      <c r="K52" s="13"/>
      <c r="L52" s="13"/>
      <c r="M52" s="13"/>
      <c r="N52" s="13"/>
    </row>
    <row r="53">
      <c r="A53" s="19"/>
      <c r="B53" s="13"/>
      <c r="C53" s="20"/>
      <c r="K53" s="13"/>
      <c r="L53" s="13"/>
      <c r="M53" s="13"/>
      <c r="N53" s="13"/>
    </row>
    <row r="54">
      <c r="A54" s="19"/>
      <c r="B54" s="13"/>
      <c r="C54" s="20"/>
      <c r="K54" s="13"/>
      <c r="L54" s="13"/>
      <c r="M54" s="13"/>
      <c r="N54" s="13"/>
    </row>
  </sheetData>
  <drawing r:id="rId1"/>
</worksheet>
</file>
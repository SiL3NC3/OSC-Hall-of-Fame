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Results!$A$1:$D$26</definedName>
  </definedNames>
  <calcPr/>
</workbook>
</file>

<file path=xl/sharedStrings.xml><?xml version="1.0" encoding="utf-8"?>
<sst xmlns="http://schemas.openxmlformats.org/spreadsheetml/2006/main" count="135" uniqueCount="77">
  <si>
    <t>New Results</t>
  </si>
  <si>
    <t>Score</t>
  </si>
  <si>
    <t>exponent1 - Tempest</t>
  </si>
  <si>
    <t>pts</t>
  </si>
  <si>
    <t>Leo Amaral - Three Movements Of A Complex Pendulum</t>
  </si>
  <si>
    <t>liqih - World Mechanics</t>
  </si>
  <si>
    <t>ELEX - 1002 - A Desert Odyssey</t>
  </si>
  <si>
    <t>wireframewolves - Pendulous</t>
  </si>
  <si>
    <t>z.prime - Another Time Around</t>
  </si>
  <si>
    <t>MilksterX - Bendulous Presets</t>
  </si>
  <si>
    <t>Leonard Bowman - Inquire Within</t>
  </si>
  <si>
    <t>dq</t>
  </si>
  <si>
    <t>bh9090 - Uninspired Desperation</t>
  </si>
  <si>
    <t>MyLoFy - Independulate</t>
  </si>
  <si>
    <t>fese - Swings In Both Directions</t>
  </si>
  <si>
    <t>h.s.j.e. - Where Are You Taking Us</t>
  </si>
  <si>
    <t>doctorbob - Progressive Pendulums</t>
  </si>
  <si>
    <t>Eauson - The Late Great Pan</t>
  </si>
  <si>
    <t>Double Tap - Pendulosc</t>
  </si>
  <si>
    <t>zarf - Enough Chaos</t>
  </si>
  <si>
    <t>Spring Goose - Anonymous voter strikes again</t>
  </si>
  <si>
    <t>FrankH - Los Tortugas March To Save Us</t>
  </si>
  <si>
    <t>1 1 1 - Morning Land</t>
  </si>
  <si>
    <t>opdobqo - Mikki Polishes Sky Fragments</t>
  </si>
  <si>
    <t>Aro - Breaking Free</t>
  </si>
  <si>
    <t>Tj Shredder - Generative Pendulate</t>
  </si>
  <si>
    <t>tonedef71 - Cognitive Dissonance - Selective Reality</t>
  </si>
  <si>
    <t>WasteLand - Relevator Cloaca Clock</t>
  </si>
  <si>
    <t>Neptunne - Pencake</t>
  </si>
  <si>
    <t>Voter Name (KVR nick)</t>
  </si>
  <si>
    <t>Gen. Score *</t>
  </si>
  <si>
    <t>111</t>
  </si>
  <si>
    <t>Aro</t>
  </si>
  <si>
    <t>bjporter</t>
  </si>
  <si>
    <t>doctorbob</t>
  </si>
  <si>
    <t>Double Tap</t>
  </si>
  <si>
    <t>eausonne</t>
  </si>
  <si>
    <t>ELEX</t>
  </si>
  <si>
    <t>exponent1</t>
  </si>
  <si>
    <t>fese</t>
  </si>
  <si>
    <t>FrankH</t>
  </si>
  <si>
    <t>h.s.j.e.</t>
  </si>
  <si>
    <t>Leo Amaral</t>
  </si>
  <si>
    <t>Leonard Bowman</t>
  </si>
  <si>
    <t>Liqih</t>
  </si>
  <si>
    <t>Medniex</t>
  </si>
  <si>
    <t>milksterx</t>
  </si>
  <si>
    <t>MyLoFy</t>
  </si>
  <si>
    <t>Neptune</t>
  </si>
  <si>
    <t>opdobqo</t>
  </si>
  <si>
    <t>Spring Goose</t>
  </si>
  <si>
    <t>Tj Shredder</t>
  </si>
  <si>
    <t>tonedef71</t>
  </si>
  <si>
    <t>WasteLand</t>
  </si>
  <si>
    <t>wireframewolves</t>
  </si>
  <si>
    <t>z.prime</t>
  </si>
  <si>
    <t>zarf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</si>
  <si>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</si>
  <si>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</si>
  <si>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</si>
  <si>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</si>
  <si>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</si>
  <si>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</si>
  <si>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</si>
  <si>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</si>
  <si>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</si>
  <si>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</si>
  <si>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</si>
  <si>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</si>
  <si>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</si>
  <si>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Generate by Newfangled Audio</t>
  </si>
  <si>
    <t>DONE</t>
  </si>
  <si>
    <t>Sonimus Satson CS</t>
  </si>
  <si>
    <t>request sent</t>
  </si>
  <si>
    <t>Dmitry Sches : Tantra Multi-Effect + 3 Expansions</t>
  </si>
  <si>
    <t>Audio Thing : Outer Space</t>
  </si>
  <si>
    <t>Dimitry Sches : Diversion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</si>
</sst>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sz val="11.0"/>
      <color rgb="FF666666"/>
      <name val="Arial"/>
    </font>
    <font>
      <color rgb="FF666666"/>
      <name val="Arial"/>
    </font>
    <font>
      <color theme="1"/>
      <name val="Arial"/>
      <scheme val="minor"/>
    </font>
    <font>
      <sz val="11.0"/>
      <color rgb="FFA61D4C"/>
      <name val="Inconsolata"/>
    </font>
    <font>
      <sz val="11.0"/>
      <color rgb="FF000000"/>
      <name val="Inconsolata"/>
    </font>
    <font>
      <u/>
      <color rgb="FF1155CC"/>
      <name val="Arial"/>
    </font>
    <font>
      <color rgb="FF999999"/>
      <name val="Arial"/>
    </font>
    <font>
      <sz val="11.0"/>
      <color rgb="FF999999"/>
      <name val="Inconsolata"/>
    </font>
    <font>
      <i/>
      <sz val="11.0"/>
      <color rgb="FF666666"/>
      <name val="Arial"/>
    </font>
    <font>
      <color rgb="FF666666"/>
      <name val="Calibri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b/>
      <sz val="12.0"/>
      <color rgb="FF6666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1" numFmtId="0" xfId="0" applyAlignment="1" applyFont="1">
      <alignment shrinkToFit="0" vertical="bottom" wrapText="0"/>
    </xf>
    <xf borderId="0" fillId="2" fontId="6" numFmtId="0" xfId="0" applyAlignment="1" applyFill="1" applyFont="1">
      <alignment shrinkToFit="0" vertical="bottom" wrapText="0"/>
    </xf>
    <xf borderId="0" fillId="2" fontId="6" numFmtId="0" xfId="0" applyAlignment="1" applyFont="1">
      <alignment vertical="bottom"/>
    </xf>
    <xf borderId="0" fillId="2" fontId="7" numFmtId="0" xfId="0" applyAlignment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3" fontId="1" numFmtId="0" xfId="0" applyAlignment="1" applyFill="1" applyFont="1">
      <alignment vertical="bottom"/>
    </xf>
    <xf borderId="0" fillId="0" fontId="9" numFmtId="0" xfId="0" applyAlignment="1" applyFont="1">
      <alignment shrinkToFit="0" vertical="bottom" wrapText="0"/>
    </xf>
    <xf borderId="0" fillId="0" fontId="1" numFmtId="9" xfId="0" applyAlignment="1" applyFont="1" applyNumberFormat="1">
      <alignment vertical="bottom"/>
    </xf>
    <xf borderId="0" fillId="4" fontId="1" numFmtId="0" xfId="0" applyAlignment="1" applyFill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9" numFmtId="0" xfId="0" applyAlignment="1" applyFont="1">
      <alignment horizontal="right" vertical="bottom"/>
    </xf>
    <xf borderId="0" fillId="2" fontId="10" numFmtId="9" xfId="0" applyAlignment="1" applyFont="1" applyNumberFormat="1">
      <alignment horizontal="right" vertical="bottom"/>
    </xf>
    <xf borderId="0" fillId="5" fontId="1" numFmtId="49" xfId="0" applyAlignment="1" applyFill="1" applyFont="1" applyNumberFormat="1">
      <alignment vertical="bottom"/>
    </xf>
    <xf borderId="0" fillId="0" fontId="11" numFmtId="49" xfId="0" applyAlignment="1" applyFont="1" applyNumberFormat="1">
      <alignment vertical="bottom"/>
    </xf>
    <xf borderId="0" fillId="0" fontId="12" numFmtId="0" xfId="0" applyAlignment="1" applyFont="1">
      <alignment horizontal="right" vertical="bottom"/>
    </xf>
    <xf borderId="0" fillId="0" fontId="13" numFmtId="0" xfId="0" applyAlignment="1" applyFont="1">
      <alignment shrinkToFit="0" vertical="bottom" wrapText="0"/>
    </xf>
    <xf borderId="0" fillId="0" fontId="14" numFmtId="49" xfId="0" applyAlignment="1" applyFont="1" applyNumberFormat="1">
      <alignment vertical="bottom"/>
    </xf>
    <xf borderId="0" fillId="0" fontId="15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9" xfId="0" applyAlignment="1" applyFont="1" applyNumberFormat="1">
      <alignment horizontal="right" vertical="bottom"/>
    </xf>
    <xf borderId="0" fillId="0" fontId="15" numFmtId="0" xfId="0" applyAlignment="1" applyFont="1">
      <alignment horizontal="right" vertical="bottom"/>
    </xf>
    <xf borderId="0" fillId="0" fontId="9" numFmtId="49" xfId="0" applyAlignment="1" applyFont="1" applyNumberFormat="1">
      <alignment shrinkToFit="0" vertical="bottom" wrapText="0"/>
    </xf>
    <xf borderId="0" fillId="0" fontId="4" numFmtId="49" xfId="0" applyAlignment="1" applyFont="1" applyNumberFormat="1">
      <alignment vertical="bottom"/>
    </xf>
    <xf borderId="0" fillId="0" fontId="4" numFmtId="4" xfId="0" applyAlignment="1" applyFont="1" applyNumberFormat="1">
      <alignment horizontal="right" vertical="bottom"/>
    </xf>
    <xf borderId="0" fillId="0" fontId="5" numFmtId="49" xfId="0" applyAlignment="1" applyFont="1" applyNumberFormat="1">
      <alignment horizontal="left"/>
    </xf>
    <xf borderId="0" fillId="0" fontId="16" numFmtId="0" xfId="0" applyAlignment="1" applyFont="1">
      <alignment horizontal="center" vertical="bottom"/>
    </xf>
    <xf borderId="0" fillId="0" fontId="16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133350</xdr:colOff>
      <xdr:row>34</xdr:row>
      <xdr:rowOff>200025</xdr:rowOff>
    </xdr:from>
    <xdr:ext cx="2533650" cy="2533650"/>
    <xdr:pic>
      <xdr:nvPicPr>
        <xdr:cNvPr id="462455792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43.25"/>
    <col customWidth="1" min="3" max="3" width="4.63"/>
    <col customWidth="1" min="4" max="4" width="5.5"/>
  </cols>
  <sheetData>
    <row r="1">
      <c r="A1" s="1"/>
      <c r="B1" s="2" t="s">
        <v>0</v>
      </c>
      <c r="C1" s="3" t="s">
        <v>1</v>
      </c>
    </row>
    <row r="2">
      <c r="A2" s="4">
        <v>1.0</v>
      </c>
      <c r="B2" s="1" t="s">
        <v>2</v>
      </c>
      <c r="C2" s="5">
        <v>115.0</v>
      </c>
      <c r="D2" s="6" t="s">
        <v>3</v>
      </c>
    </row>
    <row r="3">
      <c r="A3" s="4">
        <v>2.0</v>
      </c>
      <c r="B3" s="1" t="s">
        <v>4</v>
      </c>
      <c r="C3" s="5">
        <v>107.0</v>
      </c>
      <c r="D3" s="6" t="s">
        <v>3</v>
      </c>
    </row>
    <row r="4">
      <c r="A4" s="4">
        <v>3.0</v>
      </c>
      <c r="B4" s="1" t="s">
        <v>5</v>
      </c>
      <c r="C4" s="5">
        <v>105.0</v>
      </c>
      <c r="D4" s="6" t="s">
        <v>3</v>
      </c>
    </row>
    <row r="5">
      <c r="A5" s="4">
        <v>4.0</v>
      </c>
      <c r="B5" s="1" t="s">
        <v>6</v>
      </c>
      <c r="C5" s="5">
        <v>103.0</v>
      </c>
      <c r="D5" s="6" t="s">
        <v>3</v>
      </c>
    </row>
    <row r="6">
      <c r="A6" s="4">
        <v>5.0</v>
      </c>
      <c r="B6" s="1" t="s">
        <v>7</v>
      </c>
      <c r="C6" s="5">
        <v>102.0</v>
      </c>
      <c r="D6" s="6" t="s">
        <v>3</v>
      </c>
    </row>
    <row r="7">
      <c r="A7" s="4">
        <v>6.0</v>
      </c>
      <c r="B7" s="1" t="s">
        <v>8</v>
      </c>
      <c r="C7" s="5">
        <v>102.0</v>
      </c>
      <c r="D7" s="6" t="s">
        <v>3</v>
      </c>
    </row>
    <row r="8">
      <c r="A8" s="4">
        <v>7.0</v>
      </c>
      <c r="B8" s="1" t="s">
        <v>9</v>
      </c>
      <c r="C8" s="5">
        <v>97.0</v>
      </c>
      <c r="D8" s="6" t="s">
        <v>3</v>
      </c>
    </row>
    <row r="9">
      <c r="A9" s="4">
        <v>8.0</v>
      </c>
      <c r="B9" s="1" t="s">
        <v>10</v>
      </c>
      <c r="C9" s="5">
        <v>93.0</v>
      </c>
      <c r="D9" s="6" t="s">
        <v>3</v>
      </c>
    </row>
    <row r="10">
      <c r="A10" s="7" t="s">
        <v>11</v>
      </c>
      <c r="B10" s="1" t="s">
        <v>12</v>
      </c>
      <c r="C10" s="5">
        <v>91.0</v>
      </c>
      <c r="D10" s="6" t="s">
        <v>3</v>
      </c>
    </row>
    <row r="11">
      <c r="A11" s="4">
        <v>9.0</v>
      </c>
      <c r="B11" s="1" t="s">
        <v>13</v>
      </c>
      <c r="C11" s="5">
        <v>90.0</v>
      </c>
      <c r="D11" s="6" t="s">
        <v>3</v>
      </c>
    </row>
    <row r="12">
      <c r="A12" s="4">
        <v>10.0</v>
      </c>
      <c r="B12" s="1" t="s">
        <v>14</v>
      </c>
      <c r="C12" s="5">
        <v>89.0</v>
      </c>
      <c r="D12" s="6" t="s">
        <v>3</v>
      </c>
    </row>
    <row r="13">
      <c r="A13" s="4">
        <v>11.0</v>
      </c>
      <c r="B13" s="1" t="s">
        <v>15</v>
      </c>
      <c r="C13" s="5">
        <v>86.0</v>
      </c>
      <c r="D13" s="6" t="s">
        <v>3</v>
      </c>
    </row>
    <row r="14">
      <c r="A14" s="4">
        <v>12.0</v>
      </c>
      <c r="B14" s="1" t="s">
        <v>16</v>
      </c>
      <c r="C14" s="5">
        <v>86.0</v>
      </c>
      <c r="D14" s="6" t="s">
        <v>3</v>
      </c>
    </row>
    <row r="15">
      <c r="A15" s="4">
        <v>13.0</v>
      </c>
      <c r="B15" s="1" t="s">
        <v>17</v>
      </c>
      <c r="C15" s="5">
        <v>84.0</v>
      </c>
      <c r="D15" s="6" t="s">
        <v>3</v>
      </c>
    </row>
    <row r="16">
      <c r="A16" s="4">
        <v>14.0</v>
      </c>
      <c r="B16" s="1" t="s">
        <v>18</v>
      </c>
      <c r="C16" s="5">
        <v>84.0</v>
      </c>
      <c r="D16" s="6" t="s">
        <v>3</v>
      </c>
    </row>
    <row r="17">
      <c r="A17" s="4">
        <v>15.0</v>
      </c>
      <c r="B17" s="1" t="s">
        <v>19</v>
      </c>
      <c r="C17" s="5">
        <v>84.0</v>
      </c>
      <c r="D17" s="6" t="s">
        <v>3</v>
      </c>
    </row>
    <row r="18">
      <c r="A18" s="4">
        <v>16.0</v>
      </c>
      <c r="B18" s="1" t="s">
        <v>20</v>
      </c>
      <c r="C18" s="5">
        <v>83.0</v>
      </c>
      <c r="D18" s="6" t="s">
        <v>3</v>
      </c>
    </row>
    <row r="19">
      <c r="A19" s="4">
        <v>17.0</v>
      </c>
      <c r="B19" s="1" t="s">
        <v>21</v>
      </c>
      <c r="C19" s="5">
        <v>83.0</v>
      </c>
      <c r="D19" s="6" t="s">
        <v>3</v>
      </c>
    </row>
    <row r="20">
      <c r="A20" s="4">
        <v>18.0</v>
      </c>
      <c r="B20" s="1" t="s">
        <v>22</v>
      </c>
      <c r="C20" s="5">
        <v>80.0</v>
      </c>
      <c r="D20" s="6" t="s">
        <v>3</v>
      </c>
    </row>
    <row r="21">
      <c r="A21" s="4">
        <v>19.0</v>
      </c>
      <c r="B21" s="1" t="s">
        <v>23</v>
      </c>
      <c r="C21" s="5">
        <v>79.0</v>
      </c>
      <c r="D21" s="6" t="s">
        <v>3</v>
      </c>
    </row>
    <row r="22">
      <c r="A22" s="4">
        <v>20.0</v>
      </c>
      <c r="B22" s="1" t="s">
        <v>24</v>
      </c>
      <c r="C22" s="5">
        <v>78.0</v>
      </c>
      <c r="D22" s="6" t="s">
        <v>3</v>
      </c>
    </row>
    <row r="23">
      <c r="A23" s="4">
        <v>21.0</v>
      </c>
      <c r="B23" s="1" t="s">
        <v>25</v>
      </c>
      <c r="C23" s="5">
        <v>77.0</v>
      </c>
      <c r="D23" s="6" t="s">
        <v>3</v>
      </c>
    </row>
    <row r="24">
      <c r="A24" s="4">
        <v>22.0</v>
      </c>
      <c r="B24" s="1" t="s">
        <v>26</v>
      </c>
      <c r="C24" s="5">
        <v>77.0</v>
      </c>
      <c r="D24" s="6" t="s">
        <v>3</v>
      </c>
    </row>
    <row r="25">
      <c r="A25" s="4">
        <v>23.0</v>
      </c>
      <c r="B25" s="1" t="s">
        <v>27</v>
      </c>
      <c r="C25" s="5">
        <v>70.0</v>
      </c>
      <c r="D25" s="6" t="s">
        <v>3</v>
      </c>
    </row>
    <row r="26">
      <c r="A26" s="4">
        <v>24.0</v>
      </c>
      <c r="B26" s="1" t="s">
        <v>28</v>
      </c>
      <c r="C26" s="5">
        <v>69.0</v>
      </c>
      <c r="D26" s="6" t="s">
        <v>3</v>
      </c>
    </row>
    <row r="27">
      <c r="A27" s="8"/>
      <c r="C27" s="9"/>
      <c r="D27" s="6"/>
    </row>
    <row r="28">
      <c r="A28" s="8"/>
      <c r="C28" s="9"/>
      <c r="D28" s="6"/>
    </row>
    <row r="29">
      <c r="A29" s="9"/>
      <c r="C29" s="9"/>
    </row>
    <row r="30">
      <c r="A30" s="9"/>
      <c r="C30" s="9"/>
    </row>
    <row r="31">
      <c r="A31" s="9"/>
      <c r="C31" s="9"/>
    </row>
    <row r="32">
      <c r="A32" s="9"/>
      <c r="C32" s="9"/>
    </row>
    <row r="33">
      <c r="A33" s="9"/>
      <c r="C33" s="9"/>
    </row>
    <row r="34">
      <c r="A34" s="9"/>
      <c r="C34" s="9"/>
    </row>
    <row r="35">
      <c r="A35" s="9"/>
      <c r="C35" s="9"/>
    </row>
    <row r="36">
      <c r="A36" s="9"/>
      <c r="C36" s="9"/>
    </row>
    <row r="37">
      <c r="A37" s="9"/>
      <c r="C37" s="9"/>
    </row>
    <row r="38">
      <c r="A38" s="9"/>
      <c r="C38" s="9"/>
    </row>
    <row r="39">
      <c r="A39" s="9"/>
      <c r="C39" s="9"/>
    </row>
    <row r="40">
      <c r="A40" s="9"/>
      <c r="C40" s="9"/>
    </row>
    <row r="41">
      <c r="A41" s="9"/>
      <c r="C41" s="9"/>
    </row>
    <row r="42">
      <c r="A42" s="9"/>
      <c r="C42" s="9"/>
    </row>
    <row r="43">
      <c r="A43" s="9"/>
      <c r="C43" s="9"/>
    </row>
    <row r="44">
      <c r="A44" s="9"/>
      <c r="C44" s="9"/>
    </row>
    <row r="45">
      <c r="A45" s="9"/>
      <c r="C45" s="9"/>
    </row>
    <row r="46">
      <c r="A46" s="9"/>
      <c r="C46" s="9"/>
    </row>
    <row r="47">
      <c r="A47" s="9"/>
      <c r="C47" s="9"/>
    </row>
    <row r="48">
      <c r="A48" s="9"/>
      <c r="C48" s="9"/>
    </row>
    <row r="49">
      <c r="A49" s="9"/>
      <c r="C49" s="9"/>
    </row>
    <row r="50">
      <c r="A50" s="9"/>
      <c r="C50" s="9"/>
    </row>
    <row r="51">
      <c r="A51" s="9"/>
      <c r="C51" s="9"/>
    </row>
    <row r="52">
      <c r="A52" s="9"/>
      <c r="C52" s="9"/>
    </row>
    <row r="53">
      <c r="A53" s="9"/>
      <c r="C53" s="9"/>
    </row>
    <row r="54">
      <c r="A54" s="9"/>
      <c r="C54" s="9"/>
    </row>
    <row r="55">
      <c r="A55" s="9"/>
      <c r="C55" s="9"/>
    </row>
    <row r="56">
      <c r="A56" s="9"/>
      <c r="C56" s="9"/>
    </row>
    <row r="57">
      <c r="A57" s="9"/>
      <c r="C57" s="9"/>
    </row>
    <row r="58">
      <c r="A58" s="9"/>
      <c r="C58" s="9"/>
    </row>
    <row r="59">
      <c r="A59" s="9"/>
      <c r="C59" s="9"/>
    </row>
    <row r="60">
      <c r="A60" s="9"/>
      <c r="C60" s="9"/>
    </row>
    <row r="61">
      <c r="A61" s="9"/>
      <c r="C61" s="9"/>
    </row>
    <row r="62">
      <c r="A62" s="9"/>
      <c r="C62" s="9"/>
    </row>
    <row r="63">
      <c r="A63" s="9"/>
      <c r="C63" s="9"/>
    </row>
    <row r="64">
      <c r="A64" s="9"/>
      <c r="C64" s="9"/>
    </row>
    <row r="65">
      <c r="A65" s="9"/>
      <c r="C65" s="9"/>
    </row>
    <row r="66">
      <c r="A66" s="9"/>
      <c r="C66" s="9"/>
    </row>
    <row r="67">
      <c r="A67" s="9"/>
      <c r="C67" s="9"/>
    </row>
    <row r="68">
      <c r="A68" s="9"/>
      <c r="C68" s="9"/>
    </row>
    <row r="69">
      <c r="A69" s="9"/>
      <c r="C69" s="9"/>
      <c r="F69" s="10"/>
      <c r="G69" s="1"/>
      <c r="H69" s="1"/>
      <c r="I69" s="1"/>
      <c r="J69" s="1"/>
      <c r="K69" s="1"/>
    </row>
    <row r="70">
      <c r="A70" s="9"/>
      <c r="C70" s="9"/>
      <c r="F70" s="1"/>
      <c r="G70" s="1"/>
      <c r="H70" s="1"/>
      <c r="I70" s="1"/>
      <c r="J70" s="1"/>
      <c r="K70" s="1"/>
    </row>
    <row r="71">
      <c r="A71" s="9"/>
      <c r="C71" s="9"/>
      <c r="F71" s="10"/>
      <c r="G71" s="1"/>
      <c r="H71" s="1"/>
      <c r="I71" s="1"/>
      <c r="J71" s="1"/>
      <c r="K71" s="1"/>
    </row>
    <row r="72">
      <c r="A72" s="9"/>
      <c r="C72" s="9"/>
      <c r="F72" s="10"/>
      <c r="G72" s="1"/>
      <c r="H72" s="1"/>
      <c r="I72" s="1"/>
      <c r="J72" s="1"/>
      <c r="K72" s="1"/>
    </row>
    <row r="73">
      <c r="A73" s="9"/>
      <c r="C73" s="9"/>
      <c r="F73" s="10"/>
      <c r="G73" s="1"/>
      <c r="H73" s="1"/>
      <c r="I73" s="1"/>
      <c r="J73" s="1"/>
      <c r="K73" s="1"/>
    </row>
    <row r="74">
      <c r="A74" s="9"/>
      <c r="C74" s="9"/>
      <c r="F74" s="10"/>
      <c r="G74" s="1"/>
      <c r="H74" s="1"/>
      <c r="I74" s="1"/>
      <c r="J74" s="1"/>
      <c r="K74" s="1"/>
    </row>
    <row r="75">
      <c r="A75" s="9"/>
      <c r="C75" s="9"/>
      <c r="F75" s="10"/>
      <c r="G75" s="1"/>
      <c r="H75" s="1"/>
      <c r="I75" s="1"/>
      <c r="J75" s="1"/>
      <c r="K75" s="1"/>
    </row>
    <row r="76">
      <c r="A76" s="9"/>
      <c r="C76" s="9"/>
      <c r="F76" s="1"/>
      <c r="G76" s="1"/>
      <c r="H76" s="1"/>
      <c r="I76" s="1"/>
      <c r="J76" s="1"/>
      <c r="K76" s="1"/>
    </row>
    <row r="77">
      <c r="A77" s="9"/>
      <c r="C77" s="9"/>
      <c r="F77" s="11"/>
      <c r="G77" s="1"/>
      <c r="H77" s="1"/>
      <c r="I77" s="1"/>
      <c r="J77" s="1"/>
      <c r="K77" s="1"/>
    </row>
    <row r="78">
      <c r="A78" s="9"/>
      <c r="C78" s="9"/>
      <c r="F78" s="11"/>
      <c r="G78" s="1"/>
      <c r="H78" s="1"/>
      <c r="I78" s="1"/>
      <c r="J78" s="1"/>
      <c r="K78" s="1"/>
    </row>
    <row r="79">
      <c r="A79" s="9"/>
      <c r="C79" s="9"/>
      <c r="F79" s="11"/>
      <c r="G79" s="1"/>
      <c r="H79" s="1"/>
      <c r="I79" s="1"/>
      <c r="J79" s="1"/>
      <c r="K79" s="1"/>
    </row>
    <row r="80">
      <c r="A80" s="9"/>
      <c r="C80" s="9"/>
      <c r="F80" s="11"/>
      <c r="G80" s="1"/>
      <c r="H80" s="1"/>
      <c r="I80" s="1"/>
      <c r="J80" s="1"/>
      <c r="K80" s="1"/>
    </row>
    <row r="81">
      <c r="A81" s="9"/>
      <c r="C81" s="9"/>
      <c r="F81" s="11"/>
      <c r="G81" s="1"/>
      <c r="H81" s="1"/>
      <c r="I81" s="1"/>
      <c r="J81" s="1"/>
      <c r="K81" s="1"/>
    </row>
    <row r="82">
      <c r="A82" s="9"/>
      <c r="C82" s="9"/>
      <c r="F82" s="11"/>
      <c r="G82" s="1"/>
      <c r="H82" s="1"/>
      <c r="I82" s="1"/>
      <c r="J82" s="1"/>
      <c r="K82" s="1"/>
    </row>
    <row r="83">
      <c r="A83" s="9"/>
      <c r="C83" s="9"/>
      <c r="F83" s="11"/>
      <c r="G83" s="1"/>
      <c r="H83" s="1"/>
      <c r="I83" s="1"/>
      <c r="J83" s="1"/>
      <c r="K83" s="1"/>
    </row>
    <row r="84">
      <c r="A84" s="9"/>
      <c r="C84" s="9"/>
      <c r="F84" s="11"/>
      <c r="G84" s="1"/>
      <c r="H84" s="1"/>
      <c r="I84" s="1"/>
      <c r="J84" s="1"/>
      <c r="K84" s="1"/>
    </row>
    <row r="85">
      <c r="A85" s="9"/>
      <c r="C85" s="9"/>
      <c r="F85" s="11"/>
      <c r="G85" s="1"/>
      <c r="H85" s="1"/>
      <c r="I85" s="1"/>
      <c r="J85" s="1"/>
      <c r="K85" s="1"/>
    </row>
    <row r="86">
      <c r="A86" s="9"/>
      <c r="C86" s="9"/>
      <c r="F86" s="11"/>
      <c r="G86" s="1"/>
      <c r="H86" s="1"/>
      <c r="I86" s="1"/>
      <c r="J86" s="1"/>
      <c r="K86" s="1"/>
    </row>
    <row r="87">
      <c r="A87" s="9"/>
      <c r="C87" s="9"/>
      <c r="F87" s="11"/>
      <c r="G87" s="1"/>
      <c r="H87" s="1"/>
      <c r="I87" s="1"/>
      <c r="J87" s="1"/>
      <c r="K87" s="1"/>
    </row>
    <row r="88">
      <c r="A88" s="9"/>
      <c r="C88" s="9"/>
      <c r="F88" s="11"/>
      <c r="G88" s="1"/>
      <c r="H88" s="1"/>
      <c r="I88" s="1"/>
      <c r="J88" s="1"/>
      <c r="K88" s="1"/>
    </row>
    <row r="89">
      <c r="A89" s="9"/>
      <c r="C89" s="9"/>
      <c r="F89" s="11"/>
      <c r="G89" s="1"/>
      <c r="H89" s="1"/>
      <c r="I89" s="1"/>
      <c r="J89" s="1"/>
      <c r="K89" s="1"/>
    </row>
    <row r="90">
      <c r="A90" s="9"/>
      <c r="C90" s="9"/>
      <c r="F90" s="11"/>
      <c r="G90" s="1"/>
      <c r="H90" s="1"/>
      <c r="I90" s="1"/>
      <c r="J90" s="1"/>
      <c r="K90" s="1"/>
    </row>
    <row r="91">
      <c r="A91" s="9"/>
      <c r="C91" s="9"/>
      <c r="F91" s="11"/>
      <c r="G91" s="1"/>
      <c r="H91" s="1"/>
      <c r="I91" s="1"/>
      <c r="J91" s="1"/>
      <c r="K91" s="1"/>
    </row>
    <row r="92">
      <c r="A92" s="9"/>
      <c r="C92" s="9"/>
      <c r="F92" s="11"/>
      <c r="G92" s="1"/>
      <c r="H92" s="1"/>
      <c r="I92" s="1"/>
      <c r="J92" s="1"/>
      <c r="K92" s="1"/>
    </row>
    <row r="93">
      <c r="A93" s="9"/>
      <c r="C93" s="9"/>
      <c r="F93" s="11"/>
      <c r="G93" s="1"/>
      <c r="H93" s="1"/>
      <c r="I93" s="1"/>
      <c r="J93" s="1"/>
      <c r="K93" s="1"/>
    </row>
    <row r="94">
      <c r="A94" s="9"/>
      <c r="C94" s="9"/>
      <c r="F94" s="11"/>
      <c r="G94" s="1"/>
      <c r="H94" s="1"/>
      <c r="I94" s="1"/>
      <c r="J94" s="1"/>
      <c r="K94" s="1"/>
    </row>
    <row r="95">
      <c r="A95" s="9"/>
      <c r="C95" s="9"/>
      <c r="F95" s="11"/>
      <c r="G95" s="1"/>
      <c r="H95" s="1"/>
      <c r="I95" s="1"/>
      <c r="J95" s="1"/>
      <c r="K95" s="1"/>
    </row>
    <row r="96">
      <c r="A96" s="9"/>
      <c r="C96" s="9"/>
      <c r="F96" s="11"/>
      <c r="G96" s="1"/>
      <c r="H96" s="1"/>
      <c r="I96" s="1"/>
      <c r="J96" s="1"/>
      <c r="K96" s="1"/>
    </row>
    <row r="97">
      <c r="A97" s="9"/>
      <c r="C97" s="9"/>
      <c r="F97" s="11"/>
      <c r="G97" s="1"/>
      <c r="H97" s="1"/>
      <c r="I97" s="1"/>
      <c r="J97" s="1"/>
      <c r="K97" s="1"/>
    </row>
    <row r="98">
      <c r="A98" s="9"/>
      <c r="C98" s="9"/>
      <c r="F98" s="11"/>
      <c r="G98" s="1"/>
      <c r="H98" s="1"/>
      <c r="I98" s="1"/>
      <c r="J98" s="1"/>
      <c r="K98" s="1"/>
    </row>
    <row r="99">
      <c r="A99" s="9"/>
      <c r="C99" s="9"/>
      <c r="F99" s="12"/>
      <c r="G99" s="1"/>
      <c r="H99" s="1"/>
      <c r="I99" s="1"/>
      <c r="J99" s="1"/>
      <c r="K99" s="1"/>
    </row>
    <row r="100">
      <c r="A100" s="9"/>
      <c r="C100" s="9"/>
      <c r="F100" s="12"/>
      <c r="G100" s="1"/>
      <c r="H100" s="1"/>
      <c r="I100" s="1"/>
      <c r="J100" s="1"/>
      <c r="K100" s="1"/>
    </row>
    <row r="101">
      <c r="A101" s="9"/>
      <c r="C101" s="9"/>
      <c r="F101" s="10"/>
      <c r="G101" s="1"/>
      <c r="H101" s="1"/>
      <c r="I101" s="1"/>
      <c r="J101" s="1"/>
      <c r="K101" s="1"/>
    </row>
    <row r="102">
      <c r="A102" s="9"/>
      <c r="C102" s="9"/>
      <c r="F102" s="10"/>
      <c r="G102" s="1"/>
      <c r="H102" s="1"/>
      <c r="I102" s="1"/>
      <c r="J102" s="1"/>
      <c r="K102" s="1"/>
    </row>
    <row r="103">
      <c r="A103" s="9"/>
      <c r="C103" s="9"/>
      <c r="F103" s="1"/>
      <c r="G103" s="1"/>
      <c r="H103" s="1"/>
      <c r="I103" s="1"/>
      <c r="J103" s="1"/>
      <c r="K103" s="1"/>
    </row>
    <row r="104">
      <c r="A104" s="9"/>
      <c r="C104" s="9"/>
      <c r="F104" s="10"/>
      <c r="G104" s="1"/>
      <c r="H104" s="1"/>
      <c r="I104" s="1"/>
      <c r="J104" s="1"/>
      <c r="K104" s="1"/>
    </row>
    <row r="105">
      <c r="A105" s="9"/>
      <c r="C105" s="9"/>
      <c r="F105" s="1"/>
      <c r="G105" s="1"/>
      <c r="H105" s="1"/>
      <c r="I105" s="1"/>
      <c r="J105" s="1"/>
      <c r="K105" s="1"/>
    </row>
    <row r="106">
      <c r="A106" s="9"/>
      <c r="C106" s="9"/>
      <c r="F106" s="13"/>
      <c r="G106" s="1"/>
      <c r="H106" s="1"/>
      <c r="I106" s="1"/>
      <c r="J106" s="1"/>
      <c r="K106" s="1"/>
    </row>
    <row r="107">
      <c r="A107" s="9"/>
      <c r="C107" s="9"/>
      <c r="F107" s="14"/>
      <c r="G107" s="1"/>
      <c r="H107" s="1"/>
      <c r="I107" s="1"/>
      <c r="J107" s="1"/>
      <c r="K107" s="1"/>
    </row>
    <row r="108">
      <c r="A108" s="9"/>
      <c r="C108" s="9"/>
      <c r="F108" s="1"/>
      <c r="G108" s="1"/>
      <c r="H108" s="1"/>
      <c r="I108" s="1"/>
      <c r="J108" s="1"/>
      <c r="K108" s="1"/>
    </row>
    <row r="109">
      <c r="A109" s="9"/>
      <c r="C109" s="9"/>
      <c r="F109" s="1"/>
      <c r="G109" s="1"/>
      <c r="H109" s="1"/>
      <c r="I109" s="1"/>
      <c r="J109" s="1"/>
      <c r="K109" s="1"/>
    </row>
    <row r="110">
      <c r="A110" s="9"/>
      <c r="C110" s="9"/>
    </row>
    <row r="111">
      <c r="A111" s="9"/>
      <c r="C111" s="9"/>
    </row>
    <row r="112">
      <c r="A112" s="9"/>
      <c r="C112" s="9"/>
    </row>
    <row r="113">
      <c r="A113" s="9"/>
      <c r="C113" s="9"/>
    </row>
    <row r="114">
      <c r="A114" s="9"/>
      <c r="C114" s="9"/>
    </row>
    <row r="115">
      <c r="A115" s="9"/>
      <c r="C115" s="9"/>
    </row>
    <row r="116">
      <c r="A116" s="9"/>
      <c r="C116" s="9"/>
    </row>
    <row r="117">
      <c r="A117" s="9"/>
      <c r="C117" s="9"/>
    </row>
    <row r="118">
      <c r="A118" s="9"/>
      <c r="C118" s="9"/>
    </row>
    <row r="119">
      <c r="A119" s="9"/>
      <c r="C119" s="9"/>
    </row>
    <row r="120">
      <c r="A120" s="9"/>
      <c r="C120" s="9"/>
    </row>
    <row r="121">
      <c r="A121" s="9"/>
      <c r="C121" s="9"/>
    </row>
    <row r="122">
      <c r="A122" s="9"/>
      <c r="C122" s="9"/>
    </row>
    <row r="123">
      <c r="A123" s="9"/>
      <c r="C123" s="9"/>
    </row>
    <row r="124">
      <c r="A124" s="9"/>
      <c r="C124" s="9"/>
    </row>
    <row r="125">
      <c r="A125" s="9"/>
      <c r="C125" s="9"/>
    </row>
    <row r="126">
      <c r="A126" s="9"/>
      <c r="C126" s="9"/>
    </row>
    <row r="127">
      <c r="A127" s="9"/>
      <c r="C127" s="9"/>
    </row>
    <row r="128">
      <c r="A128" s="9"/>
      <c r="C128" s="9"/>
    </row>
    <row r="129">
      <c r="A129" s="9"/>
      <c r="C129" s="9"/>
    </row>
    <row r="130">
      <c r="A130" s="9"/>
      <c r="C130" s="9"/>
    </row>
    <row r="131">
      <c r="A131" s="9"/>
      <c r="C131" s="9"/>
    </row>
    <row r="132">
      <c r="A132" s="9"/>
      <c r="C132" s="9"/>
    </row>
    <row r="133">
      <c r="A133" s="9"/>
      <c r="C133" s="9"/>
    </row>
    <row r="134">
      <c r="A134" s="9"/>
      <c r="C134" s="9"/>
    </row>
    <row r="135">
      <c r="A135" s="9"/>
      <c r="C135" s="9"/>
    </row>
    <row r="136">
      <c r="A136" s="9"/>
      <c r="C136" s="9"/>
    </row>
    <row r="137">
      <c r="A137" s="9"/>
      <c r="C137" s="9"/>
    </row>
    <row r="138">
      <c r="A138" s="9"/>
      <c r="C138" s="9"/>
    </row>
    <row r="139">
      <c r="A139" s="9"/>
      <c r="C139" s="9"/>
    </row>
    <row r="140">
      <c r="A140" s="9"/>
      <c r="C140" s="9"/>
    </row>
    <row r="141">
      <c r="A141" s="9"/>
      <c r="C141" s="9"/>
    </row>
    <row r="142">
      <c r="A142" s="9"/>
      <c r="C142" s="9"/>
    </row>
    <row r="143">
      <c r="A143" s="9"/>
      <c r="C143" s="9"/>
    </row>
    <row r="144">
      <c r="A144" s="9"/>
      <c r="C144" s="9"/>
    </row>
    <row r="145">
      <c r="A145" s="9"/>
      <c r="C145" s="9"/>
    </row>
    <row r="146">
      <c r="A146" s="9"/>
      <c r="C146" s="9"/>
    </row>
    <row r="147">
      <c r="A147" s="9"/>
      <c r="C147" s="9"/>
    </row>
    <row r="148">
      <c r="A148" s="9"/>
      <c r="C148" s="9"/>
    </row>
    <row r="149">
      <c r="A149" s="9"/>
      <c r="C149" s="9"/>
    </row>
    <row r="150">
      <c r="A150" s="9"/>
      <c r="C150" s="9"/>
    </row>
    <row r="151">
      <c r="A151" s="9"/>
      <c r="C151" s="9"/>
    </row>
    <row r="152">
      <c r="A152" s="9"/>
      <c r="C152" s="9"/>
    </row>
    <row r="153">
      <c r="A153" s="9"/>
      <c r="C153" s="9"/>
    </row>
    <row r="154">
      <c r="A154" s="9"/>
      <c r="C154" s="9"/>
    </row>
    <row r="155">
      <c r="A155" s="9"/>
      <c r="C155" s="9"/>
    </row>
    <row r="156">
      <c r="A156" s="9"/>
      <c r="C156" s="9"/>
    </row>
    <row r="157">
      <c r="A157" s="9"/>
      <c r="C157" s="9"/>
    </row>
    <row r="158">
      <c r="A158" s="9"/>
      <c r="C158" s="9"/>
    </row>
    <row r="159">
      <c r="A159" s="9"/>
      <c r="C159" s="9"/>
    </row>
    <row r="160">
      <c r="A160" s="9"/>
      <c r="C160" s="9"/>
    </row>
    <row r="161">
      <c r="A161" s="9"/>
      <c r="C161" s="9"/>
    </row>
    <row r="162">
      <c r="A162" s="9"/>
      <c r="C162" s="9"/>
    </row>
    <row r="163">
      <c r="A163" s="9"/>
      <c r="C163" s="9"/>
    </row>
    <row r="164">
      <c r="A164" s="9"/>
      <c r="C164" s="9"/>
    </row>
    <row r="165">
      <c r="A165" s="9"/>
      <c r="C165" s="9"/>
    </row>
    <row r="166">
      <c r="A166" s="9"/>
      <c r="C166" s="9"/>
    </row>
    <row r="167">
      <c r="A167" s="9"/>
      <c r="C167" s="9"/>
    </row>
    <row r="168">
      <c r="A168" s="9"/>
      <c r="C168" s="9"/>
    </row>
    <row r="169">
      <c r="A169" s="9"/>
      <c r="C169" s="9"/>
    </row>
    <row r="170">
      <c r="A170" s="9"/>
      <c r="C170" s="9"/>
    </row>
    <row r="171">
      <c r="A171" s="9"/>
      <c r="C171" s="9"/>
    </row>
    <row r="172">
      <c r="A172" s="9"/>
      <c r="C172" s="9"/>
    </row>
    <row r="173">
      <c r="A173" s="9"/>
      <c r="C173" s="9"/>
    </row>
    <row r="174">
      <c r="A174" s="9"/>
      <c r="C174" s="9"/>
    </row>
    <row r="175">
      <c r="A175" s="9"/>
      <c r="C175" s="9"/>
    </row>
    <row r="176">
      <c r="A176" s="9"/>
      <c r="C176" s="9"/>
    </row>
    <row r="177">
      <c r="A177" s="9"/>
      <c r="C177" s="9"/>
    </row>
    <row r="178">
      <c r="A178" s="9"/>
      <c r="C178" s="9"/>
    </row>
    <row r="179">
      <c r="A179" s="9"/>
      <c r="C179" s="9"/>
    </row>
    <row r="180">
      <c r="A180" s="9"/>
      <c r="C180" s="9"/>
    </row>
    <row r="181">
      <c r="A181" s="9"/>
      <c r="C181" s="9"/>
    </row>
    <row r="182">
      <c r="A182" s="9"/>
      <c r="C182" s="9"/>
    </row>
    <row r="183">
      <c r="A183" s="9"/>
      <c r="C183" s="9"/>
    </row>
    <row r="184">
      <c r="A184" s="9"/>
      <c r="C184" s="9"/>
    </row>
    <row r="185">
      <c r="A185" s="9"/>
      <c r="C185" s="9"/>
    </row>
    <row r="186">
      <c r="A186" s="9"/>
      <c r="C186" s="9"/>
    </row>
    <row r="187">
      <c r="A187" s="9"/>
      <c r="C187" s="9"/>
    </row>
    <row r="188">
      <c r="A188" s="9"/>
      <c r="C188" s="9"/>
    </row>
    <row r="189">
      <c r="A189" s="9"/>
      <c r="C189" s="9"/>
    </row>
    <row r="190">
      <c r="A190" s="9"/>
      <c r="C190" s="9"/>
    </row>
    <row r="191">
      <c r="A191" s="9"/>
      <c r="C191" s="9"/>
    </row>
    <row r="192">
      <c r="A192" s="9"/>
      <c r="C192" s="9"/>
    </row>
    <row r="193">
      <c r="A193" s="9"/>
      <c r="C193" s="9"/>
    </row>
    <row r="194">
      <c r="A194" s="9"/>
      <c r="C194" s="9"/>
    </row>
    <row r="195">
      <c r="A195" s="9"/>
      <c r="C195" s="9"/>
    </row>
    <row r="196">
      <c r="A196" s="9"/>
      <c r="C196" s="9"/>
    </row>
    <row r="197">
      <c r="A197" s="9"/>
      <c r="C197" s="9"/>
    </row>
    <row r="198">
      <c r="A198" s="9"/>
      <c r="C198" s="9"/>
    </row>
    <row r="199">
      <c r="A199" s="9"/>
      <c r="C199" s="9"/>
    </row>
    <row r="200">
      <c r="A200" s="9"/>
      <c r="C200" s="9"/>
    </row>
    <row r="201">
      <c r="A201" s="9"/>
      <c r="C201" s="9"/>
    </row>
    <row r="202">
      <c r="A202" s="9"/>
      <c r="C202" s="9"/>
    </row>
    <row r="203">
      <c r="A203" s="9"/>
      <c r="C203" s="9"/>
    </row>
    <row r="204">
      <c r="A204" s="9"/>
      <c r="C204" s="9"/>
    </row>
    <row r="205">
      <c r="A205" s="9"/>
      <c r="C205" s="9"/>
    </row>
    <row r="206">
      <c r="A206" s="9"/>
      <c r="C206" s="9"/>
    </row>
    <row r="207">
      <c r="A207" s="9"/>
      <c r="C207" s="9"/>
    </row>
    <row r="208">
      <c r="A208" s="9"/>
      <c r="C208" s="9"/>
    </row>
    <row r="209">
      <c r="A209" s="9"/>
      <c r="C209" s="9"/>
    </row>
    <row r="210">
      <c r="A210" s="9"/>
      <c r="C210" s="9"/>
    </row>
    <row r="211">
      <c r="A211" s="9"/>
      <c r="C211" s="9"/>
    </row>
    <row r="212">
      <c r="A212" s="9"/>
      <c r="C212" s="9"/>
    </row>
    <row r="213">
      <c r="A213" s="9"/>
      <c r="C213" s="9"/>
    </row>
    <row r="214">
      <c r="A214" s="9"/>
      <c r="C214" s="9"/>
    </row>
    <row r="215">
      <c r="A215" s="9"/>
      <c r="C215" s="9"/>
    </row>
    <row r="216">
      <c r="A216" s="9"/>
      <c r="C216" s="9"/>
    </row>
    <row r="217">
      <c r="A217" s="9"/>
      <c r="C217" s="9"/>
    </row>
    <row r="218">
      <c r="A218" s="9"/>
      <c r="C218" s="9"/>
    </row>
    <row r="219">
      <c r="A219" s="9"/>
      <c r="C219" s="9"/>
    </row>
    <row r="220">
      <c r="A220" s="9"/>
      <c r="C220" s="9"/>
    </row>
    <row r="221">
      <c r="A221" s="9"/>
      <c r="C221" s="9"/>
    </row>
    <row r="222">
      <c r="A222" s="9"/>
      <c r="C222" s="9"/>
    </row>
    <row r="223">
      <c r="A223" s="9"/>
      <c r="C223" s="9"/>
    </row>
    <row r="224">
      <c r="A224" s="9"/>
      <c r="C224" s="9"/>
    </row>
    <row r="225">
      <c r="A225" s="9"/>
      <c r="C225" s="9"/>
    </row>
    <row r="226">
      <c r="A226" s="9"/>
      <c r="C226" s="9"/>
    </row>
    <row r="227">
      <c r="A227" s="9"/>
      <c r="C227" s="9"/>
    </row>
    <row r="228">
      <c r="A228" s="9"/>
      <c r="C228" s="9"/>
    </row>
    <row r="229">
      <c r="A229" s="9"/>
      <c r="C229" s="9"/>
    </row>
    <row r="230">
      <c r="A230" s="9"/>
      <c r="C230" s="9"/>
    </row>
    <row r="231">
      <c r="A231" s="9"/>
      <c r="C231" s="9"/>
    </row>
    <row r="232">
      <c r="A232" s="9"/>
      <c r="C232" s="9"/>
    </row>
    <row r="233">
      <c r="A233" s="9"/>
      <c r="C233" s="9"/>
    </row>
    <row r="234">
      <c r="A234" s="9"/>
      <c r="C234" s="9"/>
    </row>
    <row r="235">
      <c r="A235" s="9"/>
      <c r="C235" s="9"/>
    </row>
    <row r="236">
      <c r="A236" s="9"/>
      <c r="C236" s="9"/>
    </row>
    <row r="237">
      <c r="A237" s="9"/>
      <c r="C237" s="9"/>
    </row>
    <row r="238">
      <c r="A238" s="9"/>
      <c r="C238" s="9"/>
    </row>
    <row r="239">
      <c r="A239" s="9"/>
      <c r="C239" s="9"/>
    </row>
    <row r="240">
      <c r="A240" s="9"/>
      <c r="C240" s="9"/>
    </row>
    <row r="241">
      <c r="A241" s="9"/>
      <c r="C241" s="9"/>
    </row>
    <row r="242">
      <c r="A242" s="9"/>
      <c r="C242" s="9"/>
    </row>
    <row r="243">
      <c r="A243" s="9"/>
      <c r="C243" s="9"/>
    </row>
    <row r="244">
      <c r="A244" s="9"/>
      <c r="C244" s="9"/>
    </row>
    <row r="245">
      <c r="A245" s="9"/>
      <c r="C245" s="9"/>
    </row>
    <row r="246">
      <c r="A246" s="9"/>
      <c r="C246" s="9"/>
    </row>
    <row r="247">
      <c r="A247" s="9"/>
      <c r="C247" s="9"/>
    </row>
    <row r="248">
      <c r="A248" s="9"/>
      <c r="C248" s="9"/>
    </row>
    <row r="249">
      <c r="A249" s="9"/>
      <c r="C249" s="9"/>
    </row>
    <row r="250">
      <c r="A250" s="9"/>
      <c r="C250" s="9"/>
    </row>
    <row r="251">
      <c r="A251" s="9"/>
      <c r="C251" s="9"/>
    </row>
    <row r="252">
      <c r="A252" s="9"/>
      <c r="C252" s="9"/>
    </row>
    <row r="253">
      <c r="A253" s="9"/>
      <c r="C253" s="9"/>
    </row>
    <row r="254">
      <c r="A254" s="9"/>
      <c r="C254" s="9"/>
    </row>
    <row r="255">
      <c r="A255" s="9"/>
      <c r="C255" s="9"/>
    </row>
    <row r="256">
      <c r="A256" s="9"/>
      <c r="C256" s="9"/>
    </row>
    <row r="257">
      <c r="A257" s="9"/>
      <c r="C257" s="9"/>
    </row>
    <row r="258">
      <c r="A258" s="9"/>
      <c r="C258" s="9"/>
    </row>
    <row r="259">
      <c r="A259" s="9"/>
      <c r="C259" s="9"/>
    </row>
    <row r="260">
      <c r="A260" s="9"/>
      <c r="C260" s="9"/>
    </row>
    <row r="261">
      <c r="A261" s="9"/>
      <c r="C261" s="9"/>
    </row>
    <row r="262">
      <c r="A262" s="9"/>
      <c r="C262" s="9"/>
    </row>
    <row r="263">
      <c r="A263" s="9"/>
      <c r="C263" s="9"/>
    </row>
    <row r="264">
      <c r="A264" s="9"/>
      <c r="C264" s="9"/>
    </row>
    <row r="265">
      <c r="A265" s="9"/>
      <c r="C265" s="9"/>
    </row>
    <row r="266">
      <c r="A266" s="9"/>
      <c r="C266" s="9"/>
    </row>
    <row r="267">
      <c r="A267" s="9"/>
      <c r="C267" s="9"/>
    </row>
    <row r="268">
      <c r="A268" s="9"/>
      <c r="C268" s="9"/>
    </row>
    <row r="269">
      <c r="A269" s="9"/>
      <c r="C269" s="9"/>
    </row>
    <row r="270">
      <c r="A270" s="9"/>
      <c r="C270" s="9"/>
    </row>
    <row r="271">
      <c r="A271" s="9"/>
      <c r="C271" s="9"/>
    </row>
    <row r="272">
      <c r="A272" s="9"/>
      <c r="C272" s="9"/>
    </row>
    <row r="273">
      <c r="A273" s="9"/>
      <c r="C273" s="9"/>
    </row>
    <row r="274">
      <c r="A274" s="9"/>
      <c r="C274" s="9"/>
    </row>
    <row r="275">
      <c r="A275" s="9"/>
      <c r="C275" s="9"/>
    </row>
    <row r="276">
      <c r="A276" s="9"/>
      <c r="C276" s="9"/>
    </row>
    <row r="277">
      <c r="A277" s="9"/>
      <c r="C277" s="9"/>
    </row>
    <row r="278">
      <c r="A278" s="9"/>
      <c r="C278" s="9"/>
    </row>
    <row r="279">
      <c r="A279" s="9"/>
      <c r="C279" s="9"/>
    </row>
    <row r="280">
      <c r="A280" s="9"/>
      <c r="C280" s="9"/>
    </row>
    <row r="281">
      <c r="A281" s="9"/>
      <c r="C281" s="9"/>
    </row>
    <row r="282">
      <c r="A282" s="9"/>
      <c r="C282" s="9"/>
    </row>
    <row r="283">
      <c r="A283" s="9"/>
      <c r="C283" s="9"/>
    </row>
    <row r="284">
      <c r="A284" s="9"/>
      <c r="C284" s="9"/>
    </row>
    <row r="285">
      <c r="A285" s="9"/>
      <c r="C285" s="9"/>
    </row>
    <row r="286">
      <c r="A286" s="9"/>
      <c r="C286" s="9"/>
    </row>
    <row r="287">
      <c r="A287" s="9"/>
      <c r="C287" s="9"/>
    </row>
    <row r="288">
      <c r="A288" s="9"/>
      <c r="C288" s="9"/>
    </row>
    <row r="289">
      <c r="A289" s="9"/>
      <c r="C289" s="9"/>
    </row>
    <row r="290">
      <c r="A290" s="9"/>
      <c r="C290" s="9"/>
    </row>
    <row r="291">
      <c r="A291" s="9"/>
      <c r="C291" s="9"/>
    </row>
    <row r="292">
      <c r="A292" s="9"/>
      <c r="C292" s="9"/>
    </row>
    <row r="293">
      <c r="A293" s="9"/>
      <c r="C293" s="9"/>
    </row>
    <row r="294">
      <c r="A294" s="9"/>
      <c r="C294" s="9"/>
    </row>
    <row r="295">
      <c r="A295" s="9"/>
      <c r="C295" s="9"/>
    </row>
    <row r="296">
      <c r="A296" s="9"/>
      <c r="C296" s="9"/>
    </row>
    <row r="297">
      <c r="A297" s="9"/>
      <c r="C297" s="9"/>
    </row>
    <row r="298">
      <c r="A298" s="9"/>
      <c r="C298" s="9"/>
    </row>
    <row r="299">
      <c r="A299" s="9"/>
      <c r="C299" s="9"/>
    </row>
    <row r="300">
      <c r="A300" s="9"/>
      <c r="C300" s="9"/>
    </row>
    <row r="301">
      <c r="A301" s="9"/>
      <c r="C301" s="9"/>
    </row>
    <row r="302">
      <c r="A302" s="9"/>
      <c r="C302" s="9"/>
    </row>
    <row r="303">
      <c r="A303" s="9"/>
      <c r="C303" s="9"/>
    </row>
    <row r="304">
      <c r="A304" s="9"/>
      <c r="C304" s="9"/>
    </row>
    <row r="305">
      <c r="A305" s="9"/>
      <c r="C305" s="9"/>
    </row>
    <row r="306">
      <c r="A306" s="9"/>
      <c r="C306" s="9"/>
    </row>
    <row r="307">
      <c r="A307" s="9"/>
      <c r="C307" s="9"/>
    </row>
    <row r="308">
      <c r="A308" s="9"/>
      <c r="C308" s="9"/>
    </row>
    <row r="309">
      <c r="A309" s="9"/>
      <c r="C309" s="9"/>
    </row>
    <row r="310">
      <c r="A310" s="9"/>
      <c r="C310" s="9"/>
    </row>
    <row r="311">
      <c r="A311" s="9"/>
      <c r="C311" s="9"/>
    </row>
    <row r="312">
      <c r="A312" s="9"/>
      <c r="C312" s="9"/>
    </row>
    <row r="313">
      <c r="A313" s="9"/>
      <c r="C313" s="9"/>
    </row>
    <row r="314">
      <c r="A314" s="9"/>
      <c r="C314" s="9"/>
    </row>
    <row r="315">
      <c r="A315" s="9"/>
      <c r="C315" s="9"/>
    </row>
    <row r="316">
      <c r="A316" s="9"/>
      <c r="C316" s="9"/>
    </row>
    <row r="317">
      <c r="A317" s="9"/>
      <c r="C317" s="9"/>
    </row>
    <row r="318">
      <c r="A318" s="9"/>
      <c r="C318" s="9"/>
    </row>
    <row r="319">
      <c r="A319" s="9"/>
      <c r="C319" s="9"/>
    </row>
    <row r="320">
      <c r="A320" s="9"/>
      <c r="C320" s="9"/>
    </row>
    <row r="321">
      <c r="A321" s="9"/>
      <c r="C321" s="9"/>
    </row>
    <row r="322">
      <c r="A322" s="9"/>
      <c r="C322" s="9"/>
    </row>
    <row r="323">
      <c r="A323" s="9"/>
      <c r="C323" s="9"/>
    </row>
    <row r="324">
      <c r="A324" s="9"/>
      <c r="C324" s="9"/>
    </row>
    <row r="325">
      <c r="A325" s="9"/>
      <c r="C325" s="9"/>
    </row>
    <row r="326">
      <c r="A326" s="9"/>
      <c r="C326" s="9"/>
    </row>
    <row r="327">
      <c r="A327" s="9"/>
      <c r="C327" s="9"/>
    </row>
    <row r="328">
      <c r="A328" s="9"/>
      <c r="C328" s="9"/>
    </row>
    <row r="329">
      <c r="A329" s="9"/>
      <c r="C329" s="9"/>
    </row>
    <row r="330">
      <c r="A330" s="9"/>
      <c r="C330" s="9"/>
    </row>
    <row r="331">
      <c r="A331" s="9"/>
      <c r="C331" s="9"/>
    </row>
    <row r="332">
      <c r="A332" s="9"/>
      <c r="C332" s="9"/>
    </row>
    <row r="333">
      <c r="A333" s="9"/>
      <c r="C333" s="9"/>
    </row>
    <row r="334">
      <c r="A334" s="9"/>
      <c r="C334" s="9"/>
    </row>
    <row r="335">
      <c r="A335" s="9"/>
      <c r="C335" s="9"/>
    </row>
    <row r="336">
      <c r="A336" s="9"/>
      <c r="C336" s="9"/>
    </row>
    <row r="337">
      <c r="A337" s="9"/>
      <c r="C337" s="9"/>
    </row>
    <row r="338">
      <c r="A338" s="9"/>
      <c r="C338" s="9"/>
    </row>
    <row r="339">
      <c r="A339" s="9"/>
      <c r="C339" s="9"/>
    </row>
    <row r="340">
      <c r="A340" s="9"/>
      <c r="C340" s="9"/>
    </row>
    <row r="341">
      <c r="A341" s="9"/>
      <c r="C341" s="9"/>
    </row>
    <row r="342">
      <c r="A342" s="9"/>
      <c r="C342" s="9"/>
    </row>
    <row r="343">
      <c r="A343" s="9"/>
      <c r="C343" s="9"/>
    </row>
    <row r="344">
      <c r="A344" s="9"/>
      <c r="C344" s="9"/>
    </row>
    <row r="345">
      <c r="A345" s="9"/>
      <c r="C345" s="9"/>
    </row>
    <row r="346">
      <c r="A346" s="9"/>
      <c r="C346" s="9"/>
    </row>
    <row r="347">
      <c r="A347" s="9"/>
      <c r="C347" s="9"/>
    </row>
    <row r="348">
      <c r="A348" s="9"/>
      <c r="C348" s="9"/>
    </row>
    <row r="349">
      <c r="A349" s="9"/>
      <c r="C349" s="9"/>
    </row>
    <row r="350">
      <c r="A350" s="9"/>
      <c r="C350" s="9"/>
    </row>
    <row r="351">
      <c r="A351" s="9"/>
      <c r="C351" s="9"/>
    </row>
    <row r="352">
      <c r="A352" s="9"/>
      <c r="C352" s="9"/>
    </row>
    <row r="353">
      <c r="A353" s="9"/>
      <c r="C353" s="9"/>
    </row>
    <row r="354">
      <c r="A354" s="9"/>
      <c r="C354" s="9"/>
    </row>
    <row r="355">
      <c r="A355" s="9"/>
      <c r="C355" s="9"/>
    </row>
    <row r="356">
      <c r="A356" s="9"/>
      <c r="C356" s="9"/>
    </row>
    <row r="357">
      <c r="A357" s="9"/>
      <c r="C357" s="9"/>
    </row>
    <row r="358">
      <c r="A358" s="9"/>
      <c r="C358" s="9"/>
    </row>
    <row r="359">
      <c r="A359" s="9"/>
      <c r="C359" s="9"/>
    </row>
    <row r="360">
      <c r="A360" s="9"/>
      <c r="C360" s="9"/>
    </row>
    <row r="361">
      <c r="A361" s="9"/>
      <c r="C361" s="9"/>
    </row>
    <row r="362">
      <c r="A362" s="9"/>
      <c r="C362" s="9"/>
    </row>
    <row r="363">
      <c r="A363" s="9"/>
      <c r="C363" s="9"/>
    </row>
    <row r="364">
      <c r="A364" s="9"/>
      <c r="C364" s="9"/>
    </row>
    <row r="365">
      <c r="A365" s="9"/>
      <c r="C365" s="9"/>
    </row>
    <row r="366">
      <c r="A366" s="9"/>
      <c r="C366" s="9"/>
    </row>
    <row r="367">
      <c r="A367" s="9"/>
      <c r="C367" s="9"/>
    </row>
    <row r="368">
      <c r="A368" s="9"/>
      <c r="C368" s="9"/>
    </row>
    <row r="369">
      <c r="A369" s="9"/>
      <c r="C369" s="9"/>
    </row>
    <row r="370">
      <c r="A370" s="9"/>
      <c r="C370" s="9"/>
    </row>
    <row r="371">
      <c r="A371" s="9"/>
      <c r="C371" s="9"/>
    </row>
    <row r="372">
      <c r="A372" s="9"/>
      <c r="C372" s="9"/>
    </row>
    <row r="373">
      <c r="A373" s="9"/>
      <c r="C373" s="9"/>
    </row>
    <row r="374">
      <c r="A374" s="9"/>
      <c r="C374" s="9"/>
    </row>
    <row r="375">
      <c r="A375" s="9"/>
      <c r="C375" s="9"/>
    </row>
    <row r="376">
      <c r="A376" s="9"/>
      <c r="C376" s="9"/>
    </row>
    <row r="377">
      <c r="A377" s="9"/>
      <c r="C377" s="9"/>
    </row>
    <row r="378">
      <c r="A378" s="9"/>
      <c r="C378" s="9"/>
    </row>
    <row r="379">
      <c r="A379" s="9"/>
      <c r="C379" s="9"/>
    </row>
    <row r="380">
      <c r="A380" s="9"/>
      <c r="C380" s="9"/>
    </row>
    <row r="381">
      <c r="A381" s="9"/>
      <c r="C381" s="9"/>
    </row>
    <row r="382">
      <c r="A382" s="9"/>
      <c r="C382" s="9"/>
    </row>
    <row r="383">
      <c r="A383" s="9"/>
      <c r="C383" s="9"/>
    </row>
    <row r="384">
      <c r="A384" s="9"/>
      <c r="C384" s="9"/>
    </row>
    <row r="385">
      <c r="A385" s="9"/>
      <c r="C385" s="9"/>
    </row>
    <row r="386">
      <c r="A386" s="9"/>
      <c r="C386" s="9"/>
    </row>
    <row r="387">
      <c r="A387" s="9"/>
      <c r="C387" s="9"/>
    </row>
    <row r="388">
      <c r="A388" s="9"/>
      <c r="C388" s="9"/>
    </row>
    <row r="389">
      <c r="A389" s="9"/>
      <c r="C389" s="9"/>
    </row>
    <row r="390">
      <c r="A390" s="9"/>
      <c r="C390" s="9"/>
    </row>
    <row r="391">
      <c r="A391" s="9"/>
      <c r="C391" s="9"/>
    </row>
    <row r="392">
      <c r="A392" s="9"/>
      <c r="C392" s="9"/>
    </row>
    <row r="393">
      <c r="A393" s="9"/>
      <c r="C393" s="9"/>
    </row>
    <row r="394">
      <c r="A394" s="9"/>
      <c r="C394" s="9"/>
    </row>
    <row r="395">
      <c r="A395" s="9"/>
      <c r="C395" s="9"/>
    </row>
    <row r="396">
      <c r="A396" s="9"/>
      <c r="C396" s="9"/>
    </row>
    <row r="397">
      <c r="A397" s="9"/>
      <c r="C397" s="9"/>
    </row>
    <row r="398">
      <c r="A398" s="9"/>
      <c r="C398" s="9"/>
    </row>
    <row r="399">
      <c r="A399" s="9"/>
      <c r="C399" s="9"/>
    </row>
    <row r="400">
      <c r="A400" s="9"/>
      <c r="C400" s="9"/>
    </row>
    <row r="401">
      <c r="A401" s="9"/>
      <c r="C401" s="9"/>
    </row>
    <row r="402">
      <c r="A402" s="9"/>
      <c r="C402" s="9"/>
    </row>
    <row r="403">
      <c r="A403" s="9"/>
      <c r="C403" s="9"/>
    </row>
    <row r="404">
      <c r="A404" s="9"/>
      <c r="C404" s="9"/>
    </row>
    <row r="405">
      <c r="A405" s="9"/>
      <c r="C405" s="9"/>
    </row>
    <row r="406">
      <c r="A406" s="9"/>
      <c r="C406" s="9"/>
    </row>
    <row r="407">
      <c r="A407" s="9"/>
      <c r="C407" s="9"/>
    </row>
    <row r="408">
      <c r="A408" s="9"/>
      <c r="C408" s="9"/>
    </row>
    <row r="409">
      <c r="A409" s="9"/>
      <c r="C409" s="9"/>
    </row>
    <row r="410">
      <c r="A410" s="9"/>
      <c r="C410" s="9"/>
    </row>
    <row r="411">
      <c r="A411" s="9"/>
      <c r="C411" s="9"/>
    </row>
    <row r="412">
      <c r="A412" s="9"/>
      <c r="C412" s="9"/>
    </row>
    <row r="413">
      <c r="A413" s="9"/>
      <c r="C413" s="9"/>
    </row>
    <row r="414">
      <c r="A414" s="9"/>
      <c r="C414" s="9"/>
    </row>
    <row r="415">
      <c r="A415" s="9"/>
      <c r="C415" s="9"/>
    </row>
    <row r="416">
      <c r="A416" s="9"/>
      <c r="C416" s="9"/>
    </row>
    <row r="417">
      <c r="A417" s="9"/>
      <c r="C417" s="9"/>
    </row>
    <row r="418">
      <c r="A418" s="9"/>
      <c r="C418" s="9"/>
    </row>
    <row r="419">
      <c r="A419" s="9"/>
      <c r="C419" s="9"/>
    </row>
    <row r="420">
      <c r="A420" s="9"/>
      <c r="C420" s="9"/>
    </row>
    <row r="421">
      <c r="A421" s="9"/>
      <c r="C421" s="9"/>
    </row>
    <row r="422">
      <c r="A422" s="9"/>
      <c r="C422" s="9"/>
    </row>
    <row r="423">
      <c r="A423" s="9"/>
      <c r="C423" s="9"/>
    </row>
    <row r="424">
      <c r="A424" s="9"/>
      <c r="C424" s="9"/>
    </row>
    <row r="425">
      <c r="A425" s="9"/>
      <c r="C425" s="9"/>
    </row>
    <row r="426">
      <c r="A426" s="9"/>
      <c r="C426" s="9"/>
    </row>
    <row r="427">
      <c r="A427" s="9"/>
      <c r="C427" s="9"/>
    </row>
    <row r="428">
      <c r="A428" s="9"/>
      <c r="C428" s="9"/>
    </row>
    <row r="429">
      <c r="A429" s="9"/>
      <c r="C429" s="9"/>
    </row>
    <row r="430">
      <c r="A430" s="9"/>
      <c r="C430" s="9"/>
    </row>
    <row r="431">
      <c r="A431" s="9"/>
      <c r="C431" s="9"/>
    </row>
    <row r="432">
      <c r="A432" s="9"/>
      <c r="C432" s="9"/>
    </row>
    <row r="433">
      <c r="A433" s="9"/>
      <c r="C433" s="9"/>
    </row>
    <row r="434">
      <c r="A434" s="9"/>
      <c r="C434" s="9"/>
    </row>
    <row r="435">
      <c r="A435" s="9"/>
      <c r="C435" s="9"/>
    </row>
    <row r="436">
      <c r="A436" s="9"/>
      <c r="C436" s="9"/>
    </row>
    <row r="437">
      <c r="A437" s="9"/>
      <c r="C437" s="9"/>
    </row>
    <row r="438">
      <c r="A438" s="9"/>
      <c r="C438" s="9"/>
    </row>
    <row r="439">
      <c r="A439" s="9"/>
      <c r="C439" s="9"/>
    </row>
    <row r="440">
      <c r="A440" s="9"/>
      <c r="C440" s="9"/>
    </row>
    <row r="441">
      <c r="A441" s="9"/>
      <c r="C441" s="9"/>
    </row>
    <row r="442">
      <c r="A442" s="9"/>
      <c r="C442" s="9"/>
    </row>
    <row r="443">
      <c r="A443" s="9"/>
      <c r="C443" s="9"/>
    </row>
    <row r="444">
      <c r="A444" s="9"/>
      <c r="C444" s="9"/>
    </row>
    <row r="445">
      <c r="A445" s="9"/>
      <c r="C445" s="9"/>
    </row>
    <row r="446">
      <c r="A446" s="9"/>
      <c r="C446" s="9"/>
    </row>
    <row r="447">
      <c r="A447" s="9"/>
      <c r="C447" s="9"/>
    </row>
    <row r="448">
      <c r="A448" s="9"/>
      <c r="C448" s="9"/>
    </row>
    <row r="449">
      <c r="A449" s="9"/>
      <c r="C449" s="9"/>
    </row>
    <row r="450">
      <c r="A450" s="9"/>
      <c r="C450" s="9"/>
    </row>
    <row r="451">
      <c r="A451" s="9"/>
      <c r="C451" s="9"/>
    </row>
    <row r="452">
      <c r="A452" s="9"/>
      <c r="C452" s="9"/>
    </row>
    <row r="453">
      <c r="A453" s="9"/>
      <c r="C453" s="9"/>
    </row>
    <row r="454">
      <c r="A454" s="9"/>
      <c r="C454" s="9"/>
    </row>
    <row r="455">
      <c r="A455" s="9"/>
      <c r="C455" s="9"/>
    </row>
    <row r="456">
      <c r="A456" s="9"/>
      <c r="C456" s="9"/>
    </row>
    <row r="457">
      <c r="A457" s="9"/>
      <c r="C457" s="9"/>
    </row>
    <row r="458">
      <c r="A458" s="9"/>
      <c r="C458" s="9"/>
    </row>
    <row r="459">
      <c r="A459" s="9"/>
      <c r="C459" s="9"/>
    </row>
    <row r="460">
      <c r="A460" s="9"/>
      <c r="C460" s="9"/>
    </row>
    <row r="461">
      <c r="A461" s="9"/>
      <c r="C461" s="9"/>
    </row>
    <row r="462">
      <c r="A462" s="9"/>
      <c r="C462" s="9"/>
    </row>
    <row r="463">
      <c r="A463" s="9"/>
      <c r="C463" s="9"/>
    </row>
    <row r="464">
      <c r="A464" s="9"/>
      <c r="C464" s="9"/>
    </row>
    <row r="465">
      <c r="A465" s="9"/>
      <c r="C465" s="9"/>
    </row>
    <row r="466">
      <c r="A466" s="9"/>
      <c r="C466" s="9"/>
    </row>
    <row r="467">
      <c r="A467" s="9"/>
      <c r="C467" s="9"/>
    </row>
    <row r="468">
      <c r="A468" s="9"/>
      <c r="C468" s="9"/>
    </row>
    <row r="469">
      <c r="A469" s="9"/>
      <c r="C469" s="9"/>
    </row>
    <row r="470">
      <c r="A470" s="9"/>
      <c r="C470" s="9"/>
    </row>
    <row r="471">
      <c r="A471" s="9"/>
      <c r="C471" s="9"/>
    </row>
    <row r="472">
      <c r="A472" s="9"/>
      <c r="C472" s="9"/>
    </row>
    <row r="473">
      <c r="A473" s="9"/>
      <c r="C473" s="9"/>
    </row>
    <row r="474">
      <c r="A474" s="9"/>
      <c r="C474" s="9"/>
    </row>
    <row r="475">
      <c r="A475" s="9"/>
      <c r="C475" s="9"/>
    </row>
    <row r="476">
      <c r="A476" s="9"/>
      <c r="C476" s="9"/>
    </row>
    <row r="477">
      <c r="A477" s="9"/>
      <c r="C477" s="9"/>
    </row>
    <row r="478">
      <c r="A478" s="9"/>
      <c r="C478" s="9"/>
    </row>
    <row r="479">
      <c r="A479" s="9"/>
      <c r="C479" s="9"/>
    </row>
    <row r="480">
      <c r="A480" s="9"/>
      <c r="C480" s="9"/>
    </row>
    <row r="481">
      <c r="A481" s="9"/>
      <c r="C481" s="9"/>
    </row>
    <row r="482">
      <c r="A482" s="9"/>
      <c r="C482" s="9"/>
    </row>
    <row r="483">
      <c r="A483" s="9"/>
      <c r="C483" s="9"/>
    </row>
    <row r="484">
      <c r="A484" s="9"/>
      <c r="C484" s="9"/>
    </row>
    <row r="485">
      <c r="A485" s="9"/>
      <c r="C485" s="9"/>
    </row>
    <row r="486">
      <c r="A486" s="9"/>
      <c r="C486" s="9"/>
    </row>
    <row r="487">
      <c r="A487" s="9"/>
      <c r="C487" s="9"/>
    </row>
    <row r="488">
      <c r="A488" s="9"/>
      <c r="C488" s="9"/>
    </row>
    <row r="489">
      <c r="A489" s="9"/>
      <c r="C489" s="9"/>
    </row>
    <row r="490">
      <c r="A490" s="9"/>
      <c r="C490" s="9"/>
    </row>
    <row r="491">
      <c r="A491" s="9"/>
      <c r="C491" s="9"/>
    </row>
    <row r="492">
      <c r="A492" s="9"/>
      <c r="C492" s="9"/>
    </row>
    <row r="493">
      <c r="A493" s="9"/>
      <c r="C493" s="9"/>
    </row>
    <row r="494">
      <c r="A494" s="9"/>
      <c r="C494" s="9"/>
    </row>
    <row r="495">
      <c r="A495" s="9"/>
      <c r="C495" s="9"/>
    </row>
    <row r="496">
      <c r="A496" s="9"/>
      <c r="C496" s="9"/>
    </row>
    <row r="497">
      <c r="A497" s="9"/>
      <c r="C497" s="9"/>
    </row>
    <row r="498">
      <c r="A498" s="9"/>
      <c r="C498" s="9"/>
    </row>
    <row r="499">
      <c r="A499" s="9"/>
      <c r="C499" s="9"/>
    </row>
    <row r="500">
      <c r="A500" s="9"/>
      <c r="C500" s="9"/>
    </row>
    <row r="501">
      <c r="A501" s="9"/>
      <c r="C501" s="9"/>
    </row>
    <row r="502">
      <c r="A502" s="9"/>
      <c r="C502" s="9"/>
    </row>
    <row r="503">
      <c r="A503" s="9"/>
      <c r="C503" s="9"/>
    </row>
    <row r="504">
      <c r="A504" s="9"/>
      <c r="C504" s="9"/>
    </row>
    <row r="505">
      <c r="A505" s="9"/>
      <c r="C505" s="9"/>
    </row>
    <row r="506">
      <c r="A506" s="9"/>
      <c r="C506" s="9"/>
    </row>
    <row r="507">
      <c r="A507" s="9"/>
      <c r="C507" s="9"/>
    </row>
    <row r="508">
      <c r="A508" s="9"/>
      <c r="C508" s="9"/>
    </row>
    <row r="509">
      <c r="A509" s="9"/>
      <c r="C509" s="9"/>
    </row>
    <row r="510">
      <c r="A510" s="9"/>
      <c r="C510" s="9"/>
    </row>
    <row r="511">
      <c r="A511" s="9"/>
      <c r="C511" s="9"/>
    </row>
    <row r="512">
      <c r="A512" s="9"/>
      <c r="C512" s="9"/>
    </row>
    <row r="513">
      <c r="A513" s="9"/>
      <c r="C513" s="9"/>
    </row>
    <row r="514">
      <c r="A514" s="9"/>
      <c r="C514" s="9"/>
    </row>
    <row r="515">
      <c r="A515" s="9"/>
      <c r="C515" s="9"/>
    </row>
    <row r="516">
      <c r="A516" s="9"/>
      <c r="C516" s="9"/>
    </row>
    <row r="517">
      <c r="A517" s="9"/>
      <c r="C517" s="9"/>
    </row>
    <row r="518">
      <c r="A518" s="9"/>
      <c r="C518" s="9"/>
    </row>
    <row r="519">
      <c r="A519" s="9"/>
      <c r="C519" s="9"/>
    </row>
    <row r="520">
      <c r="A520" s="9"/>
      <c r="C520" s="9"/>
    </row>
    <row r="521">
      <c r="A521" s="9"/>
      <c r="C521" s="9"/>
    </row>
    <row r="522">
      <c r="A522" s="9"/>
      <c r="C522" s="9"/>
    </row>
    <row r="523">
      <c r="A523" s="9"/>
      <c r="C523" s="9"/>
    </row>
    <row r="524">
      <c r="A524" s="9"/>
      <c r="C524" s="9"/>
    </row>
    <row r="525">
      <c r="A525" s="9"/>
      <c r="C525" s="9"/>
    </row>
    <row r="526">
      <c r="A526" s="9"/>
      <c r="C526" s="9"/>
    </row>
    <row r="527">
      <c r="A527" s="9"/>
      <c r="C527" s="9"/>
    </row>
    <row r="528">
      <c r="A528" s="9"/>
      <c r="C528" s="9"/>
    </row>
    <row r="529">
      <c r="A529" s="9"/>
      <c r="C529" s="9"/>
    </row>
    <row r="530">
      <c r="A530" s="9"/>
      <c r="C530" s="9"/>
    </row>
    <row r="531">
      <c r="A531" s="9"/>
      <c r="C531" s="9"/>
    </row>
    <row r="532">
      <c r="A532" s="9"/>
      <c r="C532" s="9"/>
    </row>
    <row r="533">
      <c r="A533" s="9"/>
      <c r="C533" s="9"/>
    </row>
    <row r="534">
      <c r="A534" s="9"/>
      <c r="C534" s="9"/>
    </row>
    <row r="535">
      <c r="A535" s="9"/>
      <c r="C535" s="9"/>
    </row>
    <row r="536">
      <c r="A536" s="9"/>
      <c r="C536" s="9"/>
    </row>
    <row r="537">
      <c r="A537" s="9"/>
      <c r="C537" s="9"/>
    </row>
    <row r="538">
      <c r="A538" s="9"/>
      <c r="C538" s="9"/>
    </row>
    <row r="539">
      <c r="A539" s="9"/>
      <c r="C539" s="9"/>
    </row>
    <row r="540">
      <c r="A540" s="9"/>
      <c r="C540" s="9"/>
    </row>
    <row r="541">
      <c r="A541" s="9"/>
      <c r="C541" s="9"/>
    </row>
    <row r="542">
      <c r="A542" s="9"/>
      <c r="C542" s="9"/>
    </row>
    <row r="543">
      <c r="A543" s="9"/>
      <c r="C543" s="9"/>
    </row>
    <row r="544">
      <c r="A544" s="9"/>
      <c r="C544" s="9"/>
    </row>
    <row r="545">
      <c r="A545" s="9"/>
      <c r="C545" s="9"/>
    </row>
    <row r="546">
      <c r="A546" s="9"/>
      <c r="C546" s="9"/>
    </row>
    <row r="547">
      <c r="A547" s="9"/>
      <c r="C547" s="9"/>
    </row>
    <row r="548">
      <c r="A548" s="9"/>
      <c r="C548" s="9"/>
    </row>
    <row r="549">
      <c r="A549" s="9"/>
      <c r="C549" s="9"/>
    </row>
    <row r="550">
      <c r="A550" s="9"/>
      <c r="C550" s="9"/>
    </row>
    <row r="551">
      <c r="A551" s="9"/>
      <c r="C551" s="9"/>
    </row>
    <row r="552">
      <c r="A552" s="9"/>
      <c r="C552" s="9"/>
    </row>
    <row r="553">
      <c r="A553" s="9"/>
      <c r="C553" s="9"/>
    </row>
    <row r="554">
      <c r="A554" s="9"/>
      <c r="C554" s="9"/>
    </row>
    <row r="555">
      <c r="A555" s="9"/>
      <c r="C555" s="9"/>
    </row>
    <row r="556">
      <c r="A556" s="9"/>
      <c r="C556" s="9"/>
    </row>
    <row r="557">
      <c r="A557" s="9"/>
      <c r="C557" s="9"/>
    </row>
    <row r="558">
      <c r="A558" s="9"/>
      <c r="C558" s="9"/>
    </row>
    <row r="559">
      <c r="A559" s="9"/>
      <c r="C559" s="9"/>
    </row>
    <row r="560">
      <c r="A560" s="9"/>
      <c r="C560" s="9"/>
    </row>
    <row r="561">
      <c r="A561" s="9"/>
      <c r="C561" s="9"/>
    </row>
    <row r="562">
      <c r="A562" s="9"/>
      <c r="C562" s="9"/>
    </row>
    <row r="563">
      <c r="A563" s="9"/>
      <c r="C563" s="9"/>
    </row>
    <row r="564">
      <c r="A564" s="9"/>
      <c r="C564" s="9"/>
    </row>
    <row r="565">
      <c r="A565" s="9"/>
      <c r="C565" s="9"/>
    </row>
    <row r="566">
      <c r="A566" s="9"/>
      <c r="C566" s="9"/>
    </row>
    <row r="567">
      <c r="A567" s="9"/>
      <c r="C567" s="9"/>
    </row>
    <row r="568">
      <c r="A568" s="9"/>
      <c r="C568" s="9"/>
    </row>
    <row r="569">
      <c r="A569" s="9"/>
      <c r="C569" s="9"/>
    </row>
    <row r="570">
      <c r="A570" s="9"/>
      <c r="C570" s="9"/>
    </row>
    <row r="571">
      <c r="A571" s="9"/>
      <c r="C571" s="9"/>
    </row>
    <row r="572">
      <c r="A572" s="9"/>
      <c r="C572" s="9"/>
    </row>
    <row r="573">
      <c r="A573" s="9"/>
      <c r="C573" s="9"/>
    </row>
    <row r="574">
      <c r="A574" s="9"/>
      <c r="C574" s="9"/>
    </row>
    <row r="575">
      <c r="A575" s="9"/>
      <c r="C575" s="9"/>
    </row>
    <row r="576">
      <c r="A576" s="9"/>
      <c r="C576" s="9"/>
    </row>
    <row r="577">
      <c r="A577" s="9"/>
      <c r="C577" s="9"/>
    </row>
    <row r="578">
      <c r="A578" s="9"/>
      <c r="C578" s="9"/>
    </row>
    <row r="579">
      <c r="A579" s="9"/>
      <c r="C579" s="9"/>
    </row>
    <row r="580">
      <c r="A580" s="9"/>
      <c r="C580" s="9"/>
    </row>
    <row r="581">
      <c r="A581" s="9"/>
      <c r="C581" s="9"/>
    </row>
    <row r="582">
      <c r="A582" s="9"/>
      <c r="C582" s="9"/>
    </row>
    <row r="583">
      <c r="A583" s="9"/>
      <c r="C583" s="9"/>
    </row>
    <row r="584">
      <c r="A584" s="9"/>
      <c r="C584" s="9"/>
    </row>
    <row r="585">
      <c r="A585" s="9"/>
      <c r="C585" s="9"/>
    </row>
    <row r="586">
      <c r="A586" s="9"/>
      <c r="C586" s="9"/>
    </row>
    <row r="587">
      <c r="A587" s="9"/>
      <c r="C587" s="9"/>
    </row>
    <row r="588">
      <c r="A588" s="9"/>
      <c r="C588" s="9"/>
    </row>
    <row r="589">
      <c r="A589" s="9"/>
      <c r="C589" s="9"/>
    </row>
    <row r="590">
      <c r="A590" s="9"/>
      <c r="C590" s="9"/>
    </row>
    <row r="591">
      <c r="A591" s="9"/>
      <c r="C591" s="9"/>
    </row>
    <row r="592">
      <c r="A592" s="9"/>
      <c r="C592" s="9"/>
    </row>
    <row r="593">
      <c r="A593" s="9"/>
      <c r="C593" s="9"/>
    </row>
    <row r="594">
      <c r="A594" s="9"/>
      <c r="C594" s="9"/>
    </row>
    <row r="595">
      <c r="A595" s="9"/>
      <c r="C595" s="9"/>
    </row>
    <row r="596">
      <c r="A596" s="9"/>
      <c r="C596" s="9"/>
    </row>
    <row r="597">
      <c r="A597" s="9"/>
      <c r="C597" s="9"/>
    </row>
    <row r="598">
      <c r="A598" s="9"/>
      <c r="C598" s="9"/>
    </row>
    <row r="599">
      <c r="A599" s="9"/>
      <c r="C599" s="9"/>
    </row>
    <row r="600">
      <c r="A600" s="9"/>
      <c r="C600" s="9"/>
    </row>
    <row r="601">
      <c r="A601" s="9"/>
      <c r="C601" s="9"/>
    </row>
    <row r="602">
      <c r="A602" s="9"/>
      <c r="C602" s="9"/>
    </row>
    <row r="603">
      <c r="A603" s="9"/>
      <c r="C603" s="9"/>
    </row>
    <row r="604">
      <c r="A604" s="9"/>
      <c r="C604" s="9"/>
    </row>
    <row r="605">
      <c r="A605" s="9"/>
      <c r="C605" s="9"/>
    </row>
    <row r="606">
      <c r="A606" s="9"/>
      <c r="C606" s="9"/>
    </row>
    <row r="607">
      <c r="A607" s="9"/>
      <c r="C607" s="9"/>
    </row>
    <row r="608">
      <c r="A608" s="9"/>
      <c r="C608" s="9"/>
    </row>
    <row r="609">
      <c r="A609" s="9"/>
      <c r="C609" s="9"/>
    </row>
    <row r="610">
      <c r="A610" s="9"/>
      <c r="C610" s="9"/>
    </row>
    <row r="611">
      <c r="A611" s="9"/>
      <c r="C611" s="9"/>
    </row>
    <row r="612">
      <c r="A612" s="9"/>
      <c r="C612" s="9"/>
    </row>
    <row r="613">
      <c r="A613" s="9"/>
      <c r="C613" s="9"/>
    </row>
    <row r="614">
      <c r="A614" s="9"/>
      <c r="C614" s="9"/>
    </row>
    <row r="615">
      <c r="A615" s="9"/>
      <c r="C615" s="9"/>
    </row>
    <row r="616">
      <c r="A616" s="9"/>
      <c r="C616" s="9"/>
    </row>
    <row r="617">
      <c r="A617" s="9"/>
      <c r="C617" s="9"/>
    </row>
    <row r="618">
      <c r="A618" s="9"/>
      <c r="C618" s="9"/>
    </row>
    <row r="619">
      <c r="A619" s="9"/>
      <c r="C619" s="9"/>
    </row>
    <row r="620">
      <c r="A620" s="9"/>
      <c r="C620" s="9"/>
    </row>
    <row r="621">
      <c r="A621" s="9"/>
      <c r="C621" s="9"/>
    </row>
    <row r="622">
      <c r="A622" s="9"/>
      <c r="C622" s="9"/>
    </row>
    <row r="623">
      <c r="A623" s="9"/>
      <c r="C623" s="9"/>
    </row>
    <row r="624">
      <c r="A624" s="9"/>
      <c r="C624" s="9"/>
    </row>
    <row r="625">
      <c r="A625" s="9"/>
      <c r="C625" s="9"/>
    </row>
    <row r="626">
      <c r="A626" s="9"/>
      <c r="C626" s="9"/>
    </row>
    <row r="627">
      <c r="A627" s="9"/>
      <c r="C627" s="9"/>
    </row>
    <row r="628">
      <c r="A628" s="9"/>
      <c r="C628" s="9"/>
    </row>
    <row r="629">
      <c r="A629" s="9"/>
      <c r="C629" s="9"/>
    </row>
    <row r="630">
      <c r="A630" s="9"/>
      <c r="C630" s="9"/>
    </row>
    <row r="631">
      <c r="A631" s="9"/>
      <c r="C631" s="9"/>
    </row>
    <row r="632">
      <c r="A632" s="9"/>
      <c r="C632" s="9"/>
    </row>
    <row r="633">
      <c r="A633" s="9"/>
      <c r="C633" s="9"/>
    </row>
    <row r="634">
      <c r="A634" s="9"/>
      <c r="C634" s="9"/>
    </row>
    <row r="635">
      <c r="A635" s="9"/>
      <c r="C635" s="9"/>
    </row>
    <row r="636">
      <c r="A636" s="9"/>
      <c r="C636" s="9"/>
    </row>
    <row r="637">
      <c r="A637" s="9"/>
      <c r="C637" s="9"/>
    </row>
    <row r="638">
      <c r="A638" s="9"/>
      <c r="C638" s="9"/>
    </row>
    <row r="639">
      <c r="A639" s="9"/>
      <c r="C639" s="9"/>
    </row>
    <row r="640">
      <c r="A640" s="9"/>
      <c r="C640" s="9"/>
    </row>
    <row r="641">
      <c r="A641" s="9"/>
      <c r="C641" s="9"/>
    </row>
    <row r="642">
      <c r="A642" s="9"/>
      <c r="C642" s="9"/>
    </row>
    <row r="643">
      <c r="A643" s="9"/>
      <c r="C643" s="9"/>
    </row>
    <row r="644">
      <c r="A644" s="9"/>
      <c r="C644" s="9"/>
    </row>
    <row r="645">
      <c r="A645" s="9"/>
      <c r="C645" s="9"/>
    </row>
    <row r="646">
      <c r="A646" s="9"/>
      <c r="C646" s="9"/>
    </row>
    <row r="647">
      <c r="A647" s="9"/>
      <c r="C647" s="9"/>
    </row>
    <row r="648">
      <c r="A648" s="9"/>
      <c r="C648" s="9"/>
    </row>
    <row r="649">
      <c r="A649" s="9"/>
      <c r="C649" s="9"/>
    </row>
    <row r="650">
      <c r="A650" s="9"/>
      <c r="C650" s="9"/>
    </row>
    <row r="651">
      <c r="A651" s="9"/>
      <c r="C651" s="9"/>
    </row>
    <row r="652">
      <c r="A652" s="9"/>
      <c r="C652" s="9"/>
    </row>
    <row r="653">
      <c r="A653" s="9"/>
      <c r="C653" s="9"/>
    </row>
    <row r="654">
      <c r="A654" s="9"/>
      <c r="C654" s="9"/>
    </row>
    <row r="655">
      <c r="A655" s="9"/>
      <c r="C655" s="9"/>
    </row>
    <row r="656">
      <c r="A656" s="9"/>
      <c r="C656" s="9"/>
    </row>
    <row r="657">
      <c r="A657" s="9"/>
      <c r="C657" s="9"/>
    </row>
    <row r="658">
      <c r="A658" s="9"/>
      <c r="C658" s="9"/>
    </row>
    <row r="659">
      <c r="A659" s="9"/>
      <c r="C659" s="9"/>
    </row>
    <row r="660">
      <c r="A660" s="9"/>
      <c r="C660" s="9"/>
    </row>
    <row r="661">
      <c r="A661" s="9"/>
      <c r="C661" s="9"/>
    </row>
    <row r="662">
      <c r="A662" s="9"/>
      <c r="C662" s="9"/>
    </row>
    <row r="663">
      <c r="A663" s="9"/>
      <c r="C663" s="9"/>
    </row>
    <row r="664">
      <c r="A664" s="9"/>
      <c r="C664" s="9"/>
    </row>
    <row r="665">
      <c r="A665" s="9"/>
      <c r="C665" s="9"/>
    </row>
    <row r="666">
      <c r="A666" s="9"/>
      <c r="C666" s="9"/>
    </row>
    <row r="667">
      <c r="A667" s="9"/>
      <c r="C667" s="9"/>
    </row>
    <row r="668">
      <c r="A668" s="9"/>
      <c r="C668" s="9"/>
    </row>
    <row r="669">
      <c r="A669" s="9"/>
      <c r="C669" s="9"/>
    </row>
    <row r="670">
      <c r="A670" s="9"/>
      <c r="C670" s="9"/>
    </row>
    <row r="671">
      <c r="A671" s="9"/>
      <c r="C671" s="9"/>
    </row>
    <row r="672">
      <c r="A672" s="9"/>
      <c r="C672" s="9"/>
    </row>
    <row r="673">
      <c r="A673" s="9"/>
      <c r="C673" s="9"/>
    </row>
    <row r="674">
      <c r="A674" s="9"/>
      <c r="C674" s="9"/>
    </row>
    <row r="675">
      <c r="A675" s="9"/>
      <c r="C675" s="9"/>
    </row>
    <row r="676">
      <c r="A676" s="9"/>
      <c r="C676" s="9"/>
    </row>
    <row r="677">
      <c r="A677" s="9"/>
      <c r="C677" s="9"/>
    </row>
    <row r="678">
      <c r="A678" s="9"/>
      <c r="C678" s="9"/>
    </row>
    <row r="679">
      <c r="A679" s="9"/>
      <c r="C679" s="9"/>
    </row>
    <row r="680">
      <c r="A680" s="9"/>
      <c r="C680" s="9"/>
    </row>
    <row r="681">
      <c r="A681" s="9"/>
      <c r="C681" s="9"/>
    </row>
    <row r="682">
      <c r="A682" s="9"/>
      <c r="C682" s="9"/>
    </row>
    <row r="683">
      <c r="A683" s="9"/>
      <c r="C683" s="9"/>
    </row>
    <row r="684">
      <c r="A684" s="9"/>
      <c r="C684" s="9"/>
    </row>
    <row r="685">
      <c r="A685" s="9"/>
      <c r="C685" s="9"/>
    </row>
    <row r="686">
      <c r="A686" s="9"/>
      <c r="C686" s="9"/>
    </row>
    <row r="687">
      <c r="A687" s="9"/>
      <c r="C687" s="9"/>
    </row>
    <row r="688">
      <c r="A688" s="9"/>
      <c r="C688" s="9"/>
    </row>
    <row r="689">
      <c r="A689" s="9"/>
      <c r="C689" s="9"/>
    </row>
    <row r="690">
      <c r="A690" s="9"/>
      <c r="C690" s="9"/>
    </row>
    <row r="691">
      <c r="A691" s="9"/>
      <c r="C691" s="9"/>
    </row>
    <row r="692">
      <c r="A692" s="9"/>
      <c r="C692" s="9"/>
    </row>
    <row r="693">
      <c r="A693" s="9"/>
      <c r="C693" s="9"/>
    </row>
    <row r="694">
      <c r="A694" s="9"/>
      <c r="C694" s="9"/>
    </row>
    <row r="695">
      <c r="A695" s="9"/>
      <c r="C695" s="9"/>
    </row>
    <row r="696">
      <c r="A696" s="9"/>
      <c r="C696" s="9"/>
    </row>
    <row r="697">
      <c r="A697" s="9"/>
      <c r="C697" s="9"/>
    </row>
    <row r="698">
      <c r="A698" s="9"/>
      <c r="C698" s="9"/>
    </row>
    <row r="699">
      <c r="A699" s="9"/>
      <c r="C699" s="9"/>
    </row>
    <row r="700">
      <c r="A700" s="9"/>
      <c r="C700" s="9"/>
    </row>
    <row r="701">
      <c r="A701" s="9"/>
      <c r="C701" s="9"/>
    </row>
    <row r="702">
      <c r="A702" s="9"/>
      <c r="C702" s="9"/>
    </row>
    <row r="703">
      <c r="A703" s="9"/>
      <c r="C703" s="9"/>
    </row>
    <row r="704">
      <c r="A704" s="9"/>
      <c r="C704" s="9"/>
    </row>
    <row r="705">
      <c r="A705" s="9"/>
      <c r="C705" s="9"/>
    </row>
    <row r="706">
      <c r="A706" s="9"/>
      <c r="C706" s="9"/>
    </row>
    <row r="707">
      <c r="A707" s="9"/>
      <c r="C707" s="9"/>
    </row>
    <row r="708">
      <c r="A708" s="9"/>
      <c r="C708" s="9"/>
    </row>
    <row r="709">
      <c r="A709" s="9"/>
      <c r="C709" s="9"/>
    </row>
    <row r="710">
      <c r="A710" s="9"/>
      <c r="C710" s="9"/>
    </row>
    <row r="711">
      <c r="A711" s="9"/>
      <c r="C711" s="9"/>
    </row>
    <row r="712">
      <c r="A712" s="9"/>
      <c r="C712" s="9"/>
    </row>
    <row r="713">
      <c r="A713" s="9"/>
      <c r="C713" s="9"/>
    </row>
    <row r="714">
      <c r="A714" s="9"/>
      <c r="C714" s="9"/>
    </row>
    <row r="715">
      <c r="A715" s="9"/>
      <c r="C715" s="9"/>
    </row>
    <row r="716">
      <c r="A716" s="9"/>
      <c r="C716" s="9"/>
    </row>
    <row r="717">
      <c r="A717" s="9"/>
      <c r="C717" s="9"/>
    </row>
    <row r="718">
      <c r="A718" s="9"/>
      <c r="C718" s="9"/>
    </row>
    <row r="719">
      <c r="A719" s="9"/>
      <c r="C719" s="9"/>
    </row>
    <row r="720">
      <c r="A720" s="9"/>
      <c r="C720" s="9"/>
    </row>
    <row r="721">
      <c r="A721" s="9"/>
      <c r="C721" s="9"/>
    </row>
    <row r="722">
      <c r="A722" s="9"/>
      <c r="C722" s="9"/>
    </row>
    <row r="723">
      <c r="A723" s="9"/>
      <c r="C723" s="9"/>
    </row>
    <row r="724">
      <c r="A724" s="9"/>
      <c r="C724" s="9"/>
    </row>
    <row r="725">
      <c r="A725" s="9"/>
      <c r="C725" s="9"/>
    </row>
    <row r="726">
      <c r="A726" s="9"/>
      <c r="C726" s="9"/>
    </row>
    <row r="727">
      <c r="A727" s="9"/>
      <c r="C727" s="9"/>
    </row>
    <row r="728">
      <c r="A728" s="9"/>
      <c r="C728" s="9"/>
    </row>
    <row r="729">
      <c r="A729" s="9"/>
      <c r="C729" s="9"/>
    </row>
    <row r="730">
      <c r="A730" s="9"/>
      <c r="C730" s="9"/>
    </row>
    <row r="731">
      <c r="A731" s="9"/>
      <c r="C731" s="9"/>
    </row>
    <row r="732">
      <c r="A732" s="9"/>
      <c r="C732" s="9"/>
    </row>
    <row r="733">
      <c r="A733" s="9"/>
      <c r="C733" s="9"/>
    </row>
    <row r="734">
      <c r="A734" s="9"/>
      <c r="C734" s="9"/>
    </row>
    <row r="735">
      <c r="A735" s="9"/>
      <c r="C735" s="9"/>
    </row>
    <row r="736">
      <c r="A736" s="9"/>
      <c r="C736" s="9"/>
    </row>
    <row r="737">
      <c r="A737" s="9"/>
      <c r="C737" s="9"/>
    </row>
    <row r="738">
      <c r="A738" s="9"/>
      <c r="C738" s="9"/>
    </row>
    <row r="739">
      <c r="A739" s="9"/>
      <c r="C739" s="9"/>
    </row>
    <row r="740">
      <c r="A740" s="9"/>
      <c r="C740" s="9"/>
    </row>
    <row r="741">
      <c r="A741" s="9"/>
      <c r="C741" s="9"/>
    </row>
    <row r="742">
      <c r="A742" s="9"/>
      <c r="C742" s="9"/>
    </row>
    <row r="743">
      <c r="A743" s="9"/>
      <c r="C743" s="9"/>
    </row>
    <row r="744">
      <c r="A744" s="9"/>
      <c r="C744" s="9"/>
    </row>
    <row r="745">
      <c r="A745" s="9"/>
      <c r="C745" s="9"/>
    </row>
    <row r="746">
      <c r="A746" s="9"/>
      <c r="C746" s="9"/>
    </row>
    <row r="747">
      <c r="A747" s="9"/>
      <c r="C747" s="9"/>
    </row>
    <row r="748">
      <c r="A748" s="9"/>
      <c r="C748" s="9"/>
    </row>
    <row r="749">
      <c r="A749" s="9"/>
      <c r="C749" s="9"/>
    </row>
    <row r="750">
      <c r="A750" s="9"/>
      <c r="C750" s="9"/>
    </row>
    <row r="751">
      <c r="A751" s="9"/>
      <c r="C751" s="9"/>
    </row>
    <row r="752">
      <c r="A752" s="9"/>
      <c r="C752" s="9"/>
    </row>
    <row r="753">
      <c r="A753" s="9"/>
      <c r="C753" s="9"/>
    </row>
    <row r="754">
      <c r="A754" s="9"/>
      <c r="C754" s="9"/>
    </row>
    <row r="755">
      <c r="A755" s="9"/>
      <c r="C755" s="9"/>
    </row>
    <row r="756">
      <c r="A756" s="9"/>
      <c r="C756" s="9"/>
    </row>
    <row r="757">
      <c r="A757" s="9"/>
      <c r="C757" s="9"/>
    </row>
    <row r="758">
      <c r="A758" s="9"/>
      <c r="C758" s="9"/>
    </row>
    <row r="759">
      <c r="A759" s="9"/>
      <c r="C759" s="9"/>
    </row>
    <row r="760">
      <c r="A760" s="9"/>
      <c r="C760" s="9"/>
    </row>
    <row r="761">
      <c r="A761" s="9"/>
      <c r="C761" s="9"/>
    </row>
    <row r="762">
      <c r="A762" s="9"/>
      <c r="C762" s="9"/>
    </row>
    <row r="763">
      <c r="A763" s="9"/>
      <c r="C763" s="9"/>
    </row>
    <row r="764">
      <c r="A764" s="9"/>
      <c r="C764" s="9"/>
    </row>
    <row r="765">
      <c r="A765" s="9"/>
      <c r="C765" s="9"/>
    </row>
    <row r="766">
      <c r="A766" s="9"/>
      <c r="C766" s="9"/>
    </row>
    <row r="767">
      <c r="A767" s="9"/>
      <c r="C767" s="9"/>
    </row>
    <row r="768">
      <c r="A768" s="9"/>
      <c r="C768" s="9"/>
    </row>
    <row r="769">
      <c r="A769" s="9"/>
      <c r="C769" s="9"/>
    </row>
    <row r="770">
      <c r="A770" s="9"/>
      <c r="C770" s="9"/>
    </row>
    <row r="771">
      <c r="A771" s="9"/>
      <c r="C771" s="9"/>
    </row>
    <row r="772">
      <c r="A772" s="9"/>
      <c r="C772" s="9"/>
    </row>
    <row r="773">
      <c r="A773" s="9"/>
      <c r="C773" s="9"/>
    </row>
    <row r="774">
      <c r="A774" s="9"/>
      <c r="C774" s="9"/>
    </row>
    <row r="775">
      <c r="A775" s="9"/>
      <c r="C775" s="9"/>
    </row>
    <row r="776">
      <c r="A776" s="9"/>
      <c r="C776" s="9"/>
    </row>
    <row r="777">
      <c r="A777" s="9"/>
      <c r="C777" s="9"/>
    </row>
    <row r="778">
      <c r="A778" s="9"/>
      <c r="C778" s="9"/>
    </row>
    <row r="779">
      <c r="A779" s="9"/>
      <c r="C779" s="9"/>
    </row>
    <row r="780">
      <c r="A780" s="9"/>
      <c r="C780" s="9"/>
    </row>
    <row r="781">
      <c r="A781" s="9"/>
      <c r="C781" s="9"/>
    </row>
    <row r="782">
      <c r="A782" s="9"/>
      <c r="C782" s="9"/>
    </row>
    <row r="783">
      <c r="A783" s="9"/>
      <c r="C783" s="9"/>
    </row>
    <row r="784">
      <c r="A784" s="9"/>
      <c r="C784" s="9"/>
    </row>
    <row r="785">
      <c r="A785" s="9"/>
      <c r="C785" s="9"/>
    </row>
    <row r="786">
      <c r="A786" s="9"/>
      <c r="C786" s="9"/>
    </row>
    <row r="787">
      <c r="A787" s="9"/>
      <c r="C787" s="9"/>
    </row>
    <row r="788">
      <c r="A788" s="9"/>
      <c r="C788" s="9"/>
    </row>
    <row r="789">
      <c r="A789" s="9"/>
      <c r="C789" s="9"/>
    </row>
    <row r="790">
      <c r="A790" s="9"/>
      <c r="C790" s="9"/>
    </row>
    <row r="791">
      <c r="A791" s="9"/>
      <c r="C791" s="9"/>
    </row>
    <row r="792">
      <c r="A792" s="9"/>
      <c r="C792" s="9"/>
    </row>
    <row r="793">
      <c r="A793" s="9"/>
      <c r="C793" s="9"/>
    </row>
    <row r="794">
      <c r="A794" s="9"/>
      <c r="C794" s="9"/>
    </row>
    <row r="795">
      <c r="A795" s="9"/>
      <c r="C795" s="9"/>
    </row>
    <row r="796">
      <c r="A796" s="9"/>
      <c r="C796" s="9"/>
    </row>
    <row r="797">
      <c r="A797" s="9"/>
      <c r="C797" s="9"/>
    </row>
    <row r="798">
      <c r="A798" s="9"/>
      <c r="C798" s="9"/>
    </row>
    <row r="799">
      <c r="A799" s="9"/>
      <c r="C799" s="9"/>
    </row>
    <row r="800">
      <c r="A800" s="9"/>
      <c r="C800" s="9"/>
    </row>
    <row r="801">
      <c r="A801" s="9"/>
      <c r="C801" s="9"/>
    </row>
    <row r="802">
      <c r="A802" s="9"/>
      <c r="C802" s="9"/>
    </row>
    <row r="803">
      <c r="A803" s="9"/>
      <c r="C803" s="9"/>
    </row>
    <row r="804">
      <c r="A804" s="9"/>
      <c r="C804" s="9"/>
    </row>
    <row r="805">
      <c r="A805" s="9"/>
      <c r="C805" s="9"/>
    </row>
    <row r="806">
      <c r="A806" s="9"/>
      <c r="C806" s="9"/>
    </row>
    <row r="807">
      <c r="A807" s="9"/>
      <c r="C807" s="9"/>
    </row>
    <row r="808">
      <c r="A808" s="9"/>
      <c r="C808" s="9"/>
    </row>
    <row r="809">
      <c r="A809" s="9"/>
      <c r="C809" s="9"/>
    </row>
    <row r="810">
      <c r="A810" s="9"/>
      <c r="C810" s="9"/>
    </row>
    <row r="811">
      <c r="A811" s="9"/>
      <c r="C811" s="9"/>
    </row>
    <row r="812">
      <c r="A812" s="9"/>
      <c r="C812" s="9"/>
    </row>
    <row r="813">
      <c r="A813" s="9"/>
      <c r="C813" s="9"/>
    </row>
    <row r="814">
      <c r="A814" s="9"/>
      <c r="C814" s="9"/>
    </row>
    <row r="815">
      <c r="A815" s="9"/>
      <c r="C815" s="9"/>
    </row>
    <row r="816">
      <c r="A816" s="9"/>
      <c r="C816" s="9"/>
    </row>
    <row r="817">
      <c r="A817" s="9"/>
      <c r="C817" s="9"/>
    </row>
    <row r="818">
      <c r="A818" s="9"/>
      <c r="C818" s="9"/>
    </row>
    <row r="819">
      <c r="A819" s="9"/>
      <c r="C819" s="9"/>
    </row>
    <row r="820">
      <c r="A820" s="9"/>
      <c r="C820" s="9"/>
    </row>
    <row r="821">
      <c r="A821" s="9"/>
      <c r="C821" s="9"/>
    </row>
    <row r="822">
      <c r="A822" s="9"/>
      <c r="C822" s="9"/>
    </row>
    <row r="823">
      <c r="A823" s="9"/>
      <c r="C823" s="9"/>
    </row>
    <row r="824">
      <c r="A824" s="9"/>
      <c r="C824" s="9"/>
    </row>
    <row r="825">
      <c r="A825" s="9"/>
      <c r="C825" s="9"/>
    </row>
    <row r="826">
      <c r="A826" s="9"/>
      <c r="C826" s="9"/>
    </row>
    <row r="827">
      <c r="A827" s="9"/>
      <c r="C827" s="9"/>
    </row>
    <row r="828">
      <c r="A828" s="9"/>
      <c r="C828" s="9"/>
    </row>
    <row r="829">
      <c r="A829" s="9"/>
      <c r="C829" s="9"/>
    </row>
    <row r="830">
      <c r="A830" s="9"/>
      <c r="C830" s="9"/>
    </row>
    <row r="831">
      <c r="A831" s="9"/>
      <c r="C831" s="9"/>
    </row>
    <row r="832">
      <c r="A832" s="9"/>
      <c r="C832" s="9"/>
    </row>
    <row r="833">
      <c r="A833" s="9"/>
      <c r="C833" s="9"/>
    </row>
    <row r="834">
      <c r="A834" s="9"/>
      <c r="C834" s="9"/>
    </row>
    <row r="835">
      <c r="A835" s="9"/>
      <c r="C835" s="9"/>
    </row>
    <row r="836">
      <c r="A836" s="9"/>
      <c r="C836" s="9"/>
    </row>
    <row r="837">
      <c r="A837" s="9"/>
      <c r="C837" s="9"/>
    </row>
    <row r="838">
      <c r="A838" s="9"/>
      <c r="C838" s="9"/>
    </row>
    <row r="839">
      <c r="A839" s="9"/>
      <c r="C839" s="9"/>
    </row>
    <row r="840">
      <c r="A840" s="9"/>
      <c r="C840" s="9"/>
    </row>
    <row r="841">
      <c r="A841" s="9"/>
      <c r="C841" s="9"/>
    </row>
    <row r="842">
      <c r="A842" s="9"/>
      <c r="C842" s="9"/>
    </row>
    <row r="843">
      <c r="A843" s="9"/>
      <c r="C843" s="9"/>
    </row>
    <row r="844">
      <c r="A844" s="9"/>
      <c r="C844" s="9"/>
    </row>
    <row r="845">
      <c r="A845" s="9"/>
      <c r="C845" s="9"/>
    </row>
    <row r="846">
      <c r="A846" s="9"/>
      <c r="C846" s="9"/>
    </row>
    <row r="847">
      <c r="A847" s="9"/>
      <c r="C847" s="9"/>
    </row>
    <row r="848">
      <c r="A848" s="9"/>
      <c r="C848" s="9"/>
    </row>
    <row r="849">
      <c r="A849" s="9"/>
      <c r="C849" s="9"/>
    </row>
    <row r="850">
      <c r="A850" s="9"/>
      <c r="C850" s="9"/>
    </row>
    <row r="851">
      <c r="A851" s="9"/>
      <c r="C851" s="9"/>
    </row>
    <row r="852">
      <c r="A852" s="9"/>
      <c r="C852" s="9"/>
    </row>
    <row r="853">
      <c r="A853" s="9"/>
      <c r="C853" s="9"/>
    </row>
    <row r="854">
      <c r="A854" s="9"/>
      <c r="C854" s="9"/>
    </row>
    <row r="855">
      <c r="A855" s="9"/>
      <c r="C855" s="9"/>
    </row>
    <row r="856">
      <c r="A856" s="9"/>
      <c r="C856" s="9"/>
    </row>
    <row r="857">
      <c r="A857" s="9"/>
      <c r="C857" s="9"/>
    </row>
    <row r="858">
      <c r="A858" s="9"/>
      <c r="C858" s="9"/>
    </row>
    <row r="859">
      <c r="A859" s="9"/>
      <c r="C859" s="9"/>
    </row>
    <row r="860">
      <c r="A860" s="9"/>
      <c r="C860" s="9"/>
    </row>
    <row r="861">
      <c r="A861" s="9"/>
      <c r="C861" s="9"/>
    </row>
    <row r="862">
      <c r="A862" s="9"/>
      <c r="C862" s="9"/>
    </row>
    <row r="863">
      <c r="A863" s="9"/>
      <c r="C863" s="9"/>
    </row>
    <row r="864">
      <c r="A864" s="9"/>
      <c r="C864" s="9"/>
    </row>
    <row r="865">
      <c r="A865" s="9"/>
      <c r="C865" s="9"/>
    </row>
    <row r="866">
      <c r="A866" s="9"/>
      <c r="C866" s="9"/>
    </row>
    <row r="867">
      <c r="A867" s="9"/>
      <c r="C867" s="9"/>
    </row>
    <row r="868">
      <c r="A868" s="9"/>
      <c r="C868" s="9"/>
    </row>
    <row r="869">
      <c r="A869" s="9"/>
      <c r="C869" s="9"/>
    </row>
    <row r="870">
      <c r="A870" s="9"/>
      <c r="C870" s="9"/>
    </row>
    <row r="871">
      <c r="A871" s="9"/>
      <c r="C871" s="9"/>
    </row>
    <row r="872">
      <c r="A872" s="9"/>
      <c r="C872" s="9"/>
    </row>
    <row r="873">
      <c r="A873" s="9"/>
      <c r="C873" s="9"/>
    </row>
    <row r="874">
      <c r="A874" s="9"/>
      <c r="C874" s="9"/>
    </row>
    <row r="875">
      <c r="A875" s="9"/>
      <c r="C875" s="9"/>
    </row>
    <row r="876">
      <c r="A876" s="9"/>
      <c r="C876" s="9"/>
    </row>
    <row r="877">
      <c r="A877" s="9"/>
      <c r="C877" s="9"/>
    </row>
    <row r="878">
      <c r="A878" s="9"/>
      <c r="C878" s="9"/>
    </row>
    <row r="879">
      <c r="A879" s="9"/>
      <c r="C879" s="9"/>
    </row>
    <row r="880">
      <c r="A880" s="9"/>
      <c r="C880" s="9"/>
    </row>
    <row r="881">
      <c r="A881" s="9"/>
      <c r="C881" s="9"/>
    </row>
    <row r="882">
      <c r="A882" s="9"/>
      <c r="C882" s="9"/>
    </row>
    <row r="883">
      <c r="A883" s="9"/>
      <c r="C883" s="9"/>
    </row>
    <row r="884">
      <c r="A884" s="9"/>
      <c r="C884" s="9"/>
    </row>
    <row r="885">
      <c r="A885" s="9"/>
      <c r="C885" s="9"/>
    </row>
    <row r="886">
      <c r="A886" s="9"/>
      <c r="C886" s="9"/>
    </row>
    <row r="887">
      <c r="A887" s="9"/>
      <c r="C887" s="9"/>
    </row>
    <row r="888">
      <c r="A888" s="9"/>
      <c r="C888" s="9"/>
    </row>
    <row r="889">
      <c r="A889" s="9"/>
      <c r="C889" s="9"/>
    </row>
    <row r="890">
      <c r="A890" s="9"/>
      <c r="C890" s="9"/>
    </row>
    <row r="891">
      <c r="A891" s="9"/>
      <c r="C891" s="9"/>
    </row>
    <row r="892">
      <c r="A892" s="9"/>
      <c r="C892" s="9"/>
    </row>
    <row r="893">
      <c r="A893" s="9"/>
      <c r="C893" s="9"/>
    </row>
    <row r="894">
      <c r="A894" s="9"/>
      <c r="C894" s="9"/>
    </row>
    <row r="895">
      <c r="A895" s="9"/>
      <c r="C895" s="9"/>
    </row>
    <row r="896">
      <c r="A896" s="9"/>
      <c r="C896" s="9"/>
    </row>
    <row r="897">
      <c r="A897" s="9"/>
      <c r="C897" s="9"/>
    </row>
    <row r="898">
      <c r="A898" s="9"/>
      <c r="C898" s="9"/>
    </row>
    <row r="899">
      <c r="A899" s="9"/>
      <c r="C899" s="9"/>
    </row>
    <row r="900">
      <c r="A900" s="9"/>
      <c r="C900" s="9"/>
    </row>
    <row r="901">
      <c r="A901" s="9"/>
      <c r="C901" s="9"/>
    </row>
    <row r="902">
      <c r="A902" s="9"/>
      <c r="C902" s="9"/>
    </row>
    <row r="903">
      <c r="A903" s="9"/>
      <c r="C903" s="9"/>
    </row>
    <row r="904">
      <c r="A904" s="9"/>
      <c r="C904" s="9"/>
    </row>
    <row r="905">
      <c r="A905" s="9"/>
      <c r="C905" s="9"/>
    </row>
    <row r="906">
      <c r="A906" s="9"/>
      <c r="C906" s="9"/>
    </row>
    <row r="907">
      <c r="A907" s="9"/>
      <c r="C907" s="9"/>
    </row>
    <row r="908">
      <c r="A908" s="9"/>
      <c r="C908" s="9"/>
    </row>
    <row r="909">
      <c r="A909" s="9"/>
      <c r="C909" s="9"/>
    </row>
    <row r="910">
      <c r="A910" s="9"/>
      <c r="C910" s="9"/>
    </row>
    <row r="911">
      <c r="A911" s="9"/>
      <c r="C911" s="9"/>
    </row>
    <row r="912">
      <c r="A912" s="9"/>
      <c r="C912" s="9"/>
    </row>
    <row r="913">
      <c r="A913" s="9"/>
      <c r="C913" s="9"/>
    </row>
    <row r="914">
      <c r="A914" s="9"/>
      <c r="C914" s="9"/>
    </row>
    <row r="915">
      <c r="A915" s="9"/>
      <c r="C915" s="9"/>
    </row>
    <row r="916">
      <c r="A916" s="9"/>
      <c r="C916" s="9"/>
    </row>
    <row r="917">
      <c r="A917" s="9"/>
      <c r="C917" s="9"/>
    </row>
    <row r="918">
      <c r="A918" s="9"/>
      <c r="C918" s="9"/>
    </row>
    <row r="919">
      <c r="A919" s="9"/>
      <c r="C919" s="9"/>
    </row>
    <row r="920">
      <c r="A920" s="9"/>
      <c r="C920" s="9"/>
    </row>
    <row r="921">
      <c r="A921" s="9"/>
      <c r="C921" s="9"/>
    </row>
    <row r="922">
      <c r="A922" s="9"/>
      <c r="C922" s="9"/>
    </row>
    <row r="923">
      <c r="A923" s="9"/>
      <c r="C923" s="9"/>
    </row>
    <row r="924">
      <c r="A924" s="9"/>
      <c r="C924" s="9"/>
    </row>
    <row r="925">
      <c r="A925" s="9"/>
      <c r="C925" s="9"/>
    </row>
    <row r="926">
      <c r="A926" s="9"/>
      <c r="C926" s="9"/>
    </row>
    <row r="927">
      <c r="A927" s="9"/>
      <c r="C927" s="9"/>
    </row>
    <row r="928">
      <c r="A928" s="9"/>
      <c r="C928" s="9"/>
    </row>
    <row r="929">
      <c r="A929" s="9"/>
      <c r="C929" s="9"/>
    </row>
    <row r="930">
      <c r="A930" s="9"/>
      <c r="C930" s="9"/>
    </row>
    <row r="931">
      <c r="A931" s="9"/>
      <c r="C931" s="9"/>
    </row>
    <row r="932">
      <c r="A932" s="9"/>
      <c r="C932" s="9"/>
    </row>
    <row r="933">
      <c r="A933" s="9"/>
      <c r="C933" s="9"/>
    </row>
    <row r="934">
      <c r="A934" s="9"/>
      <c r="C934" s="9"/>
    </row>
    <row r="935">
      <c r="A935" s="9"/>
      <c r="C935" s="9"/>
    </row>
    <row r="936">
      <c r="A936" s="9"/>
      <c r="C936" s="9"/>
    </row>
    <row r="937">
      <c r="A937" s="9"/>
      <c r="C937" s="9"/>
    </row>
    <row r="938">
      <c r="A938" s="9"/>
      <c r="C938" s="9"/>
    </row>
    <row r="939">
      <c r="A939" s="9"/>
      <c r="C939" s="9"/>
    </row>
    <row r="940">
      <c r="A940" s="9"/>
      <c r="C940" s="9"/>
    </row>
    <row r="941">
      <c r="A941" s="9"/>
      <c r="C941" s="9"/>
    </row>
    <row r="942">
      <c r="A942" s="9"/>
      <c r="C942" s="9"/>
    </row>
    <row r="943">
      <c r="A943" s="9"/>
      <c r="C943" s="9"/>
    </row>
    <row r="944">
      <c r="A944" s="9"/>
      <c r="C944" s="9"/>
    </row>
    <row r="945">
      <c r="A945" s="9"/>
      <c r="C945" s="9"/>
    </row>
    <row r="946">
      <c r="A946" s="9"/>
      <c r="C946" s="9"/>
    </row>
    <row r="947">
      <c r="A947" s="9"/>
      <c r="C947" s="9"/>
    </row>
    <row r="948">
      <c r="A948" s="9"/>
      <c r="C948" s="9"/>
    </row>
    <row r="949">
      <c r="A949" s="9"/>
      <c r="C949" s="9"/>
    </row>
    <row r="950">
      <c r="A950" s="9"/>
      <c r="C950" s="9"/>
    </row>
    <row r="951">
      <c r="A951" s="9"/>
      <c r="C951" s="9"/>
    </row>
    <row r="952">
      <c r="A952" s="9"/>
      <c r="C952" s="9"/>
    </row>
    <row r="953">
      <c r="A953" s="9"/>
      <c r="C953" s="9"/>
    </row>
    <row r="954">
      <c r="A954" s="9"/>
      <c r="C954" s="9"/>
    </row>
    <row r="955">
      <c r="A955" s="9"/>
      <c r="C955" s="9"/>
    </row>
    <row r="956">
      <c r="A956" s="9"/>
      <c r="C956" s="9"/>
    </row>
    <row r="957">
      <c r="A957" s="9"/>
      <c r="C957" s="9"/>
    </row>
    <row r="958">
      <c r="A958" s="9"/>
      <c r="C958" s="9"/>
    </row>
    <row r="959">
      <c r="A959" s="9"/>
      <c r="C959" s="9"/>
    </row>
    <row r="960">
      <c r="A960" s="9"/>
      <c r="C960" s="9"/>
    </row>
    <row r="961">
      <c r="A961" s="9"/>
      <c r="C961" s="9"/>
    </row>
    <row r="962">
      <c r="A962" s="9"/>
      <c r="C962" s="9"/>
    </row>
    <row r="963">
      <c r="A963" s="9"/>
      <c r="C963" s="9"/>
    </row>
    <row r="964">
      <c r="A964" s="9"/>
      <c r="C964" s="9"/>
    </row>
    <row r="965">
      <c r="A965" s="9"/>
      <c r="C965" s="9"/>
    </row>
    <row r="966">
      <c r="A966" s="9"/>
      <c r="C966" s="9"/>
    </row>
    <row r="967">
      <c r="A967" s="9"/>
      <c r="C967" s="9"/>
    </row>
    <row r="968">
      <c r="A968" s="9"/>
      <c r="C968" s="9"/>
    </row>
    <row r="969">
      <c r="A969" s="9"/>
      <c r="C969" s="9"/>
    </row>
    <row r="970">
      <c r="A970" s="9"/>
      <c r="C970" s="9"/>
    </row>
    <row r="971">
      <c r="A971" s="9"/>
      <c r="C971" s="9"/>
    </row>
    <row r="972">
      <c r="A972" s="9"/>
      <c r="C972" s="9"/>
    </row>
    <row r="973">
      <c r="A973" s="9"/>
      <c r="C973" s="9"/>
    </row>
    <row r="974">
      <c r="A974" s="9"/>
      <c r="C974" s="9"/>
    </row>
    <row r="975">
      <c r="A975" s="9"/>
      <c r="C975" s="9"/>
    </row>
    <row r="976">
      <c r="A976" s="9"/>
      <c r="C976" s="9"/>
    </row>
    <row r="977">
      <c r="A977" s="9"/>
      <c r="C977" s="9"/>
    </row>
  </sheetData>
  <autoFilter ref="$A$1:$D$26"/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13"/>
    <col customWidth="1" min="2" max="28" width="6.5"/>
  </cols>
  <sheetData>
    <row r="1">
      <c r="A1" s="15" t="s">
        <v>29</v>
      </c>
      <c r="B1" s="16" t="s">
        <v>22</v>
      </c>
      <c r="C1" s="16" t="s">
        <v>24</v>
      </c>
      <c r="D1" s="17" t="s">
        <v>12</v>
      </c>
      <c r="E1" s="16" t="s">
        <v>16</v>
      </c>
      <c r="F1" s="16" t="s">
        <v>18</v>
      </c>
      <c r="G1" s="16" t="s">
        <v>17</v>
      </c>
      <c r="H1" s="16" t="s">
        <v>6</v>
      </c>
      <c r="I1" s="16" t="s">
        <v>2</v>
      </c>
      <c r="J1" s="16" t="s">
        <v>14</v>
      </c>
      <c r="K1" s="16" t="s">
        <v>21</v>
      </c>
      <c r="L1" s="16" t="s">
        <v>15</v>
      </c>
      <c r="M1" s="16" t="s">
        <v>4</v>
      </c>
      <c r="N1" s="16" t="s">
        <v>10</v>
      </c>
      <c r="O1" s="16" t="s">
        <v>5</v>
      </c>
      <c r="P1" s="16" t="s">
        <v>9</v>
      </c>
      <c r="Q1" s="16" t="s">
        <v>13</v>
      </c>
      <c r="R1" s="16" t="s">
        <v>28</v>
      </c>
      <c r="S1" s="16" t="s">
        <v>23</v>
      </c>
      <c r="T1" s="16" t="s">
        <v>20</v>
      </c>
      <c r="U1" s="16" t="s">
        <v>25</v>
      </c>
      <c r="V1" s="16" t="s">
        <v>26</v>
      </c>
      <c r="W1" s="16" t="s">
        <v>27</v>
      </c>
      <c r="X1" s="16" t="s">
        <v>7</v>
      </c>
      <c r="Y1" s="16" t="s">
        <v>8</v>
      </c>
      <c r="Z1" s="16" t="s">
        <v>19</v>
      </c>
      <c r="AA1" s="18" t="s">
        <v>30</v>
      </c>
      <c r="AB1" s="19"/>
    </row>
    <row r="2">
      <c r="A2" s="15" t="s">
        <v>31</v>
      </c>
      <c r="B2" s="20">
        <v>1.0</v>
      </c>
      <c r="C2" s="21">
        <v>2.0</v>
      </c>
      <c r="D2" s="21">
        <v>3.0</v>
      </c>
      <c r="E2" s="21">
        <v>3.0</v>
      </c>
      <c r="F2" s="21">
        <v>3.0</v>
      </c>
      <c r="G2" s="21">
        <v>3.0</v>
      </c>
      <c r="H2" s="21">
        <v>3.0</v>
      </c>
      <c r="I2" s="21">
        <v>4.0</v>
      </c>
      <c r="J2" s="21">
        <v>4.0</v>
      </c>
      <c r="K2" s="21">
        <v>2.0</v>
      </c>
      <c r="L2" s="21">
        <v>3.0</v>
      </c>
      <c r="M2" s="21">
        <v>3.0</v>
      </c>
      <c r="N2" s="21">
        <v>3.0</v>
      </c>
      <c r="O2" s="21">
        <v>3.0</v>
      </c>
      <c r="P2" s="21">
        <v>3.0</v>
      </c>
      <c r="Q2" s="21">
        <v>4.0</v>
      </c>
      <c r="R2" s="21">
        <v>3.0</v>
      </c>
      <c r="S2" s="21">
        <v>3.0</v>
      </c>
      <c r="T2" s="21">
        <v>2.0</v>
      </c>
      <c r="U2" s="21">
        <v>2.0</v>
      </c>
      <c r="V2" s="21">
        <v>2.0</v>
      </c>
      <c r="W2" s="21">
        <v>1.0</v>
      </c>
      <c r="X2" s="21">
        <v>2.0</v>
      </c>
      <c r="Y2" s="21">
        <v>3.0</v>
      </c>
      <c r="Z2" s="21">
        <v>2.0</v>
      </c>
      <c r="AA2" s="22">
        <f t="shared" ref="AA2:AA27" si="1">SUM(B2:Z2)</f>
        <v>67</v>
      </c>
      <c r="AB2" s="23">
        <f t="shared" ref="AB2:AB27" si="2">(AA2-$B$37)/$B$37</f>
        <v>-0.2131887986</v>
      </c>
    </row>
    <row r="3">
      <c r="A3" s="15" t="s">
        <v>32</v>
      </c>
      <c r="B3" s="21">
        <v>4.0</v>
      </c>
      <c r="C3" s="20">
        <v>1.0</v>
      </c>
      <c r="D3" s="21">
        <v>4.0</v>
      </c>
      <c r="E3" s="21">
        <v>3.0</v>
      </c>
      <c r="F3" s="21">
        <v>3.0</v>
      </c>
      <c r="G3" s="21">
        <v>4.0</v>
      </c>
      <c r="H3" s="21">
        <v>3.0</v>
      </c>
      <c r="I3" s="21">
        <v>3.0</v>
      </c>
      <c r="J3" s="21">
        <v>3.0</v>
      </c>
      <c r="K3" s="21">
        <v>4.0</v>
      </c>
      <c r="L3" s="21">
        <v>5.0</v>
      </c>
      <c r="M3" s="21">
        <v>5.0</v>
      </c>
      <c r="N3" s="21">
        <v>4.0</v>
      </c>
      <c r="O3" s="21">
        <v>4.0</v>
      </c>
      <c r="P3" s="21">
        <v>3.0</v>
      </c>
      <c r="Q3" s="21">
        <v>3.0</v>
      </c>
      <c r="R3" s="21">
        <v>3.0</v>
      </c>
      <c r="S3" s="21">
        <v>3.0</v>
      </c>
      <c r="T3" s="21">
        <v>4.0</v>
      </c>
      <c r="U3" s="21">
        <v>4.0</v>
      </c>
      <c r="V3" s="21">
        <v>4.0</v>
      </c>
      <c r="W3" s="21">
        <v>4.0</v>
      </c>
      <c r="X3" s="21">
        <v>5.0</v>
      </c>
      <c r="Y3" s="21">
        <v>4.0</v>
      </c>
      <c r="Z3" s="21">
        <v>3.0</v>
      </c>
      <c r="AA3" s="22">
        <f t="shared" si="1"/>
        <v>90</v>
      </c>
      <c r="AB3" s="23">
        <f t="shared" si="2"/>
        <v>0.05691056911</v>
      </c>
    </row>
    <row r="4">
      <c r="A4" s="24" t="s">
        <v>33</v>
      </c>
      <c r="B4" s="21">
        <v>3.0</v>
      </c>
      <c r="C4" s="21">
        <v>3.0</v>
      </c>
      <c r="D4" s="21">
        <v>3.0</v>
      </c>
      <c r="E4" s="21">
        <v>4.0</v>
      </c>
      <c r="F4" s="21">
        <v>3.0</v>
      </c>
      <c r="G4" s="21">
        <v>2.0</v>
      </c>
      <c r="H4" s="21">
        <v>4.0</v>
      </c>
      <c r="I4" s="21">
        <v>5.0</v>
      </c>
      <c r="J4" s="21">
        <v>3.0</v>
      </c>
      <c r="K4" s="21">
        <v>3.0</v>
      </c>
      <c r="L4" s="21">
        <v>3.0</v>
      </c>
      <c r="M4" s="21">
        <v>4.0</v>
      </c>
      <c r="N4" s="21">
        <v>3.0</v>
      </c>
      <c r="O4" s="21">
        <v>3.0</v>
      </c>
      <c r="P4" s="21">
        <v>3.0</v>
      </c>
      <c r="Q4" s="21">
        <v>2.0</v>
      </c>
      <c r="R4" s="21">
        <v>2.0</v>
      </c>
      <c r="S4" s="21">
        <v>2.0</v>
      </c>
      <c r="T4" s="21">
        <v>2.0</v>
      </c>
      <c r="U4" s="21">
        <v>2.0</v>
      </c>
      <c r="V4" s="21">
        <v>3.0</v>
      </c>
      <c r="W4" s="21">
        <v>3.0</v>
      </c>
      <c r="X4" s="21">
        <v>3.0</v>
      </c>
      <c r="Y4" s="21">
        <v>5.0</v>
      </c>
      <c r="Z4" s="21">
        <v>3.0</v>
      </c>
      <c r="AA4" s="22">
        <f t="shared" si="1"/>
        <v>76</v>
      </c>
      <c r="AB4" s="23">
        <f t="shared" si="2"/>
        <v>-0.1074977416</v>
      </c>
    </row>
    <row r="5">
      <c r="A5" s="15" t="s">
        <v>34</v>
      </c>
      <c r="B5" s="21">
        <v>3.0</v>
      </c>
      <c r="C5" s="21">
        <v>3.0</v>
      </c>
      <c r="D5" s="21">
        <v>3.0</v>
      </c>
      <c r="E5" s="20">
        <v>1.0</v>
      </c>
      <c r="F5" s="21">
        <v>3.0</v>
      </c>
      <c r="G5" s="21">
        <v>3.0</v>
      </c>
      <c r="H5" s="21">
        <v>4.0</v>
      </c>
      <c r="I5" s="21">
        <v>4.0</v>
      </c>
      <c r="J5" s="21">
        <v>4.0</v>
      </c>
      <c r="K5" s="21">
        <v>3.0</v>
      </c>
      <c r="L5" s="21">
        <v>3.0</v>
      </c>
      <c r="M5" s="21">
        <v>3.0</v>
      </c>
      <c r="N5" s="21">
        <v>3.0</v>
      </c>
      <c r="O5" s="21">
        <v>5.0</v>
      </c>
      <c r="P5" s="21">
        <v>3.0</v>
      </c>
      <c r="Q5" s="21">
        <v>3.0</v>
      </c>
      <c r="R5" s="21">
        <v>3.0</v>
      </c>
      <c r="S5" s="21">
        <v>4.0</v>
      </c>
      <c r="T5" s="21">
        <v>3.0</v>
      </c>
      <c r="U5" s="21">
        <v>3.0</v>
      </c>
      <c r="V5" s="21">
        <v>4.0</v>
      </c>
      <c r="W5" s="21">
        <v>3.0</v>
      </c>
      <c r="X5" s="21">
        <v>3.0</v>
      </c>
      <c r="Y5" s="21">
        <v>4.0</v>
      </c>
      <c r="Z5" s="21">
        <v>4.0</v>
      </c>
      <c r="AA5" s="22">
        <f t="shared" si="1"/>
        <v>82</v>
      </c>
      <c r="AB5" s="23">
        <f t="shared" si="2"/>
        <v>-0.03703703704</v>
      </c>
    </row>
    <row r="6">
      <c r="A6" s="15" t="s">
        <v>35</v>
      </c>
      <c r="B6" s="21">
        <v>2.0</v>
      </c>
      <c r="C6" s="21">
        <v>2.0</v>
      </c>
      <c r="D6" s="21">
        <v>2.0</v>
      </c>
      <c r="E6" s="21">
        <v>3.0</v>
      </c>
      <c r="F6" s="20">
        <v>1.0</v>
      </c>
      <c r="G6" s="21">
        <v>2.0</v>
      </c>
      <c r="H6" s="21">
        <v>4.0</v>
      </c>
      <c r="I6" s="21">
        <v>5.0</v>
      </c>
      <c r="J6" s="21">
        <v>3.0</v>
      </c>
      <c r="K6" s="21">
        <v>3.0</v>
      </c>
      <c r="L6" s="21">
        <v>4.0</v>
      </c>
      <c r="M6" s="21">
        <v>5.0</v>
      </c>
      <c r="N6" s="21">
        <v>4.0</v>
      </c>
      <c r="O6" s="21">
        <v>5.0</v>
      </c>
      <c r="P6" s="21">
        <v>4.0</v>
      </c>
      <c r="Q6" s="21">
        <v>5.0</v>
      </c>
      <c r="R6" s="21">
        <v>2.0</v>
      </c>
      <c r="S6" s="21">
        <v>3.0</v>
      </c>
      <c r="T6" s="21">
        <v>5.0</v>
      </c>
      <c r="U6" s="21">
        <v>2.0</v>
      </c>
      <c r="V6" s="21">
        <v>2.0</v>
      </c>
      <c r="W6" s="21">
        <v>1.0</v>
      </c>
      <c r="X6" s="21">
        <v>5.0</v>
      </c>
      <c r="Y6" s="21">
        <v>5.0</v>
      </c>
      <c r="Z6" s="21">
        <v>3.0</v>
      </c>
      <c r="AA6" s="22">
        <f t="shared" si="1"/>
        <v>82</v>
      </c>
      <c r="AB6" s="23">
        <f t="shared" si="2"/>
        <v>-0.03703703704</v>
      </c>
    </row>
    <row r="7">
      <c r="A7" s="15" t="s">
        <v>36</v>
      </c>
      <c r="B7" s="21">
        <v>4.0</v>
      </c>
      <c r="C7" s="21">
        <v>3.0</v>
      </c>
      <c r="D7" s="21">
        <v>3.0</v>
      </c>
      <c r="E7" s="21">
        <v>4.0</v>
      </c>
      <c r="F7" s="21">
        <v>3.0</v>
      </c>
      <c r="G7" s="20">
        <v>1.0</v>
      </c>
      <c r="H7" s="21">
        <v>3.0</v>
      </c>
      <c r="I7" s="21">
        <v>5.0</v>
      </c>
      <c r="J7" s="21">
        <v>4.0</v>
      </c>
      <c r="K7" s="21">
        <v>3.0</v>
      </c>
      <c r="L7" s="21">
        <v>3.0</v>
      </c>
      <c r="M7" s="21">
        <v>4.0</v>
      </c>
      <c r="N7" s="21">
        <v>3.0</v>
      </c>
      <c r="O7" s="21">
        <v>3.0</v>
      </c>
      <c r="P7" s="21">
        <v>5.0</v>
      </c>
      <c r="Q7" s="21">
        <v>3.0</v>
      </c>
      <c r="R7" s="21">
        <v>3.0</v>
      </c>
      <c r="S7" s="21">
        <v>3.0</v>
      </c>
      <c r="T7" s="21">
        <v>3.0</v>
      </c>
      <c r="U7" s="21">
        <v>4.0</v>
      </c>
      <c r="V7" s="21">
        <v>3.0</v>
      </c>
      <c r="W7" s="21">
        <v>4.0</v>
      </c>
      <c r="X7" s="21">
        <v>4.0</v>
      </c>
      <c r="Y7" s="21">
        <v>5.0</v>
      </c>
      <c r="Z7" s="21">
        <v>3.0</v>
      </c>
      <c r="AA7" s="22">
        <f t="shared" si="1"/>
        <v>86</v>
      </c>
      <c r="AB7" s="23">
        <f t="shared" si="2"/>
        <v>0.009936766034</v>
      </c>
    </row>
    <row r="8">
      <c r="A8" s="15" t="s">
        <v>37</v>
      </c>
      <c r="B8" s="21">
        <v>3.0</v>
      </c>
      <c r="C8" s="21">
        <v>3.0</v>
      </c>
      <c r="D8" s="21">
        <v>3.0</v>
      </c>
      <c r="E8" s="21">
        <v>3.0</v>
      </c>
      <c r="F8" s="21">
        <v>3.0</v>
      </c>
      <c r="G8" s="21">
        <v>3.0</v>
      </c>
      <c r="H8" s="20">
        <v>1.0</v>
      </c>
      <c r="I8" s="21">
        <v>4.0</v>
      </c>
      <c r="J8" s="21">
        <v>4.0</v>
      </c>
      <c r="K8" s="21">
        <v>4.0</v>
      </c>
      <c r="L8" s="21">
        <v>3.0</v>
      </c>
      <c r="M8" s="21">
        <v>4.0</v>
      </c>
      <c r="N8" s="21">
        <v>4.0</v>
      </c>
      <c r="O8" s="21">
        <v>5.0</v>
      </c>
      <c r="P8" s="21">
        <v>4.0</v>
      </c>
      <c r="Q8" s="21">
        <v>5.0</v>
      </c>
      <c r="R8" s="21">
        <v>2.0</v>
      </c>
      <c r="S8" s="21">
        <v>3.0</v>
      </c>
      <c r="T8" s="21">
        <v>3.0</v>
      </c>
      <c r="U8" s="21">
        <v>4.0</v>
      </c>
      <c r="V8" s="21">
        <v>3.0</v>
      </c>
      <c r="W8" s="21">
        <v>3.0</v>
      </c>
      <c r="X8" s="21">
        <v>5.0</v>
      </c>
      <c r="Y8" s="21">
        <v>4.0</v>
      </c>
      <c r="Z8" s="21">
        <v>5.0</v>
      </c>
      <c r="AA8" s="22">
        <f t="shared" si="1"/>
        <v>88</v>
      </c>
      <c r="AB8" s="23">
        <f t="shared" si="2"/>
        <v>0.03342366757</v>
      </c>
    </row>
    <row r="9">
      <c r="A9" s="15" t="s">
        <v>38</v>
      </c>
      <c r="B9" s="21">
        <v>3.0</v>
      </c>
      <c r="C9" s="21">
        <v>4.0</v>
      </c>
      <c r="D9" s="21">
        <v>5.0</v>
      </c>
      <c r="E9" s="21">
        <v>4.0</v>
      </c>
      <c r="F9" s="21">
        <v>5.0</v>
      </c>
      <c r="G9" s="21">
        <v>5.0</v>
      </c>
      <c r="H9" s="21">
        <v>5.0</v>
      </c>
      <c r="I9" s="20">
        <v>1.0</v>
      </c>
      <c r="J9" s="21">
        <v>5.0</v>
      </c>
      <c r="K9" s="21">
        <v>3.0</v>
      </c>
      <c r="L9" s="21">
        <v>5.0</v>
      </c>
      <c r="M9" s="21">
        <v>4.0</v>
      </c>
      <c r="N9" s="21">
        <v>3.0</v>
      </c>
      <c r="O9" s="21">
        <v>5.0</v>
      </c>
      <c r="P9" s="21">
        <v>4.0</v>
      </c>
      <c r="Q9" s="21">
        <v>4.0</v>
      </c>
      <c r="R9" s="21">
        <v>3.0</v>
      </c>
      <c r="S9" s="21">
        <v>3.0</v>
      </c>
      <c r="T9" s="21">
        <v>3.0</v>
      </c>
      <c r="U9" s="21">
        <v>4.0</v>
      </c>
      <c r="V9" s="21">
        <v>3.0</v>
      </c>
      <c r="W9" s="21">
        <v>3.0</v>
      </c>
      <c r="X9" s="21">
        <v>5.0</v>
      </c>
      <c r="Y9" s="21">
        <v>4.0</v>
      </c>
      <c r="Z9" s="21">
        <v>4.0</v>
      </c>
      <c r="AA9" s="22">
        <f t="shared" si="1"/>
        <v>97</v>
      </c>
      <c r="AB9" s="23">
        <f t="shared" si="2"/>
        <v>0.1391147245</v>
      </c>
    </row>
    <row r="10">
      <c r="A10" s="15" t="s">
        <v>39</v>
      </c>
      <c r="B10" s="21">
        <v>3.0</v>
      </c>
      <c r="C10" s="21">
        <v>3.0</v>
      </c>
      <c r="D10" s="21">
        <v>2.0</v>
      </c>
      <c r="E10" s="21">
        <v>3.0</v>
      </c>
      <c r="F10" s="21">
        <v>4.0</v>
      </c>
      <c r="G10" s="21">
        <v>3.0</v>
      </c>
      <c r="H10" s="21">
        <v>3.0</v>
      </c>
      <c r="I10" s="21">
        <v>5.0</v>
      </c>
      <c r="J10" s="20">
        <v>1.0</v>
      </c>
      <c r="K10" s="21">
        <v>2.0</v>
      </c>
      <c r="L10" s="21">
        <v>3.0</v>
      </c>
      <c r="M10" s="21">
        <v>5.0</v>
      </c>
      <c r="N10" s="21">
        <v>3.0</v>
      </c>
      <c r="O10" s="21">
        <v>4.0</v>
      </c>
      <c r="P10" s="21">
        <v>2.0</v>
      </c>
      <c r="Q10" s="21">
        <v>3.0</v>
      </c>
      <c r="R10" s="21">
        <v>4.0</v>
      </c>
      <c r="S10" s="21">
        <v>3.0</v>
      </c>
      <c r="T10" s="21">
        <v>3.0</v>
      </c>
      <c r="U10" s="21">
        <v>2.0</v>
      </c>
      <c r="V10" s="21">
        <v>3.0</v>
      </c>
      <c r="W10" s="21">
        <v>2.0</v>
      </c>
      <c r="X10" s="21">
        <v>5.0</v>
      </c>
      <c r="Y10" s="21">
        <v>3.0</v>
      </c>
      <c r="Z10" s="21">
        <v>2.0</v>
      </c>
      <c r="AA10" s="22">
        <f t="shared" si="1"/>
        <v>76</v>
      </c>
      <c r="AB10" s="23">
        <f t="shared" si="2"/>
        <v>-0.1074977416</v>
      </c>
    </row>
    <row r="11">
      <c r="A11" s="15" t="s">
        <v>40</v>
      </c>
      <c r="B11" s="21">
        <v>3.0</v>
      </c>
      <c r="C11" s="21">
        <v>4.0</v>
      </c>
      <c r="D11" s="21">
        <v>5.0</v>
      </c>
      <c r="E11" s="21">
        <v>4.0</v>
      </c>
      <c r="F11" s="21">
        <v>4.0</v>
      </c>
      <c r="G11" s="21">
        <v>5.0</v>
      </c>
      <c r="H11" s="21">
        <v>5.0</v>
      </c>
      <c r="I11" s="21">
        <v>4.0</v>
      </c>
      <c r="J11" s="21">
        <v>3.0</v>
      </c>
      <c r="K11" s="20">
        <v>1.0</v>
      </c>
      <c r="L11" s="21">
        <v>3.0</v>
      </c>
      <c r="M11" s="21">
        <v>4.0</v>
      </c>
      <c r="N11" s="21">
        <v>5.0</v>
      </c>
      <c r="O11" s="21">
        <v>4.0</v>
      </c>
      <c r="P11" s="21">
        <v>3.0</v>
      </c>
      <c r="Q11" s="21">
        <v>4.0</v>
      </c>
      <c r="R11" s="21">
        <v>3.0</v>
      </c>
      <c r="S11" s="21">
        <v>3.0</v>
      </c>
      <c r="T11" s="21">
        <v>3.0</v>
      </c>
      <c r="U11" s="21">
        <v>5.0</v>
      </c>
      <c r="V11" s="21">
        <v>4.0</v>
      </c>
      <c r="W11" s="21">
        <v>4.0</v>
      </c>
      <c r="X11" s="21">
        <v>4.0</v>
      </c>
      <c r="Y11" s="21">
        <v>4.0</v>
      </c>
      <c r="Z11" s="21">
        <v>4.0</v>
      </c>
      <c r="AA11" s="22">
        <f t="shared" si="1"/>
        <v>95</v>
      </c>
      <c r="AB11" s="23">
        <f t="shared" si="2"/>
        <v>0.1156278229</v>
      </c>
    </row>
    <row r="12">
      <c r="A12" s="15" t="s">
        <v>41</v>
      </c>
      <c r="B12" s="21">
        <v>3.0</v>
      </c>
      <c r="C12" s="21">
        <v>3.0</v>
      </c>
      <c r="D12" s="21">
        <v>4.0</v>
      </c>
      <c r="E12" s="21">
        <v>4.0</v>
      </c>
      <c r="F12" s="21">
        <v>5.0</v>
      </c>
      <c r="G12" s="21">
        <v>4.0</v>
      </c>
      <c r="H12" s="21">
        <v>5.0</v>
      </c>
      <c r="I12" s="21">
        <v>5.0</v>
      </c>
      <c r="J12" s="21">
        <v>4.0</v>
      </c>
      <c r="K12" s="21">
        <v>5.0</v>
      </c>
      <c r="L12" s="20">
        <v>1.0</v>
      </c>
      <c r="M12" s="21">
        <v>5.0</v>
      </c>
      <c r="N12" s="21">
        <v>4.0</v>
      </c>
      <c r="O12" s="21">
        <v>5.0</v>
      </c>
      <c r="P12" s="21">
        <v>5.0</v>
      </c>
      <c r="Q12" s="21">
        <v>4.0</v>
      </c>
      <c r="R12" s="21">
        <v>3.0</v>
      </c>
      <c r="S12" s="21">
        <v>4.0</v>
      </c>
      <c r="T12" s="21">
        <v>5.0</v>
      </c>
      <c r="U12" s="21">
        <v>3.0</v>
      </c>
      <c r="V12" s="21">
        <v>4.0</v>
      </c>
      <c r="W12" s="21">
        <v>3.0</v>
      </c>
      <c r="X12" s="21">
        <v>5.0</v>
      </c>
      <c r="Y12" s="21">
        <v>5.0</v>
      </c>
      <c r="Z12" s="21">
        <v>5.0</v>
      </c>
      <c r="AA12" s="22">
        <f t="shared" si="1"/>
        <v>103</v>
      </c>
      <c r="AB12" s="23">
        <f t="shared" si="2"/>
        <v>0.2095754291</v>
      </c>
    </row>
    <row r="13">
      <c r="A13" s="15" t="s">
        <v>42</v>
      </c>
      <c r="B13" s="21">
        <v>2.0</v>
      </c>
      <c r="C13" s="21">
        <v>1.0</v>
      </c>
      <c r="D13" s="21">
        <v>1.0</v>
      </c>
      <c r="E13" s="21">
        <v>2.0</v>
      </c>
      <c r="F13" s="21">
        <v>2.0</v>
      </c>
      <c r="G13" s="21">
        <v>2.0</v>
      </c>
      <c r="H13" s="21">
        <v>4.0</v>
      </c>
      <c r="I13" s="21">
        <v>5.0</v>
      </c>
      <c r="J13" s="21">
        <v>2.0</v>
      </c>
      <c r="K13" s="21">
        <v>1.0</v>
      </c>
      <c r="L13" s="21">
        <v>1.0</v>
      </c>
      <c r="M13" s="20">
        <v>1.0</v>
      </c>
      <c r="N13" s="21">
        <v>1.0</v>
      </c>
      <c r="O13" s="21">
        <v>4.0</v>
      </c>
      <c r="P13" s="21">
        <v>4.0</v>
      </c>
      <c r="Q13" s="21">
        <v>3.0</v>
      </c>
      <c r="R13" s="21">
        <v>1.0</v>
      </c>
      <c r="S13" s="21">
        <v>2.0</v>
      </c>
      <c r="T13" s="21">
        <v>1.0</v>
      </c>
      <c r="U13" s="21">
        <v>1.0</v>
      </c>
      <c r="V13" s="21">
        <v>3.0</v>
      </c>
      <c r="W13" s="21">
        <v>1.0</v>
      </c>
      <c r="X13" s="21">
        <v>5.0</v>
      </c>
      <c r="Y13" s="21">
        <v>2.0</v>
      </c>
      <c r="Z13" s="21">
        <v>1.0</v>
      </c>
      <c r="AA13" s="22">
        <f t="shared" si="1"/>
        <v>53</v>
      </c>
      <c r="AB13" s="23">
        <f t="shared" si="2"/>
        <v>-0.3775971093</v>
      </c>
    </row>
    <row r="14">
      <c r="A14" s="15" t="s">
        <v>43</v>
      </c>
      <c r="B14" s="21">
        <v>3.0</v>
      </c>
      <c r="C14" s="21">
        <v>3.0</v>
      </c>
      <c r="D14" s="21">
        <v>4.0</v>
      </c>
      <c r="E14" s="21">
        <v>4.0</v>
      </c>
      <c r="F14" s="21">
        <v>4.0</v>
      </c>
      <c r="G14" s="21">
        <v>3.0</v>
      </c>
      <c r="H14" s="21">
        <v>4.0</v>
      </c>
      <c r="I14" s="21">
        <v>5.0</v>
      </c>
      <c r="J14" s="21">
        <v>4.0</v>
      </c>
      <c r="K14" s="21">
        <v>4.0</v>
      </c>
      <c r="L14" s="21">
        <v>4.0</v>
      </c>
      <c r="M14" s="21">
        <v>4.0</v>
      </c>
      <c r="N14" s="20">
        <v>1.0</v>
      </c>
      <c r="O14" s="21">
        <v>5.0</v>
      </c>
      <c r="P14" s="21">
        <v>4.0</v>
      </c>
      <c r="Q14" s="21">
        <v>4.0</v>
      </c>
      <c r="R14" s="21">
        <v>3.0</v>
      </c>
      <c r="S14" s="21">
        <v>4.0</v>
      </c>
      <c r="T14" s="21">
        <v>3.0</v>
      </c>
      <c r="U14" s="21">
        <v>3.0</v>
      </c>
      <c r="V14" s="21">
        <v>3.0</v>
      </c>
      <c r="W14" s="21">
        <v>3.0</v>
      </c>
      <c r="X14" s="21">
        <v>5.0</v>
      </c>
      <c r="Y14" s="21">
        <v>5.0</v>
      </c>
      <c r="Z14" s="21">
        <v>4.0</v>
      </c>
      <c r="AA14" s="22">
        <f t="shared" si="1"/>
        <v>93</v>
      </c>
      <c r="AB14" s="23">
        <f t="shared" si="2"/>
        <v>0.09214092141</v>
      </c>
    </row>
    <row r="15">
      <c r="A15" s="15" t="s">
        <v>44</v>
      </c>
      <c r="B15" s="21">
        <v>4.0</v>
      </c>
      <c r="C15" s="21">
        <v>5.0</v>
      </c>
      <c r="D15" s="21">
        <v>3.0</v>
      </c>
      <c r="E15" s="21">
        <v>3.0</v>
      </c>
      <c r="F15" s="21">
        <v>4.0</v>
      </c>
      <c r="G15" s="21">
        <v>2.0</v>
      </c>
      <c r="H15" s="21">
        <v>4.0</v>
      </c>
      <c r="I15" s="21">
        <v>3.0</v>
      </c>
      <c r="J15" s="21">
        <v>3.0</v>
      </c>
      <c r="K15" s="21">
        <v>5.0</v>
      </c>
      <c r="L15" s="21">
        <v>3.0</v>
      </c>
      <c r="M15" s="21">
        <v>4.0</v>
      </c>
      <c r="N15" s="21">
        <v>4.0</v>
      </c>
      <c r="O15" s="20">
        <v>1.0</v>
      </c>
      <c r="P15" s="21">
        <v>4.0</v>
      </c>
      <c r="Q15" s="21">
        <v>3.0</v>
      </c>
      <c r="R15" s="21">
        <v>4.0</v>
      </c>
      <c r="S15" s="21">
        <v>3.0</v>
      </c>
      <c r="T15" s="21">
        <v>4.0</v>
      </c>
      <c r="U15" s="21">
        <v>3.0</v>
      </c>
      <c r="V15" s="21">
        <v>3.0</v>
      </c>
      <c r="W15" s="21">
        <v>3.0</v>
      </c>
      <c r="X15" s="21">
        <v>3.0</v>
      </c>
      <c r="Y15" s="21">
        <v>5.0</v>
      </c>
      <c r="Z15" s="21">
        <v>3.0</v>
      </c>
      <c r="AA15" s="22">
        <f t="shared" si="1"/>
        <v>86</v>
      </c>
      <c r="AB15" s="23">
        <f t="shared" si="2"/>
        <v>0.009936766034</v>
      </c>
    </row>
    <row r="16">
      <c r="A16" s="24" t="s">
        <v>45</v>
      </c>
      <c r="B16" s="21">
        <v>3.0</v>
      </c>
      <c r="C16" s="21">
        <v>3.0</v>
      </c>
      <c r="D16" s="21">
        <v>3.0</v>
      </c>
      <c r="E16" s="21">
        <v>4.0</v>
      </c>
      <c r="F16" s="21">
        <v>3.0</v>
      </c>
      <c r="G16" s="21">
        <v>4.0</v>
      </c>
      <c r="H16" s="21">
        <v>3.0</v>
      </c>
      <c r="I16" s="21">
        <v>5.0</v>
      </c>
      <c r="J16" s="21">
        <v>3.0</v>
      </c>
      <c r="K16" s="21">
        <v>3.0</v>
      </c>
      <c r="L16" s="21">
        <v>3.0</v>
      </c>
      <c r="M16" s="21">
        <v>4.0</v>
      </c>
      <c r="N16" s="21">
        <v>4.0</v>
      </c>
      <c r="O16" s="21">
        <v>4.0</v>
      </c>
      <c r="P16" s="21">
        <v>4.0</v>
      </c>
      <c r="Q16" s="21">
        <v>4.0</v>
      </c>
      <c r="R16" s="21">
        <v>2.0</v>
      </c>
      <c r="S16" s="21">
        <v>5.0</v>
      </c>
      <c r="T16" s="21">
        <v>4.0</v>
      </c>
      <c r="U16" s="21">
        <v>3.0</v>
      </c>
      <c r="V16" s="21">
        <v>3.0</v>
      </c>
      <c r="W16" s="21">
        <v>3.0</v>
      </c>
      <c r="X16" s="21">
        <v>3.0</v>
      </c>
      <c r="Y16" s="21">
        <v>4.0</v>
      </c>
      <c r="Z16" s="21">
        <v>4.0</v>
      </c>
      <c r="AA16" s="22">
        <f t="shared" si="1"/>
        <v>88</v>
      </c>
      <c r="AB16" s="23">
        <f t="shared" si="2"/>
        <v>0.03342366757</v>
      </c>
    </row>
    <row r="17">
      <c r="A17" s="15" t="s">
        <v>46</v>
      </c>
      <c r="B17" s="21">
        <v>3.0</v>
      </c>
      <c r="C17" s="21">
        <v>2.0</v>
      </c>
      <c r="D17" s="21">
        <v>2.0</v>
      </c>
      <c r="E17" s="21">
        <v>3.0</v>
      </c>
      <c r="F17" s="21">
        <v>2.0</v>
      </c>
      <c r="G17" s="21">
        <v>2.0</v>
      </c>
      <c r="H17" s="21">
        <v>3.0</v>
      </c>
      <c r="I17" s="21">
        <v>5.0</v>
      </c>
      <c r="J17" s="21">
        <v>3.0</v>
      </c>
      <c r="K17" s="21">
        <v>2.0</v>
      </c>
      <c r="L17" s="21">
        <v>2.0</v>
      </c>
      <c r="M17" s="21">
        <v>4.0</v>
      </c>
      <c r="N17" s="21">
        <v>4.0</v>
      </c>
      <c r="O17" s="21">
        <v>5.0</v>
      </c>
      <c r="P17" s="20">
        <v>1.0</v>
      </c>
      <c r="Q17" s="21">
        <v>5.0</v>
      </c>
      <c r="R17" s="21">
        <v>2.0</v>
      </c>
      <c r="S17" s="21">
        <v>3.0</v>
      </c>
      <c r="T17" s="21">
        <v>3.0</v>
      </c>
      <c r="U17" s="21">
        <v>2.0</v>
      </c>
      <c r="V17" s="21">
        <v>3.0</v>
      </c>
      <c r="W17" s="21">
        <v>2.0</v>
      </c>
      <c r="X17" s="21">
        <v>4.0</v>
      </c>
      <c r="Y17" s="21">
        <v>4.0</v>
      </c>
      <c r="Z17" s="21">
        <v>2.0</v>
      </c>
      <c r="AA17" s="22">
        <f t="shared" si="1"/>
        <v>73</v>
      </c>
      <c r="AB17" s="23">
        <f t="shared" si="2"/>
        <v>-0.1427280939</v>
      </c>
    </row>
    <row r="18">
      <c r="A18" s="15" t="s">
        <v>47</v>
      </c>
      <c r="B18" s="21">
        <v>3.0</v>
      </c>
      <c r="C18" s="21">
        <v>3.0</v>
      </c>
      <c r="D18" s="21">
        <v>4.0</v>
      </c>
      <c r="E18" s="21">
        <v>4.0</v>
      </c>
      <c r="F18" s="21">
        <v>3.0</v>
      </c>
      <c r="G18" s="21">
        <v>3.0</v>
      </c>
      <c r="H18" s="21">
        <v>5.0</v>
      </c>
      <c r="I18" s="21">
        <v>5.0</v>
      </c>
      <c r="J18" s="21">
        <v>5.0</v>
      </c>
      <c r="K18" s="21">
        <v>3.0</v>
      </c>
      <c r="L18" s="21">
        <v>4.0</v>
      </c>
      <c r="M18" s="21">
        <v>4.0</v>
      </c>
      <c r="N18" s="21">
        <v>4.0</v>
      </c>
      <c r="O18" s="21">
        <v>4.0</v>
      </c>
      <c r="P18" s="21">
        <v>4.0</v>
      </c>
      <c r="Q18" s="20">
        <v>1.0</v>
      </c>
      <c r="R18" s="21">
        <v>3.0</v>
      </c>
      <c r="S18" s="21">
        <v>4.0</v>
      </c>
      <c r="T18" s="21">
        <v>3.0</v>
      </c>
      <c r="U18" s="21">
        <v>3.0</v>
      </c>
      <c r="V18" s="21">
        <v>3.0</v>
      </c>
      <c r="W18" s="21">
        <v>3.0</v>
      </c>
      <c r="X18" s="21">
        <v>5.0</v>
      </c>
      <c r="Y18" s="21">
        <v>4.0</v>
      </c>
      <c r="Z18" s="21">
        <v>3.0</v>
      </c>
      <c r="AA18" s="22">
        <f t="shared" si="1"/>
        <v>90</v>
      </c>
      <c r="AB18" s="23">
        <f t="shared" si="2"/>
        <v>0.05691056911</v>
      </c>
    </row>
    <row r="19">
      <c r="A19" s="15" t="s">
        <v>48</v>
      </c>
      <c r="B19" s="21">
        <v>4.0</v>
      </c>
      <c r="C19" s="21">
        <v>4.0</v>
      </c>
      <c r="D19" s="21">
        <v>3.0</v>
      </c>
      <c r="E19" s="21">
        <v>3.0</v>
      </c>
      <c r="F19" s="21">
        <v>4.0</v>
      </c>
      <c r="G19" s="21">
        <v>3.0</v>
      </c>
      <c r="H19" s="21">
        <v>4.0</v>
      </c>
      <c r="I19" s="21">
        <v>5.0</v>
      </c>
      <c r="J19" s="21">
        <v>3.0</v>
      </c>
      <c r="K19" s="21">
        <v>3.0</v>
      </c>
      <c r="L19" s="21">
        <v>3.0</v>
      </c>
      <c r="M19" s="21">
        <v>4.0</v>
      </c>
      <c r="N19" s="21">
        <v>4.0</v>
      </c>
      <c r="O19" s="21">
        <v>4.0</v>
      </c>
      <c r="P19" s="21">
        <v>4.0</v>
      </c>
      <c r="Q19" s="21">
        <v>4.0</v>
      </c>
      <c r="R19" s="20">
        <v>1.0</v>
      </c>
      <c r="S19" s="21">
        <v>3.0</v>
      </c>
      <c r="T19" s="21">
        <v>4.0</v>
      </c>
      <c r="U19" s="21">
        <v>3.0</v>
      </c>
      <c r="V19" s="21">
        <v>4.0</v>
      </c>
      <c r="W19" s="21">
        <v>4.0</v>
      </c>
      <c r="X19" s="21">
        <v>4.0</v>
      </c>
      <c r="Y19" s="21">
        <v>4.0</v>
      </c>
      <c r="Z19" s="21">
        <v>4.0</v>
      </c>
      <c r="AA19" s="22">
        <f t="shared" si="1"/>
        <v>90</v>
      </c>
      <c r="AB19" s="23">
        <f t="shared" si="2"/>
        <v>0.05691056911</v>
      </c>
    </row>
    <row r="20">
      <c r="A20" s="15" t="s">
        <v>49</v>
      </c>
      <c r="B20" s="21">
        <v>3.0</v>
      </c>
      <c r="C20" s="21">
        <v>3.0</v>
      </c>
      <c r="D20" s="21">
        <v>5.0</v>
      </c>
      <c r="E20" s="21">
        <v>3.0</v>
      </c>
      <c r="F20" s="21">
        <v>3.0</v>
      </c>
      <c r="G20" s="21">
        <v>5.0</v>
      </c>
      <c r="H20" s="21">
        <v>4.0</v>
      </c>
      <c r="I20" s="21">
        <v>4.0</v>
      </c>
      <c r="J20" s="21">
        <v>4.0</v>
      </c>
      <c r="K20" s="21">
        <v>3.0</v>
      </c>
      <c r="L20" s="21">
        <v>3.0</v>
      </c>
      <c r="M20" s="21">
        <v>4.0</v>
      </c>
      <c r="N20" s="21">
        <v>3.0</v>
      </c>
      <c r="O20" s="21">
        <v>5.0</v>
      </c>
      <c r="P20" s="21">
        <v>3.0</v>
      </c>
      <c r="Q20" s="21">
        <v>4.0</v>
      </c>
      <c r="R20" s="21">
        <v>2.0</v>
      </c>
      <c r="S20" s="20">
        <v>1.0</v>
      </c>
      <c r="T20" s="21">
        <v>4.0</v>
      </c>
      <c r="U20" s="21">
        <v>3.0</v>
      </c>
      <c r="V20" s="21">
        <v>3.0</v>
      </c>
      <c r="W20" s="21">
        <v>2.0</v>
      </c>
      <c r="X20" s="21">
        <v>5.0</v>
      </c>
      <c r="Y20" s="21">
        <v>4.0</v>
      </c>
      <c r="Z20" s="21">
        <v>3.0</v>
      </c>
      <c r="AA20" s="22">
        <f t="shared" si="1"/>
        <v>86</v>
      </c>
      <c r="AB20" s="23">
        <f t="shared" si="2"/>
        <v>0.009936766034</v>
      </c>
    </row>
    <row r="21">
      <c r="A21" s="15" t="s">
        <v>50</v>
      </c>
      <c r="B21" s="21">
        <v>4.0</v>
      </c>
      <c r="C21" s="21">
        <v>5.0</v>
      </c>
      <c r="D21" s="21">
        <v>5.0</v>
      </c>
      <c r="E21" s="21">
        <v>3.0</v>
      </c>
      <c r="F21" s="21">
        <v>2.0</v>
      </c>
      <c r="G21" s="21">
        <v>4.0</v>
      </c>
      <c r="H21" s="21">
        <v>5.0</v>
      </c>
      <c r="I21" s="21">
        <v>4.0</v>
      </c>
      <c r="J21" s="21">
        <v>2.0</v>
      </c>
      <c r="K21" s="21">
        <v>4.0</v>
      </c>
      <c r="L21" s="21">
        <v>4.0</v>
      </c>
      <c r="M21" s="21">
        <v>4.0</v>
      </c>
      <c r="N21" s="21">
        <v>5.0</v>
      </c>
      <c r="O21" s="21">
        <v>4.0</v>
      </c>
      <c r="P21" s="21">
        <v>3.0</v>
      </c>
      <c r="Q21" s="21">
        <v>3.0</v>
      </c>
      <c r="R21" s="21">
        <v>3.0</v>
      </c>
      <c r="S21" s="21">
        <v>4.0</v>
      </c>
      <c r="T21" s="20">
        <v>1.0</v>
      </c>
      <c r="U21" s="21">
        <v>3.0</v>
      </c>
      <c r="V21" s="21">
        <v>1.0</v>
      </c>
      <c r="W21" s="21">
        <v>2.0</v>
      </c>
      <c r="X21" s="21">
        <v>3.0</v>
      </c>
      <c r="Y21" s="21">
        <v>4.0</v>
      </c>
      <c r="Z21" s="21">
        <v>4.0</v>
      </c>
      <c r="AA21" s="22">
        <f t="shared" si="1"/>
        <v>86</v>
      </c>
      <c r="AB21" s="23">
        <f t="shared" si="2"/>
        <v>0.009936766034</v>
      </c>
    </row>
    <row r="22">
      <c r="A22" s="15" t="s">
        <v>51</v>
      </c>
      <c r="B22" s="21">
        <v>3.0</v>
      </c>
      <c r="C22" s="21">
        <v>3.0</v>
      </c>
      <c r="D22" s="21">
        <v>4.0</v>
      </c>
      <c r="E22" s="21">
        <v>4.0</v>
      </c>
      <c r="F22" s="21">
        <v>3.0</v>
      </c>
      <c r="G22" s="21">
        <v>3.0</v>
      </c>
      <c r="H22" s="21">
        <v>5.0</v>
      </c>
      <c r="I22" s="21">
        <v>5.0</v>
      </c>
      <c r="J22" s="21">
        <v>3.0</v>
      </c>
      <c r="K22" s="21">
        <v>3.0</v>
      </c>
      <c r="L22" s="21">
        <v>3.0</v>
      </c>
      <c r="M22" s="21">
        <v>5.0</v>
      </c>
      <c r="N22" s="21">
        <v>3.0</v>
      </c>
      <c r="O22" s="21">
        <v>3.0</v>
      </c>
      <c r="P22" s="21">
        <v>5.0</v>
      </c>
      <c r="Q22" s="21">
        <v>3.0</v>
      </c>
      <c r="R22" s="21">
        <v>3.0</v>
      </c>
      <c r="S22" s="21">
        <v>3.0</v>
      </c>
      <c r="T22" s="21">
        <v>3.0</v>
      </c>
      <c r="U22" s="20">
        <v>1.0</v>
      </c>
      <c r="V22" s="21">
        <v>3.0</v>
      </c>
      <c r="W22" s="21">
        <v>4.0</v>
      </c>
      <c r="X22" s="21">
        <v>4.0</v>
      </c>
      <c r="Y22" s="21">
        <v>3.0</v>
      </c>
      <c r="Z22" s="21">
        <v>3.0</v>
      </c>
      <c r="AA22" s="22">
        <f t="shared" si="1"/>
        <v>85</v>
      </c>
      <c r="AB22" s="23">
        <f t="shared" si="2"/>
        <v>-0.001806684734</v>
      </c>
    </row>
    <row r="23">
      <c r="A23" s="15" t="s">
        <v>52</v>
      </c>
      <c r="B23" s="21">
        <v>3.0</v>
      </c>
      <c r="C23" s="21">
        <v>3.0</v>
      </c>
      <c r="D23" s="21">
        <v>3.0</v>
      </c>
      <c r="E23" s="21">
        <v>5.0</v>
      </c>
      <c r="F23" s="21">
        <v>5.0</v>
      </c>
      <c r="G23" s="21">
        <v>4.0</v>
      </c>
      <c r="H23" s="21">
        <v>5.0</v>
      </c>
      <c r="I23" s="21">
        <v>5.0</v>
      </c>
      <c r="J23" s="21">
        <v>4.0</v>
      </c>
      <c r="K23" s="21">
        <v>4.0</v>
      </c>
      <c r="L23" s="21">
        <v>4.0</v>
      </c>
      <c r="M23" s="21">
        <v>5.0</v>
      </c>
      <c r="N23" s="21">
        <v>4.0</v>
      </c>
      <c r="O23" s="21">
        <v>5.0</v>
      </c>
      <c r="P23" s="21">
        <v>5.0</v>
      </c>
      <c r="Q23" s="21">
        <v>5.0</v>
      </c>
      <c r="R23" s="21">
        <v>3.0</v>
      </c>
      <c r="S23" s="21">
        <v>4.0</v>
      </c>
      <c r="T23" s="21">
        <v>3.0</v>
      </c>
      <c r="U23" s="21">
        <v>3.0</v>
      </c>
      <c r="V23" s="20">
        <v>1.0</v>
      </c>
      <c r="W23" s="21">
        <v>3.0</v>
      </c>
      <c r="X23" s="21">
        <v>4.0</v>
      </c>
      <c r="Y23" s="21">
        <v>5.0</v>
      </c>
      <c r="Z23" s="21">
        <v>4.0</v>
      </c>
      <c r="AA23" s="22">
        <f t="shared" si="1"/>
        <v>99</v>
      </c>
      <c r="AB23" s="23">
        <f t="shared" si="2"/>
        <v>0.162601626</v>
      </c>
    </row>
    <row r="24">
      <c r="A24" s="15" t="s">
        <v>53</v>
      </c>
      <c r="B24" s="21">
        <v>4.0</v>
      </c>
      <c r="C24" s="21">
        <v>2.0</v>
      </c>
      <c r="D24" s="21">
        <v>5.0</v>
      </c>
      <c r="E24" s="21">
        <v>2.0</v>
      </c>
      <c r="F24" s="21">
        <v>2.0</v>
      </c>
      <c r="G24" s="21">
        <v>3.0</v>
      </c>
      <c r="H24" s="21">
        <v>4.0</v>
      </c>
      <c r="I24" s="21">
        <v>4.0</v>
      </c>
      <c r="J24" s="21">
        <v>4.0</v>
      </c>
      <c r="K24" s="21">
        <v>4.0</v>
      </c>
      <c r="L24" s="21">
        <v>5.0</v>
      </c>
      <c r="M24" s="21">
        <v>4.0</v>
      </c>
      <c r="N24" s="21">
        <v>3.0</v>
      </c>
      <c r="O24" s="21">
        <v>1.0</v>
      </c>
      <c r="P24" s="21">
        <v>5.0</v>
      </c>
      <c r="Q24" s="21">
        <v>1.0</v>
      </c>
      <c r="R24" s="21">
        <v>4.0</v>
      </c>
      <c r="S24" s="21">
        <v>1.0</v>
      </c>
      <c r="T24" s="21">
        <v>1.0</v>
      </c>
      <c r="U24" s="21">
        <v>5.0</v>
      </c>
      <c r="V24" s="21">
        <v>3.0</v>
      </c>
      <c r="W24" s="20">
        <v>1.0</v>
      </c>
      <c r="X24" s="21">
        <v>1.0</v>
      </c>
      <c r="Y24" s="21">
        <v>1.0</v>
      </c>
      <c r="Z24" s="21">
        <v>3.0</v>
      </c>
      <c r="AA24" s="22">
        <f t="shared" si="1"/>
        <v>73</v>
      </c>
      <c r="AB24" s="23">
        <f t="shared" si="2"/>
        <v>-0.1427280939</v>
      </c>
    </row>
    <row r="25">
      <c r="A25" s="15" t="s">
        <v>54</v>
      </c>
      <c r="B25" s="21">
        <v>3.0</v>
      </c>
      <c r="C25" s="21">
        <v>3.0</v>
      </c>
      <c r="D25" s="21">
        <v>4.0</v>
      </c>
      <c r="E25" s="21">
        <v>4.0</v>
      </c>
      <c r="F25" s="21">
        <v>3.0</v>
      </c>
      <c r="G25" s="21">
        <v>3.0</v>
      </c>
      <c r="H25" s="21">
        <v>4.0</v>
      </c>
      <c r="I25" s="21">
        <v>5.0</v>
      </c>
      <c r="J25" s="21">
        <v>4.0</v>
      </c>
      <c r="K25" s="21">
        <v>3.0</v>
      </c>
      <c r="L25" s="21">
        <v>3.0</v>
      </c>
      <c r="M25" s="21">
        <v>5.0</v>
      </c>
      <c r="N25" s="21">
        <v>4.0</v>
      </c>
      <c r="O25" s="21">
        <v>4.0</v>
      </c>
      <c r="P25" s="21">
        <v>4.0</v>
      </c>
      <c r="Q25" s="21">
        <v>4.0</v>
      </c>
      <c r="R25" s="21">
        <v>3.0</v>
      </c>
      <c r="S25" s="21">
        <v>3.0</v>
      </c>
      <c r="T25" s="21">
        <v>5.0</v>
      </c>
      <c r="U25" s="21">
        <v>3.0</v>
      </c>
      <c r="V25" s="21">
        <v>4.0</v>
      </c>
      <c r="W25" s="21">
        <v>3.0</v>
      </c>
      <c r="X25" s="20">
        <v>1.0</v>
      </c>
      <c r="Y25" s="21">
        <v>5.0</v>
      </c>
      <c r="Z25" s="21">
        <v>4.0</v>
      </c>
      <c r="AA25" s="22">
        <f t="shared" si="1"/>
        <v>91</v>
      </c>
      <c r="AB25" s="23">
        <f t="shared" si="2"/>
        <v>0.06865401987</v>
      </c>
    </row>
    <row r="26">
      <c r="A26" s="15" t="s">
        <v>55</v>
      </c>
      <c r="B26" s="21">
        <v>3.0</v>
      </c>
      <c r="C26" s="21">
        <v>3.0</v>
      </c>
      <c r="D26" s="21">
        <v>3.0</v>
      </c>
      <c r="E26" s="21">
        <v>3.0</v>
      </c>
      <c r="F26" s="21">
        <v>4.0</v>
      </c>
      <c r="G26" s="21">
        <v>4.0</v>
      </c>
      <c r="H26" s="21">
        <v>4.0</v>
      </c>
      <c r="I26" s="21">
        <v>5.0</v>
      </c>
      <c r="J26" s="21">
        <v>4.0</v>
      </c>
      <c r="K26" s="21">
        <v>3.0</v>
      </c>
      <c r="L26" s="21">
        <v>4.0</v>
      </c>
      <c r="M26" s="21">
        <v>4.0</v>
      </c>
      <c r="N26" s="21">
        <v>5.0</v>
      </c>
      <c r="O26" s="21">
        <v>5.0</v>
      </c>
      <c r="P26" s="21">
        <v>4.0</v>
      </c>
      <c r="Q26" s="21">
        <v>3.0</v>
      </c>
      <c r="R26" s="21">
        <v>2.0</v>
      </c>
      <c r="S26" s="21">
        <v>2.0</v>
      </c>
      <c r="T26" s="21">
        <v>4.0</v>
      </c>
      <c r="U26" s="21">
        <v>2.0</v>
      </c>
      <c r="V26" s="21">
        <v>3.0</v>
      </c>
      <c r="W26" s="21">
        <v>2.0</v>
      </c>
      <c r="X26" s="21">
        <v>5.0</v>
      </c>
      <c r="Y26" s="20">
        <v>1.0</v>
      </c>
      <c r="Z26" s="21">
        <v>3.0</v>
      </c>
      <c r="AA26" s="22">
        <f t="shared" si="1"/>
        <v>85</v>
      </c>
      <c r="AB26" s="23">
        <f t="shared" si="2"/>
        <v>-0.001806684734</v>
      </c>
    </row>
    <row r="27">
      <c r="A27" s="15" t="s">
        <v>56</v>
      </c>
      <c r="B27" s="21">
        <v>3.0</v>
      </c>
      <c r="C27" s="21">
        <v>4.0</v>
      </c>
      <c r="D27" s="21">
        <v>5.0</v>
      </c>
      <c r="E27" s="21">
        <v>3.0</v>
      </c>
      <c r="F27" s="21">
        <v>3.0</v>
      </c>
      <c r="G27" s="21">
        <v>4.0</v>
      </c>
      <c r="H27" s="21">
        <v>5.0</v>
      </c>
      <c r="I27" s="21">
        <v>5.0</v>
      </c>
      <c r="J27" s="21">
        <v>3.0</v>
      </c>
      <c r="K27" s="21">
        <v>5.0</v>
      </c>
      <c r="L27" s="21">
        <v>4.0</v>
      </c>
      <c r="M27" s="21">
        <v>5.0</v>
      </c>
      <c r="N27" s="21">
        <v>5.0</v>
      </c>
      <c r="O27" s="21">
        <v>5.0</v>
      </c>
      <c r="P27" s="21">
        <v>4.0</v>
      </c>
      <c r="Q27" s="21">
        <v>3.0</v>
      </c>
      <c r="R27" s="21">
        <v>2.0</v>
      </c>
      <c r="S27" s="21">
        <v>3.0</v>
      </c>
      <c r="T27" s="21">
        <v>4.0</v>
      </c>
      <c r="U27" s="21">
        <v>4.0</v>
      </c>
      <c r="V27" s="21">
        <v>2.0</v>
      </c>
      <c r="W27" s="21">
        <v>3.0</v>
      </c>
      <c r="X27" s="21">
        <v>4.0</v>
      </c>
      <c r="Y27" s="21">
        <v>5.0</v>
      </c>
      <c r="Z27" s="20">
        <v>1.0</v>
      </c>
      <c r="AA27" s="22">
        <f t="shared" si="1"/>
        <v>94</v>
      </c>
      <c r="AB27" s="23">
        <f t="shared" si="2"/>
        <v>0.1038843722</v>
      </c>
    </row>
    <row r="28">
      <c r="A28" s="25" t="s">
        <v>1</v>
      </c>
      <c r="B28" s="26">
        <f t="shared" ref="B28:Z28" si="3">SUM(B2:B27)</f>
        <v>80</v>
      </c>
      <c r="C28" s="26">
        <f t="shared" si="3"/>
        <v>78</v>
      </c>
      <c r="D28" s="26">
        <f t="shared" si="3"/>
        <v>91</v>
      </c>
      <c r="E28" s="26">
        <f t="shared" si="3"/>
        <v>86</v>
      </c>
      <c r="F28" s="26">
        <f t="shared" si="3"/>
        <v>84</v>
      </c>
      <c r="G28" s="26">
        <f t="shared" si="3"/>
        <v>84</v>
      </c>
      <c r="H28" s="26">
        <f t="shared" si="3"/>
        <v>103</v>
      </c>
      <c r="I28" s="26">
        <f t="shared" si="3"/>
        <v>115</v>
      </c>
      <c r="J28" s="26">
        <f t="shared" si="3"/>
        <v>89</v>
      </c>
      <c r="K28" s="26">
        <f t="shared" si="3"/>
        <v>83</v>
      </c>
      <c r="L28" s="26">
        <f t="shared" si="3"/>
        <v>86</v>
      </c>
      <c r="M28" s="26">
        <f t="shared" si="3"/>
        <v>107</v>
      </c>
      <c r="N28" s="26">
        <f t="shared" si="3"/>
        <v>93</v>
      </c>
      <c r="O28" s="26">
        <f t="shared" si="3"/>
        <v>105</v>
      </c>
      <c r="P28" s="26">
        <f t="shared" si="3"/>
        <v>97</v>
      </c>
      <c r="Q28" s="26">
        <f t="shared" si="3"/>
        <v>90</v>
      </c>
      <c r="R28" s="26">
        <f t="shared" si="3"/>
        <v>69</v>
      </c>
      <c r="S28" s="26">
        <f t="shared" si="3"/>
        <v>79</v>
      </c>
      <c r="T28" s="26">
        <f t="shared" si="3"/>
        <v>83</v>
      </c>
      <c r="U28" s="26">
        <f t="shared" si="3"/>
        <v>77</v>
      </c>
      <c r="V28" s="26">
        <f t="shared" si="3"/>
        <v>77</v>
      </c>
      <c r="W28" s="26">
        <f t="shared" si="3"/>
        <v>70</v>
      </c>
      <c r="X28" s="26">
        <f t="shared" si="3"/>
        <v>102</v>
      </c>
      <c r="Y28" s="26">
        <f t="shared" si="3"/>
        <v>102</v>
      </c>
      <c r="Z28" s="26">
        <f t="shared" si="3"/>
        <v>84</v>
      </c>
      <c r="AA28" s="27" t="s">
        <v>57</v>
      </c>
      <c r="AB28" s="19"/>
    </row>
    <row r="29">
      <c r="A29" s="28" t="s">
        <v>58</v>
      </c>
      <c r="B29" s="29">
        <f t="shared" ref="B29:Z29" si="4">COUNTIF(B2:B27,5)</f>
        <v>0</v>
      </c>
      <c r="C29" s="29">
        <f t="shared" si="4"/>
        <v>2</v>
      </c>
      <c r="D29" s="29">
        <f t="shared" si="4"/>
        <v>6</v>
      </c>
      <c r="E29" s="29">
        <f t="shared" si="4"/>
        <v>1</v>
      </c>
      <c r="F29" s="29">
        <f t="shared" si="4"/>
        <v>3</v>
      </c>
      <c r="G29" s="29">
        <f t="shared" si="4"/>
        <v>3</v>
      </c>
      <c r="H29" s="29">
        <f t="shared" si="4"/>
        <v>8</v>
      </c>
      <c r="I29" s="29">
        <f t="shared" si="4"/>
        <v>16</v>
      </c>
      <c r="J29" s="29">
        <f t="shared" si="4"/>
        <v>2</v>
      </c>
      <c r="K29" s="29">
        <f t="shared" si="4"/>
        <v>3</v>
      </c>
      <c r="L29" s="29">
        <f t="shared" si="4"/>
        <v>3</v>
      </c>
      <c r="M29" s="29">
        <f t="shared" si="4"/>
        <v>8</v>
      </c>
      <c r="N29" s="29">
        <f t="shared" si="4"/>
        <v>4</v>
      </c>
      <c r="O29" s="29">
        <f t="shared" si="4"/>
        <v>11</v>
      </c>
      <c r="P29" s="29">
        <f t="shared" si="4"/>
        <v>5</v>
      </c>
      <c r="Q29" s="29">
        <f t="shared" si="4"/>
        <v>4</v>
      </c>
      <c r="R29" s="29">
        <f t="shared" si="4"/>
        <v>0</v>
      </c>
      <c r="S29" s="29">
        <f t="shared" si="4"/>
        <v>1</v>
      </c>
      <c r="T29" s="29">
        <f t="shared" si="4"/>
        <v>3</v>
      </c>
      <c r="U29" s="29">
        <f t="shared" si="4"/>
        <v>2</v>
      </c>
      <c r="V29" s="29">
        <f t="shared" si="4"/>
        <v>0</v>
      </c>
      <c r="W29" s="29">
        <f t="shared" si="4"/>
        <v>0</v>
      </c>
      <c r="X29" s="29">
        <f t="shared" si="4"/>
        <v>11</v>
      </c>
      <c r="Y29" s="29">
        <f t="shared" si="4"/>
        <v>9</v>
      </c>
      <c r="Z29" s="29">
        <f t="shared" si="4"/>
        <v>2</v>
      </c>
      <c r="AA29" s="30">
        <f t="shared" ref="AA29:AA33" si="6">SUM(B29:Z29)</f>
        <v>107</v>
      </c>
      <c r="AB29" s="31">
        <f t="shared" ref="AB29:AB34" si="7">AA29/$AA$34</f>
        <v>0.1646153846</v>
      </c>
    </row>
    <row r="30">
      <c r="A30" s="28" t="s">
        <v>59</v>
      </c>
      <c r="B30" s="32">
        <f t="shared" ref="B30:Z30" si="5">COUNTIF(B2:B27,4)</f>
        <v>6</v>
      </c>
      <c r="C30" s="32">
        <f t="shared" si="5"/>
        <v>4</v>
      </c>
      <c r="D30" s="32">
        <f t="shared" si="5"/>
        <v>6</v>
      </c>
      <c r="E30" s="32">
        <f t="shared" si="5"/>
        <v>10</v>
      </c>
      <c r="F30" s="32">
        <f t="shared" si="5"/>
        <v>6</v>
      </c>
      <c r="G30" s="32">
        <f t="shared" si="5"/>
        <v>7</v>
      </c>
      <c r="H30" s="32">
        <f t="shared" si="5"/>
        <v>11</v>
      </c>
      <c r="I30" s="32">
        <f t="shared" si="5"/>
        <v>7</v>
      </c>
      <c r="J30" s="32">
        <f t="shared" si="5"/>
        <v>11</v>
      </c>
      <c r="K30" s="32">
        <f t="shared" si="5"/>
        <v>6</v>
      </c>
      <c r="L30" s="32">
        <f t="shared" si="5"/>
        <v>7</v>
      </c>
      <c r="M30" s="32">
        <f t="shared" si="5"/>
        <v>15</v>
      </c>
      <c r="N30" s="32">
        <f t="shared" si="5"/>
        <v>11</v>
      </c>
      <c r="O30" s="32">
        <f t="shared" si="5"/>
        <v>9</v>
      </c>
      <c r="P30" s="32">
        <f t="shared" si="5"/>
        <v>12</v>
      </c>
      <c r="Q30" s="32">
        <f t="shared" si="5"/>
        <v>9</v>
      </c>
      <c r="R30" s="32">
        <f t="shared" si="5"/>
        <v>3</v>
      </c>
      <c r="S30" s="32">
        <f t="shared" si="5"/>
        <v>6</v>
      </c>
      <c r="T30" s="32">
        <f t="shared" si="5"/>
        <v>7</v>
      </c>
      <c r="U30" s="32">
        <f t="shared" si="5"/>
        <v>5</v>
      </c>
      <c r="V30" s="32">
        <f t="shared" si="5"/>
        <v>6</v>
      </c>
      <c r="W30" s="32">
        <f t="shared" si="5"/>
        <v>5</v>
      </c>
      <c r="X30" s="32">
        <f t="shared" si="5"/>
        <v>7</v>
      </c>
      <c r="Y30" s="32">
        <f t="shared" si="5"/>
        <v>11</v>
      </c>
      <c r="Z30" s="32">
        <f t="shared" si="5"/>
        <v>9</v>
      </c>
      <c r="AA30" s="30">
        <f t="shared" si="6"/>
        <v>196</v>
      </c>
      <c r="AB30" s="31">
        <f t="shared" si="7"/>
        <v>0.3015384615</v>
      </c>
    </row>
    <row r="31">
      <c r="A31" s="28" t="s">
        <v>60</v>
      </c>
      <c r="B31" s="32">
        <f t="shared" ref="B31:Z31" si="8">COUNTIF(B2:B27,3)</f>
        <v>17</v>
      </c>
      <c r="C31" s="32">
        <f t="shared" si="8"/>
        <v>14</v>
      </c>
      <c r="D31" s="32">
        <f t="shared" si="8"/>
        <v>10</v>
      </c>
      <c r="E31" s="32">
        <f t="shared" si="8"/>
        <v>12</v>
      </c>
      <c r="F31" s="32">
        <f t="shared" si="8"/>
        <v>12</v>
      </c>
      <c r="G31" s="32">
        <f t="shared" si="8"/>
        <v>10</v>
      </c>
      <c r="H31" s="32">
        <f t="shared" si="8"/>
        <v>6</v>
      </c>
      <c r="I31" s="32">
        <f t="shared" si="8"/>
        <v>2</v>
      </c>
      <c r="J31" s="32">
        <f t="shared" si="8"/>
        <v>10</v>
      </c>
      <c r="K31" s="32">
        <f t="shared" si="8"/>
        <v>12</v>
      </c>
      <c r="L31" s="32">
        <f t="shared" si="8"/>
        <v>13</v>
      </c>
      <c r="M31" s="32">
        <f t="shared" si="8"/>
        <v>2</v>
      </c>
      <c r="N31" s="32">
        <f t="shared" si="8"/>
        <v>9</v>
      </c>
      <c r="O31" s="32">
        <f t="shared" si="8"/>
        <v>4</v>
      </c>
      <c r="P31" s="32">
        <f t="shared" si="8"/>
        <v>7</v>
      </c>
      <c r="Q31" s="32">
        <f t="shared" si="8"/>
        <v>10</v>
      </c>
      <c r="R31" s="32">
        <f t="shared" si="8"/>
        <v>13</v>
      </c>
      <c r="S31" s="32">
        <f t="shared" si="8"/>
        <v>14</v>
      </c>
      <c r="T31" s="32">
        <f t="shared" si="8"/>
        <v>11</v>
      </c>
      <c r="U31" s="32">
        <f t="shared" si="8"/>
        <v>11</v>
      </c>
      <c r="V31" s="32">
        <f t="shared" si="8"/>
        <v>15</v>
      </c>
      <c r="W31" s="32">
        <f t="shared" si="8"/>
        <v>12</v>
      </c>
      <c r="X31" s="32">
        <f t="shared" si="8"/>
        <v>5</v>
      </c>
      <c r="Y31" s="32">
        <f t="shared" si="8"/>
        <v>3</v>
      </c>
      <c r="Z31" s="32">
        <f t="shared" si="8"/>
        <v>10</v>
      </c>
      <c r="AA31" s="30">
        <f t="shared" si="6"/>
        <v>244</v>
      </c>
      <c r="AB31" s="31">
        <f t="shared" si="7"/>
        <v>0.3753846154</v>
      </c>
    </row>
    <row r="32">
      <c r="A32" s="28" t="s">
        <v>61</v>
      </c>
      <c r="B32" s="32">
        <f t="shared" ref="B32:Z32" si="9">COUNTIF(B2:B27,2)</f>
        <v>2</v>
      </c>
      <c r="C32" s="32">
        <f t="shared" si="9"/>
        <v>4</v>
      </c>
      <c r="D32" s="32">
        <f t="shared" si="9"/>
        <v>3</v>
      </c>
      <c r="E32" s="32">
        <f t="shared" si="9"/>
        <v>2</v>
      </c>
      <c r="F32" s="32">
        <f t="shared" si="9"/>
        <v>4</v>
      </c>
      <c r="G32" s="32">
        <f t="shared" si="9"/>
        <v>5</v>
      </c>
      <c r="H32" s="32">
        <f t="shared" si="9"/>
        <v>0</v>
      </c>
      <c r="I32" s="32">
        <f t="shared" si="9"/>
        <v>0</v>
      </c>
      <c r="J32" s="32">
        <f t="shared" si="9"/>
        <v>2</v>
      </c>
      <c r="K32" s="32">
        <f t="shared" si="9"/>
        <v>3</v>
      </c>
      <c r="L32" s="32">
        <f t="shared" si="9"/>
        <v>1</v>
      </c>
      <c r="M32" s="32">
        <f t="shared" si="9"/>
        <v>0</v>
      </c>
      <c r="N32" s="32">
        <f t="shared" si="9"/>
        <v>0</v>
      </c>
      <c r="O32" s="32">
        <f t="shared" si="9"/>
        <v>0</v>
      </c>
      <c r="P32" s="32">
        <f t="shared" si="9"/>
        <v>1</v>
      </c>
      <c r="Q32" s="32">
        <f t="shared" si="9"/>
        <v>1</v>
      </c>
      <c r="R32" s="32">
        <f t="shared" si="9"/>
        <v>8</v>
      </c>
      <c r="S32" s="32">
        <f t="shared" si="9"/>
        <v>3</v>
      </c>
      <c r="T32" s="32">
        <f t="shared" si="9"/>
        <v>2</v>
      </c>
      <c r="U32" s="32">
        <f t="shared" si="9"/>
        <v>6</v>
      </c>
      <c r="V32" s="32">
        <f t="shared" si="9"/>
        <v>3</v>
      </c>
      <c r="W32" s="32">
        <f t="shared" si="9"/>
        <v>5</v>
      </c>
      <c r="X32" s="32">
        <f t="shared" si="9"/>
        <v>1</v>
      </c>
      <c r="Y32" s="32">
        <f t="shared" si="9"/>
        <v>1</v>
      </c>
      <c r="Z32" s="32">
        <f t="shared" si="9"/>
        <v>3</v>
      </c>
      <c r="AA32" s="30">
        <f t="shared" si="6"/>
        <v>60</v>
      </c>
      <c r="AB32" s="31">
        <f t="shared" si="7"/>
        <v>0.09230769231</v>
      </c>
    </row>
    <row r="33">
      <c r="A33" s="28" t="s">
        <v>62</v>
      </c>
      <c r="B33" s="32">
        <f t="shared" ref="B33:Z33" si="10">COUNTIF(B2:B27,1)</f>
        <v>1</v>
      </c>
      <c r="C33" s="32">
        <f t="shared" si="10"/>
        <v>2</v>
      </c>
      <c r="D33" s="32">
        <f t="shared" si="10"/>
        <v>1</v>
      </c>
      <c r="E33" s="32">
        <f t="shared" si="10"/>
        <v>1</v>
      </c>
      <c r="F33" s="32">
        <f t="shared" si="10"/>
        <v>1</v>
      </c>
      <c r="G33" s="32">
        <f t="shared" si="10"/>
        <v>1</v>
      </c>
      <c r="H33" s="32">
        <f t="shared" si="10"/>
        <v>1</v>
      </c>
      <c r="I33" s="32">
        <f t="shared" si="10"/>
        <v>1</v>
      </c>
      <c r="J33" s="32">
        <f t="shared" si="10"/>
        <v>1</v>
      </c>
      <c r="K33" s="32">
        <f t="shared" si="10"/>
        <v>2</v>
      </c>
      <c r="L33" s="32">
        <f t="shared" si="10"/>
        <v>2</v>
      </c>
      <c r="M33" s="32">
        <f t="shared" si="10"/>
        <v>1</v>
      </c>
      <c r="N33" s="32">
        <f t="shared" si="10"/>
        <v>2</v>
      </c>
      <c r="O33" s="32">
        <f t="shared" si="10"/>
        <v>2</v>
      </c>
      <c r="P33" s="32">
        <f t="shared" si="10"/>
        <v>1</v>
      </c>
      <c r="Q33" s="32">
        <f t="shared" si="10"/>
        <v>2</v>
      </c>
      <c r="R33" s="32">
        <f t="shared" si="10"/>
        <v>2</v>
      </c>
      <c r="S33" s="32">
        <f t="shared" si="10"/>
        <v>2</v>
      </c>
      <c r="T33" s="32">
        <f t="shared" si="10"/>
        <v>3</v>
      </c>
      <c r="U33" s="32">
        <f t="shared" si="10"/>
        <v>2</v>
      </c>
      <c r="V33" s="32">
        <f t="shared" si="10"/>
        <v>2</v>
      </c>
      <c r="W33" s="32">
        <f t="shared" si="10"/>
        <v>4</v>
      </c>
      <c r="X33" s="32">
        <f t="shared" si="10"/>
        <v>2</v>
      </c>
      <c r="Y33" s="32">
        <f t="shared" si="10"/>
        <v>2</v>
      </c>
      <c r="Z33" s="32">
        <f t="shared" si="10"/>
        <v>2</v>
      </c>
      <c r="AA33" s="30">
        <f t="shared" si="6"/>
        <v>43</v>
      </c>
      <c r="AB33" s="31">
        <f t="shared" si="7"/>
        <v>0.06615384615</v>
      </c>
    </row>
    <row r="34">
      <c r="A34" s="15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30">
        <f>SUM(AA29:AA33)</f>
        <v>650</v>
      </c>
      <c r="AB34" s="31">
        <f t="shared" si="7"/>
        <v>1</v>
      </c>
    </row>
    <row r="35">
      <c r="A35" s="15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9"/>
    </row>
    <row r="36">
      <c r="A36" s="33" t="s">
        <v>63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9"/>
    </row>
    <row r="37">
      <c r="A37" s="34" t="s">
        <v>64</v>
      </c>
      <c r="B37" s="35">
        <f>AVERAGE(AA2:AA27)</f>
        <v>85.15384615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33"/>
      <c r="B38" s="1"/>
    </row>
    <row r="39">
      <c r="A39" s="34"/>
      <c r="B39" s="35"/>
    </row>
    <row r="40">
      <c r="A40" s="36"/>
    </row>
    <row r="41">
      <c r="A41" s="36"/>
    </row>
    <row r="42">
      <c r="A42" s="36"/>
    </row>
    <row r="43">
      <c r="A43" s="36"/>
    </row>
    <row r="44">
      <c r="A44" s="36"/>
    </row>
    <row r="45">
      <c r="A45" s="36"/>
    </row>
    <row r="46">
      <c r="A46" s="36"/>
    </row>
    <row r="47">
      <c r="A47" s="36"/>
    </row>
    <row r="48">
      <c r="A48" s="36"/>
    </row>
    <row r="49">
      <c r="A49" s="36"/>
    </row>
    <row r="50">
      <c r="A50" s="36"/>
    </row>
    <row r="51">
      <c r="A51" s="36"/>
    </row>
    <row r="52">
      <c r="A52" s="36"/>
    </row>
    <row r="53">
      <c r="A53" s="36"/>
    </row>
    <row r="54">
      <c r="A54" s="36"/>
    </row>
    <row r="55">
      <c r="A55" s="36"/>
    </row>
    <row r="56">
      <c r="A56" s="36"/>
    </row>
    <row r="57">
      <c r="A57" s="36"/>
    </row>
    <row r="58">
      <c r="A58" s="36"/>
    </row>
    <row r="59">
      <c r="A59" s="36"/>
    </row>
    <row r="60">
      <c r="A60" s="36"/>
    </row>
    <row r="61">
      <c r="A61" s="36"/>
    </row>
    <row r="62">
      <c r="A62" s="36"/>
    </row>
    <row r="63">
      <c r="A63" s="36"/>
    </row>
    <row r="64">
      <c r="A64" s="36"/>
    </row>
    <row r="65">
      <c r="A65" s="36"/>
    </row>
    <row r="66">
      <c r="A66" s="36"/>
    </row>
    <row r="67">
      <c r="A67" s="36"/>
    </row>
    <row r="68">
      <c r="A68" s="36"/>
    </row>
    <row r="69">
      <c r="A69" s="36"/>
    </row>
    <row r="70">
      <c r="A70" s="36"/>
    </row>
    <row r="71">
      <c r="A71" s="36"/>
    </row>
    <row r="72">
      <c r="A72" s="36"/>
    </row>
    <row r="73">
      <c r="A73" s="36"/>
    </row>
    <row r="74">
      <c r="A74" s="36"/>
    </row>
    <row r="75">
      <c r="A75" s="36"/>
    </row>
    <row r="76">
      <c r="A76" s="36"/>
    </row>
    <row r="77">
      <c r="A77" s="36"/>
    </row>
    <row r="78">
      <c r="A78" s="36"/>
    </row>
    <row r="79">
      <c r="A79" s="36"/>
    </row>
    <row r="80">
      <c r="A80" s="36"/>
    </row>
    <row r="81">
      <c r="A81" s="36"/>
    </row>
    <row r="82">
      <c r="A82" s="36"/>
    </row>
    <row r="83">
      <c r="A83" s="36"/>
    </row>
    <row r="84">
      <c r="A84" s="36"/>
    </row>
    <row r="85">
      <c r="A85" s="36"/>
    </row>
    <row r="86">
      <c r="A86" s="36"/>
    </row>
    <row r="87">
      <c r="A87" s="36"/>
    </row>
    <row r="88">
      <c r="A88" s="36"/>
    </row>
    <row r="89">
      <c r="A89" s="36"/>
    </row>
    <row r="90">
      <c r="A90" s="36"/>
    </row>
    <row r="91">
      <c r="A91" s="36"/>
    </row>
    <row r="92">
      <c r="A92" s="36"/>
    </row>
    <row r="93">
      <c r="A93" s="36"/>
    </row>
    <row r="94">
      <c r="A94" s="36"/>
    </row>
    <row r="95">
      <c r="A95" s="36"/>
    </row>
    <row r="96">
      <c r="A96" s="36"/>
    </row>
    <row r="97">
      <c r="A97" s="36"/>
    </row>
    <row r="98">
      <c r="A98" s="36"/>
    </row>
    <row r="99">
      <c r="A99" s="36"/>
    </row>
    <row r="100">
      <c r="A100" s="36"/>
    </row>
    <row r="101">
      <c r="A101" s="36"/>
    </row>
    <row r="102">
      <c r="A102" s="36"/>
    </row>
    <row r="103">
      <c r="A103" s="36"/>
    </row>
    <row r="104">
      <c r="A104" s="36"/>
    </row>
    <row r="105">
      <c r="A105" s="36"/>
    </row>
    <row r="106">
      <c r="A106" s="36"/>
    </row>
    <row r="107">
      <c r="A107" s="36"/>
    </row>
    <row r="108">
      <c r="A108" s="36"/>
    </row>
    <row r="109">
      <c r="A109" s="36"/>
    </row>
    <row r="110">
      <c r="A110" s="36"/>
    </row>
    <row r="111">
      <c r="A111" s="36"/>
    </row>
    <row r="112">
      <c r="A112" s="36"/>
    </row>
    <row r="113">
      <c r="A113" s="36"/>
    </row>
    <row r="114">
      <c r="A114" s="36"/>
    </row>
    <row r="115">
      <c r="A115" s="36"/>
    </row>
    <row r="116">
      <c r="A116" s="36"/>
    </row>
    <row r="117">
      <c r="A117" s="36"/>
    </row>
    <row r="118">
      <c r="A118" s="36"/>
    </row>
    <row r="119">
      <c r="A119" s="36"/>
    </row>
    <row r="120">
      <c r="A120" s="36"/>
    </row>
    <row r="121">
      <c r="A121" s="36"/>
    </row>
    <row r="122">
      <c r="A122" s="36"/>
    </row>
    <row r="123">
      <c r="A123" s="36"/>
    </row>
    <row r="124">
      <c r="A124" s="36"/>
    </row>
    <row r="125">
      <c r="A125" s="36"/>
    </row>
    <row r="126">
      <c r="A126" s="36"/>
    </row>
    <row r="127">
      <c r="A127" s="36"/>
    </row>
    <row r="128">
      <c r="A128" s="36"/>
    </row>
    <row r="129">
      <c r="A129" s="36"/>
    </row>
    <row r="130">
      <c r="A130" s="36"/>
    </row>
    <row r="131">
      <c r="A131" s="36"/>
    </row>
    <row r="132">
      <c r="A132" s="36"/>
    </row>
    <row r="133">
      <c r="A133" s="36"/>
    </row>
    <row r="134">
      <c r="A134" s="36"/>
    </row>
    <row r="135">
      <c r="A135" s="36"/>
    </row>
    <row r="136">
      <c r="A136" s="36"/>
    </row>
    <row r="137">
      <c r="A137" s="36"/>
    </row>
    <row r="138">
      <c r="A138" s="36"/>
    </row>
    <row r="139">
      <c r="A139" s="36"/>
    </row>
    <row r="140">
      <c r="A140" s="36"/>
    </row>
    <row r="141">
      <c r="A141" s="36"/>
    </row>
    <row r="142">
      <c r="A142" s="36"/>
    </row>
    <row r="143">
      <c r="A143" s="36"/>
    </row>
    <row r="144">
      <c r="A144" s="36"/>
    </row>
    <row r="145">
      <c r="A145" s="36"/>
    </row>
    <row r="146">
      <c r="A146" s="36"/>
    </row>
    <row r="147">
      <c r="A147" s="36"/>
    </row>
    <row r="148">
      <c r="A148" s="36"/>
    </row>
    <row r="149">
      <c r="A149" s="36"/>
    </row>
    <row r="150">
      <c r="A150" s="36"/>
    </row>
    <row r="151">
      <c r="A151" s="36"/>
    </row>
    <row r="152">
      <c r="A152" s="36"/>
    </row>
    <row r="153">
      <c r="A153" s="36"/>
    </row>
    <row r="154">
      <c r="A154" s="36"/>
    </row>
    <row r="155">
      <c r="A155" s="36"/>
    </row>
    <row r="156">
      <c r="A156" s="36"/>
    </row>
    <row r="157">
      <c r="A157" s="36"/>
    </row>
    <row r="158">
      <c r="A158" s="36"/>
    </row>
    <row r="159">
      <c r="A159" s="36"/>
    </row>
    <row r="160">
      <c r="A160" s="36"/>
    </row>
    <row r="161">
      <c r="A161" s="36"/>
    </row>
    <row r="162">
      <c r="A162" s="36"/>
    </row>
    <row r="163">
      <c r="A163" s="36"/>
    </row>
    <row r="164">
      <c r="A164" s="36"/>
    </row>
    <row r="165">
      <c r="A165" s="36"/>
    </row>
    <row r="166">
      <c r="A166" s="36"/>
    </row>
    <row r="167">
      <c r="A167" s="36"/>
    </row>
    <row r="168">
      <c r="A168" s="36"/>
    </row>
    <row r="169">
      <c r="A169" s="36"/>
    </row>
    <row r="170">
      <c r="A170" s="36"/>
    </row>
    <row r="171">
      <c r="A171" s="36"/>
    </row>
    <row r="172">
      <c r="A172" s="36"/>
    </row>
    <row r="173">
      <c r="A173" s="36"/>
    </row>
    <row r="174">
      <c r="A174" s="36"/>
    </row>
    <row r="175">
      <c r="A175" s="36"/>
    </row>
    <row r="176">
      <c r="A176" s="36"/>
    </row>
    <row r="177">
      <c r="A177" s="36"/>
    </row>
    <row r="178">
      <c r="A178" s="36"/>
    </row>
    <row r="179">
      <c r="A179" s="36"/>
    </row>
    <row r="180">
      <c r="A180" s="36"/>
    </row>
    <row r="181">
      <c r="A181" s="36"/>
    </row>
    <row r="182">
      <c r="A182" s="36"/>
    </row>
    <row r="183">
      <c r="A183" s="36"/>
    </row>
    <row r="184">
      <c r="A184" s="36"/>
    </row>
    <row r="185">
      <c r="A185" s="36"/>
    </row>
    <row r="186">
      <c r="A186" s="36"/>
    </row>
    <row r="187">
      <c r="A187" s="36"/>
    </row>
    <row r="188">
      <c r="A188" s="36"/>
    </row>
    <row r="189">
      <c r="A189" s="36"/>
    </row>
    <row r="190">
      <c r="A190" s="36"/>
    </row>
    <row r="191">
      <c r="A191" s="36"/>
    </row>
    <row r="192">
      <c r="A192" s="36"/>
    </row>
    <row r="193">
      <c r="A193" s="36"/>
    </row>
    <row r="194">
      <c r="A194" s="36"/>
    </row>
    <row r="195">
      <c r="A195" s="36"/>
    </row>
    <row r="196">
      <c r="A196" s="36"/>
    </row>
    <row r="197">
      <c r="A197" s="36"/>
    </row>
    <row r="198">
      <c r="A198" s="36"/>
    </row>
    <row r="199">
      <c r="A199" s="36"/>
    </row>
    <row r="200">
      <c r="A200" s="36"/>
    </row>
    <row r="201">
      <c r="A201" s="36"/>
    </row>
    <row r="202">
      <c r="A202" s="36"/>
    </row>
    <row r="203">
      <c r="A203" s="36"/>
    </row>
    <row r="204">
      <c r="A204" s="36"/>
    </row>
    <row r="205">
      <c r="A205" s="36"/>
    </row>
    <row r="206">
      <c r="A206" s="36"/>
    </row>
    <row r="207">
      <c r="A207" s="36"/>
    </row>
    <row r="208">
      <c r="A208" s="36"/>
    </row>
    <row r="209">
      <c r="A209" s="36"/>
    </row>
    <row r="210">
      <c r="A210" s="36"/>
    </row>
    <row r="211">
      <c r="A211" s="36"/>
    </row>
    <row r="212">
      <c r="A212" s="36"/>
    </row>
    <row r="213">
      <c r="A213" s="36"/>
    </row>
    <row r="214">
      <c r="A214" s="36"/>
    </row>
    <row r="215">
      <c r="A215" s="36"/>
    </row>
    <row r="216">
      <c r="A216" s="36"/>
    </row>
    <row r="217">
      <c r="A217" s="36"/>
    </row>
    <row r="218">
      <c r="A218" s="36"/>
    </row>
    <row r="219">
      <c r="A219" s="36"/>
    </row>
    <row r="220">
      <c r="A220" s="36"/>
    </row>
    <row r="221">
      <c r="A221" s="36"/>
    </row>
    <row r="222">
      <c r="A222" s="36"/>
    </row>
    <row r="223">
      <c r="A223" s="36"/>
    </row>
    <row r="224">
      <c r="A224" s="36"/>
    </row>
    <row r="225">
      <c r="A225" s="36"/>
    </row>
    <row r="226">
      <c r="A226" s="36"/>
    </row>
    <row r="227">
      <c r="A227" s="36"/>
    </row>
    <row r="228">
      <c r="A228" s="36"/>
    </row>
    <row r="229">
      <c r="A229" s="36"/>
    </row>
    <row r="230">
      <c r="A230" s="36"/>
    </row>
    <row r="231">
      <c r="A231" s="36"/>
    </row>
    <row r="232">
      <c r="A232" s="36"/>
    </row>
    <row r="233">
      <c r="A233" s="36"/>
    </row>
    <row r="234">
      <c r="A234" s="36"/>
    </row>
    <row r="235">
      <c r="A235" s="36"/>
    </row>
    <row r="236">
      <c r="A236" s="36"/>
    </row>
    <row r="237">
      <c r="A237" s="36"/>
    </row>
    <row r="238">
      <c r="A238" s="36"/>
    </row>
    <row r="239">
      <c r="A239" s="36"/>
    </row>
    <row r="240">
      <c r="A240" s="36"/>
    </row>
    <row r="241">
      <c r="A241" s="36"/>
    </row>
    <row r="242">
      <c r="A242" s="36"/>
    </row>
    <row r="243">
      <c r="A243" s="36"/>
    </row>
    <row r="244">
      <c r="A244" s="36"/>
    </row>
    <row r="245">
      <c r="A245" s="36"/>
    </row>
    <row r="246">
      <c r="A246" s="36"/>
    </row>
    <row r="247">
      <c r="A247" s="36"/>
    </row>
    <row r="248">
      <c r="A248" s="36"/>
    </row>
    <row r="249">
      <c r="A249" s="36"/>
    </row>
    <row r="250">
      <c r="A250" s="36"/>
    </row>
    <row r="251">
      <c r="A251" s="36"/>
    </row>
    <row r="252">
      <c r="A252" s="36"/>
    </row>
    <row r="253">
      <c r="A253" s="36"/>
    </row>
    <row r="254">
      <c r="A254" s="36"/>
    </row>
    <row r="255">
      <c r="A255" s="36"/>
    </row>
    <row r="256">
      <c r="A256" s="36"/>
    </row>
    <row r="257">
      <c r="A257" s="36"/>
    </row>
    <row r="258">
      <c r="A258" s="36"/>
    </row>
    <row r="259">
      <c r="A259" s="36"/>
    </row>
    <row r="260">
      <c r="A260" s="36"/>
    </row>
    <row r="261">
      <c r="A261" s="36"/>
    </row>
    <row r="262">
      <c r="A262" s="36"/>
    </row>
    <row r="263">
      <c r="A263" s="36"/>
    </row>
    <row r="264">
      <c r="A264" s="36"/>
    </row>
    <row r="265">
      <c r="A265" s="36"/>
    </row>
    <row r="266">
      <c r="A266" s="36"/>
    </row>
    <row r="267">
      <c r="A267" s="36"/>
    </row>
    <row r="268">
      <c r="A268" s="36"/>
    </row>
    <row r="269">
      <c r="A269" s="36"/>
    </row>
    <row r="270">
      <c r="A270" s="36"/>
    </row>
    <row r="271">
      <c r="A271" s="36"/>
    </row>
    <row r="272">
      <c r="A272" s="36"/>
    </row>
    <row r="273">
      <c r="A273" s="36"/>
    </row>
    <row r="274">
      <c r="A274" s="36"/>
    </row>
    <row r="275">
      <c r="A275" s="36"/>
    </row>
    <row r="276">
      <c r="A276" s="36"/>
    </row>
    <row r="277">
      <c r="A277" s="36"/>
    </row>
    <row r="278">
      <c r="A278" s="36"/>
    </row>
    <row r="279">
      <c r="A279" s="36"/>
    </row>
    <row r="280">
      <c r="A280" s="36"/>
    </row>
    <row r="281">
      <c r="A281" s="36"/>
    </row>
    <row r="282">
      <c r="A282" s="36"/>
    </row>
    <row r="283">
      <c r="A283" s="36"/>
    </row>
    <row r="284">
      <c r="A284" s="36"/>
    </row>
    <row r="285">
      <c r="A285" s="36"/>
    </row>
    <row r="286">
      <c r="A286" s="36"/>
    </row>
    <row r="287">
      <c r="A287" s="36"/>
    </row>
    <row r="288">
      <c r="A288" s="36"/>
    </row>
    <row r="289">
      <c r="A289" s="36"/>
    </row>
    <row r="290">
      <c r="A290" s="36"/>
    </row>
    <row r="291">
      <c r="A291" s="36"/>
    </row>
    <row r="292">
      <c r="A292" s="36"/>
    </row>
    <row r="293">
      <c r="A293" s="36"/>
    </row>
    <row r="294">
      <c r="A294" s="36"/>
    </row>
    <row r="295">
      <c r="A295" s="36"/>
    </row>
    <row r="296">
      <c r="A296" s="36"/>
    </row>
    <row r="297">
      <c r="A297" s="36"/>
    </row>
    <row r="298">
      <c r="A298" s="36"/>
    </row>
    <row r="299">
      <c r="A299" s="36"/>
    </row>
    <row r="300">
      <c r="A300" s="36"/>
    </row>
    <row r="301">
      <c r="A301" s="36"/>
    </row>
    <row r="302">
      <c r="A302" s="36"/>
    </row>
    <row r="303">
      <c r="A303" s="36"/>
    </row>
    <row r="304">
      <c r="A304" s="36"/>
    </row>
    <row r="305">
      <c r="A305" s="36"/>
    </row>
    <row r="306">
      <c r="A306" s="36"/>
    </row>
    <row r="307">
      <c r="A307" s="36"/>
    </row>
    <row r="308">
      <c r="A308" s="36"/>
    </row>
    <row r="309">
      <c r="A309" s="36"/>
    </row>
    <row r="310">
      <c r="A310" s="36"/>
    </row>
    <row r="311">
      <c r="A311" s="36"/>
    </row>
    <row r="312">
      <c r="A312" s="36"/>
    </row>
    <row r="313">
      <c r="A313" s="36"/>
    </row>
    <row r="314">
      <c r="A314" s="36"/>
    </row>
    <row r="315">
      <c r="A315" s="36"/>
    </row>
    <row r="316">
      <c r="A316" s="36"/>
    </row>
    <row r="317">
      <c r="A317" s="36"/>
    </row>
    <row r="318">
      <c r="A318" s="36"/>
    </row>
    <row r="319">
      <c r="A319" s="36"/>
    </row>
    <row r="320">
      <c r="A320" s="36"/>
    </row>
    <row r="321">
      <c r="A321" s="36"/>
    </row>
    <row r="322">
      <c r="A322" s="36"/>
    </row>
    <row r="323">
      <c r="A323" s="36"/>
    </row>
    <row r="324">
      <c r="A324" s="36"/>
    </row>
    <row r="325">
      <c r="A325" s="36"/>
    </row>
    <row r="326">
      <c r="A326" s="36"/>
    </row>
    <row r="327">
      <c r="A327" s="36"/>
    </row>
    <row r="328">
      <c r="A328" s="36"/>
    </row>
    <row r="329">
      <c r="A329" s="36"/>
    </row>
    <row r="330">
      <c r="A330" s="36"/>
    </row>
    <row r="331">
      <c r="A331" s="36"/>
    </row>
    <row r="332">
      <c r="A332" s="36"/>
    </row>
    <row r="333">
      <c r="A333" s="36"/>
    </row>
    <row r="334">
      <c r="A334" s="36"/>
    </row>
    <row r="335">
      <c r="A335" s="36"/>
    </row>
    <row r="336">
      <c r="A336" s="36"/>
    </row>
    <row r="337">
      <c r="A337" s="36"/>
    </row>
    <row r="338">
      <c r="A338" s="36"/>
    </row>
    <row r="339">
      <c r="A339" s="36"/>
    </row>
    <row r="340">
      <c r="A340" s="36"/>
    </row>
    <row r="341">
      <c r="A341" s="36"/>
    </row>
    <row r="342">
      <c r="A342" s="36"/>
    </row>
    <row r="343">
      <c r="A343" s="36"/>
    </row>
    <row r="344">
      <c r="A344" s="36"/>
    </row>
    <row r="345">
      <c r="A345" s="36"/>
    </row>
    <row r="346">
      <c r="A346" s="36"/>
    </row>
    <row r="347">
      <c r="A347" s="36"/>
    </row>
    <row r="348">
      <c r="A348" s="36"/>
    </row>
    <row r="349">
      <c r="A349" s="36"/>
    </row>
    <row r="350">
      <c r="A350" s="36"/>
    </row>
    <row r="351">
      <c r="A351" s="36"/>
    </row>
    <row r="352">
      <c r="A352" s="36"/>
    </row>
    <row r="353">
      <c r="A353" s="36"/>
    </row>
    <row r="354">
      <c r="A354" s="36"/>
    </row>
    <row r="355">
      <c r="A355" s="36"/>
    </row>
    <row r="356">
      <c r="A356" s="36"/>
    </row>
    <row r="357">
      <c r="A357" s="36"/>
    </row>
    <row r="358">
      <c r="A358" s="36"/>
    </row>
    <row r="359">
      <c r="A359" s="36"/>
    </row>
    <row r="360">
      <c r="A360" s="36"/>
    </row>
    <row r="361">
      <c r="A361" s="36"/>
    </row>
    <row r="362">
      <c r="A362" s="36"/>
    </row>
    <row r="363">
      <c r="A363" s="36"/>
    </row>
    <row r="364">
      <c r="A364" s="36"/>
    </row>
    <row r="365">
      <c r="A365" s="36"/>
    </row>
    <row r="366">
      <c r="A366" s="36"/>
    </row>
    <row r="367">
      <c r="A367" s="36"/>
    </row>
    <row r="368">
      <c r="A368" s="36"/>
    </row>
    <row r="369">
      <c r="A369" s="36"/>
    </row>
    <row r="370">
      <c r="A370" s="36"/>
    </row>
    <row r="371">
      <c r="A371" s="36"/>
    </row>
    <row r="372">
      <c r="A372" s="36"/>
    </row>
    <row r="373">
      <c r="A373" s="36"/>
    </row>
    <row r="374">
      <c r="A374" s="36"/>
    </row>
    <row r="375">
      <c r="A375" s="36"/>
    </row>
    <row r="376">
      <c r="A376" s="36"/>
    </row>
    <row r="377">
      <c r="A377" s="36"/>
    </row>
    <row r="378">
      <c r="A378" s="36"/>
    </row>
    <row r="379">
      <c r="A379" s="36"/>
    </row>
    <row r="380">
      <c r="A380" s="36"/>
    </row>
    <row r="381">
      <c r="A381" s="36"/>
    </row>
    <row r="382">
      <c r="A382" s="36"/>
    </row>
    <row r="383">
      <c r="A383" s="36"/>
    </row>
    <row r="384">
      <c r="A384" s="36"/>
    </row>
    <row r="385">
      <c r="A385" s="36"/>
    </row>
    <row r="386">
      <c r="A386" s="36"/>
    </row>
    <row r="387">
      <c r="A387" s="36"/>
    </row>
    <row r="388">
      <c r="A388" s="36"/>
    </row>
    <row r="389">
      <c r="A389" s="36"/>
    </row>
    <row r="390">
      <c r="A390" s="36"/>
    </row>
    <row r="391">
      <c r="A391" s="36"/>
    </row>
    <row r="392">
      <c r="A392" s="36"/>
    </row>
    <row r="393">
      <c r="A393" s="36"/>
    </row>
    <row r="394">
      <c r="A394" s="36"/>
    </row>
    <row r="395">
      <c r="A395" s="36"/>
    </row>
    <row r="396">
      <c r="A396" s="36"/>
    </row>
    <row r="397">
      <c r="A397" s="36"/>
    </row>
    <row r="398">
      <c r="A398" s="36"/>
    </row>
    <row r="399">
      <c r="A399" s="36"/>
    </row>
    <row r="400">
      <c r="A400" s="36"/>
    </row>
    <row r="401">
      <c r="A401" s="36"/>
    </row>
    <row r="402">
      <c r="A402" s="36"/>
    </row>
    <row r="403">
      <c r="A403" s="36"/>
    </row>
    <row r="404">
      <c r="A404" s="36"/>
    </row>
    <row r="405">
      <c r="A405" s="36"/>
    </row>
    <row r="406">
      <c r="A406" s="36"/>
    </row>
    <row r="407">
      <c r="A407" s="36"/>
    </row>
    <row r="408">
      <c r="A408" s="36"/>
    </row>
    <row r="409">
      <c r="A409" s="36"/>
    </row>
    <row r="410">
      <c r="A410" s="36"/>
    </row>
    <row r="411">
      <c r="A411" s="36"/>
    </row>
    <row r="412">
      <c r="A412" s="36"/>
    </row>
    <row r="413">
      <c r="A413" s="36"/>
    </row>
    <row r="414">
      <c r="A414" s="36"/>
    </row>
    <row r="415">
      <c r="A415" s="36"/>
    </row>
    <row r="416">
      <c r="A416" s="36"/>
    </row>
    <row r="417">
      <c r="A417" s="36"/>
    </row>
    <row r="418">
      <c r="A418" s="36"/>
    </row>
    <row r="419">
      <c r="A419" s="36"/>
    </row>
    <row r="420">
      <c r="A420" s="36"/>
    </row>
    <row r="421">
      <c r="A421" s="36"/>
    </row>
    <row r="422">
      <c r="A422" s="36"/>
    </row>
    <row r="423">
      <c r="A423" s="36"/>
    </row>
    <row r="424">
      <c r="A424" s="36"/>
    </row>
    <row r="425">
      <c r="A425" s="36"/>
    </row>
    <row r="426">
      <c r="A426" s="36"/>
    </row>
    <row r="427">
      <c r="A427" s="36"/>
    </row>
    <row r="428">
      <c r="A428" s="36"/>
    </row>
    <row r="429">
      <c r="A429" s="36"/>
    </row>
    <row r="430">
      <c r="A430" s="36"/>
    </row>
    <row r="431">
      <c r="A431" s="36"/>
    </row>
    <row r="432">
      <c r="A432" s="36"/>
    </row>
    <row r="433">
      <c r="A433" s="36"/>
    </row>
    <row r="434">
      <c r="A434" s="36"/>
    </row>
    <row r="435">
      <c r="A435" s="36"/>
    </row>
    <row r="436">
      <c r="A436" s="36"/>
    </row>
    <row r="437">
      <c r="A437" s="36"/>
    </row>
    <row r="438">
      <c r="A438" s="36"/>
    </row>
    <row r="439">
      <c r="A439" s="36"/>
    </row>
    <row r="440">
      <c r="A440" s="36"/>
    </row>
    <row r="441">
      <c r="A441" s="36"/>
    </row>
    <row r="442">
      <c r="A442" s="36"/>
    </row>
    <row r="443">
      <c r="A443" s="36"/>
    </row>
    <row r="444">
      <c r="A444" s="36"/>
    </row>
    <row r="445">
      <c r="A445" s="36"/>
    </row>
    <row r="446">
      <c r="A446" s="36"/>
    </row>
    <row r="447">
      <c r="A447" s="36"/>
    </row>
    <row r="448">
      <c r="A448" s="36"/>
    </row>
    <row r="449">
      <c r="A449" s="36"/>
    </row>
    <row r="450">
      <c r="A450" s="36"/>
    </row>
    <row r="451">
      <c r="A451" s="36"/>
    </row>
    <row r="452">
      <c r="A452" s="36"/>
    </row>
    <row r="453">
      <c r="A453" s="36"/>
    </row>
    <row r="454">
      <c r="A454" s="36"/>
    </row>
    <row r="455">
      <c r="A455" s="36"/>
    </row>
    <row r="456">
      <c r="A456" s="36"/>
    </row>
    <row r="457">
      <c r="A457" s="36"/>
    </row>
    <row r="458">
      <c r="A458" s="36"/>
    </row>
    <row r="459">
      <c r="A459" s="36"/>
    </row>
    <row r="460">
      <c r="A460" s="36"/>
    </row>
    <row r="461">
      <c r="A461" s="36"/>
    </row>
    <row r="462">
      <c r="A462" s="36"/>
    </row>
    <row r="463">
      <c r="A463" s="36"/>
    </row>
    <row r="464">
      <c r="A464" s="36"/>
    </row>
    <row r="465">
      <c r="A465" s="36"/>
    </row>
    <row r="466">
      <c r="A466" s="36"/>
    </row>
    <row r="467">
      <c r="A467" s="36"/>
    </row>
    <row r="468">
      <c r="A468" s="36"/>
    </row>
    <row r="469">
      <c r="A469" s="36"/>
    </row>
    <row r="470">
      <c r="A470" s="36"/>
    </row>
    <row r="471">
      <c r="A471" s="36"/>
    </row>
    <row r="472">
      <c r="A472" s="36"/>
    </row>
    <row r="473">
      <c r="A473" s="36"/>
    </row>
    <row r="474">
      <c r="A474" s="36"/>
    </row>
    <row r="475">
      <c r="A475" s="36"/>
    </row>
    <row r="476">
      <c r="A476" s="36"/>
    </row>
    <row r="477">
      <c r="A477" s="36"/>
    </row>
    <row r="478">
      <c r="A478" s="36"/>
    </row>
    <row r="479">
      <c r="A479" s="36"/>
    </row>
    <row r="480">
      <c r="A480" s="36"/>
    </row>
    <row r="481">
      <c r="A481" s="36"/>
    </row>
    <row r="482">
      <c r="A482" s="36"/>
    </row>
    <row r="483">
      <c r="A483" s="36"/>
    </row>
    <row r="484">
      <c r="A484" s="36"/>
    </row>
    <row r="485">
      <c r="A485" s="36"/>
    </row>
    <row r="486">
      <c r="A486" s="36"/>
    </row>
    <row r="487">
      <c r="A487" s="36"/>
    </row>
    <row r="488">
      <c r="A488" s="36"/>
    </row>
    <row r="489">
      <c r="A489" s="36"/>
    </row>
    <row r="490">
      <c r="A490" s="36"/>
    </row>
    <row r="491">
      <c r="A491" s="36"/>
    </row>
    <row r="492">
      <c r="A492" s="36"/>
    </row>
    <row r="493">
      <c r="A493" s="36"/>
    </row>
    <row r="494">
      <c r="A494" s="36"/>
    </row>
    <row r="495">
      <c r="A495" s="36"/>
    </row>
    <row r="496">
      <c r="A496" s="36"/>
    </row>
    <row r="497">
      <c r="A497" s="36"/>
    </row>
    <row r="498">
      <c r="A498" s="36"/>
    </row>
    <row r="499">
      <c r="A499" s="36"/>
    </row>
    <row r="500">
      <c r="A500" s="36"/>
    </row>
    <row r="501">
      <c r="A501" s="36"/>
    </row>
    <row r="502">
      <c r="A502" s="36"/>
    </row>
    <row r="503">
      <c r="A503" s="36"/>
    </row>
    <row r="504">
      <c r="A504" s="36"/>
    </row>
    <row r="505">
      <c r="A505" s="36"/>
    </row>
    <row r="506">
      <c r="A506" s="36"/>
    </row>
    <row r="507">
      <c r="A507" s="36"/>
    </row>
    <row r="508">
      <c r="A508" s="36"/>
    </row>
    <row r="509">
      <c r="A509" s="36"/>
    </row>
    <row r="510">
      <c r="A510" s="36"/>
    </row>
    <row r="511">
      <c r="A511" s="36"/>
    </row>
    <row r="512">
      <c r="A512" s="36"/>
    </row>
    <row r="513">
      <c r="A513" s="36"/>
    </row>
    <row r="514">
      <c r="A514" s="36"/>
    </row>
    <row r="515">
      <c r="A515" s="36"/>
    </row>
    <row r="516">
      <c r="A516" s="36"/>
    </row>
    <row r="517">
      <c r="A517" s="36"/>
    </row>
    <row r="518">
      <c r="A518" s="36"/>
    </row>
    <row r="519">
      <c r="A519" s="36"/>
    </row>
    <row r="520">
      <c r="A520" s="36"/>
    </row>
    <row r="521">
      <c r="A521" s="36"/>
    </row>
    <row r="522">
      <c r="A522" s="36"/>
    </row>
    <row r="523">
      <c r="A523" s="36"/>
    </row>
    <row r="524">
      <c r="A524" s="36"/>
    </row>
    <row r="525">
      <c r="A525" s="36"/>
    </row>
    <row r="526">
      <c r="A526" s="36"/>
    </row>
    <row r="527">
      <c r="A527" s="36"/>
    </row>
    <row r="528">
      <c r="A528" s="36"/>
    </row>
    <row r="529">
      <c r="A529" s="36"/>
    </row>
    <row r="530">
      <c r="A530" s="36"/>
    </row>
    <row r="531">
      <c r="A531" s="36"/>
    </row>
    <row r="532">
      <c r="A532" s="36"/>
    </row>
    <row r="533">
      <c r="A533" s="36"/>
    </row>
    <row r="534">
      <c r="A534" s="36"/>
    </row>
    <row r="535">
      <c r="A535" s="36"/>
    </row>
    <row r="536">
      <c r="A536" s="36"/>
    </row>
    <row r="537">
      <c r="A537" s="36"/>
    </row>
    <row r="538">
      <c r="A538" s="36"/>
    </row>
    <row r="539">
      <c r="A539" s="36"/>
    </row>
    <row r="540">
      <c r="A540" s="36"/>
    </row>
    <row r="541">
      <c r="A541" s="36"/>
    </row>
    <row r="542">
      <c r="A542" s="36"/>
    </row>
    <row r="543">
      <c r="A543" s="36"/>
    </row>
    <row r="544">
      <c r="A544" s="36"/>
    </row>
    <row r="545">
      <c r="A545" s="36"/>
    </row>
    <row r="546">
      <c r="A546" s="36"/>
    </row>
    <row r="547">
      <c r="A547" s="36"/>
    </row>
    <row r="548">
      <c r="A548" s="36"/>
    </row>
    <row r="549">
      <c r="A549" s="36"/>
    </row>
    <row r="550">
      <c r="A550" s="36"/>
    </row>
    <row r="551">
      <c r="A551" s="36"/>
    </row>
    <row r="552">
      <c r="A552" s="36"/>
    </row>
    <row r="553">
      <c r="A553" s="36"/>
    </row>
    <row r="554">
      <c r="A554" s="36"/>
    </row>
    <row r="555">
      <c r="A555" s="36"/>
    </row>
    <row r="556">
      <c r="A556" s="36"/>
    </row>
    <row r="557">
      <c r="A557" s="36"/>
    </row>
    <row r="558">
      <c r="A558" s="36"/>
    </row>
    <row r="559">
      <c r="A559" s="36"/>
    </row>
    <row r="560">
      <c r="A560" s="36"/>
    </row>
    <row r="561">
      <c r="A561" s="36"/>
    </row>
    <row r="562">
      <c r="A562" s="36"/>
    </row>
    <row r="563">
      <c r="A563" s="36"/>
    </row>
    <row r="564">
      <c r="A564" s="36"/>
    </row>
    <row r="565">
      <c r="A565" s="36"/>
    </row>
    <row r="566">
      <c r="A566" s="36"/>
    </row>
    <row r="567">
      <c r="A567" s="36"/>
    </row>
    <row r="568">
      <c r="A568" s="36"/>
    </row>
    <row r="569">
      <c r="A569" s="36"/>
    </row>
    <row r="570">
      <c r="A570" s="36"/>
    </row>
    <row r="571">
      <c r="A571" s="36"/>
    </row>
    <row r="572">
      <c r="A572" s="36"/>
    </row>
    <row r="573">
      <c r="A573" s="36"/>
    </row>
    <row r="574">
      <c r="A574" s="36"/>
    </row>
    <row r="575">
      <c r="A575" s="36"/>
    </row>
    <row r="576">
      <c r="A576" s="36"/>
    </row>
    <row r="577">
      <c r="A577" s="36"/>
    </row>
    <row r="578">
      <c r="A578" s="36"/>
    </row>
    <row r="579">
      <c r="A579" s="36"/>
    </row>
    <row r="580">
      <c r="A580" s="36"/>
    </row>
    <row r="581">
      <c r="A581" s="36"/>
    </row>
    <row r="582">
      <c r="A582" s="36"/>
    </row>
    <row r="583">
      <c r="A583" s="36"/>
    </row>
    <row r="584">
      <c r="A584" s="36"/>
    </row>
    <row r="585">
      <c r="A585" s="36"/>
    </row>
    <row r="586">
      <c r="A586" s="36"/>
    </row>
    <row r="587">
      <c r="A587" s="36"/>
    </row>
    <row r="588">
      <c r="A588" s="36"/>
    </row>
    <row r="589">
      <c r="A589" s="36"/>
    </row>
    <row r="590">
      <c r="A590" s="36"/>
    </row>
    <row r="591">
      <c r="A591" s="36"/>
    </row>
    <row r="592">
      <c r="A592" s="36"/>
    </row>
    <row r="593">
      <c r="A593" s="36"/>
    </row>
    <row r="594">
      <c r="A594" s="36"/>
    </row>
    <row r="595">
      <c r="A595" s="36"/>
    </row>
    <row r="596">
      <c r="A596" s="36"/>
    </row>
    <row r="597">
      <c r="A597" s="36"/>
    </row>
    <row r="598">
      <c r="A598" s="36"/>
    </row>
    <row r="599">
      <c r="A599" s="36"/>
    </row>
    <row r="600">
      <c r="A600" s="36"/>
    </row>
    <row r="601">
      <c r="A601" s="36"/>
    </row>
    <row r="602">
      <c r="A602" s="36"/>
    </row>
    <row r="603">
      <c r="A603" s="36"/>
    </row>
    <row r="604">
      <c r="A604" s="36"/>
    </row>
    <row r="605">
      <c r="A605" s="36"/>
    </row>
    <row r="606">
      <c r="A606" s="36"/>
    </row>
    <row r="607">
      <c r="A607" s="36"/>
    </row>
    <row r="608">
      <c r="A608" s="36"/>
    </row>
    <row r="609">
      <c r="A609" s="36"/>
    </row>
    <row r="610">
      <c r="A610" s="36"/>
    </row>
    <row r="611">
      <c r="A611" s="36"/>
    </row>
    <row r="612">
      <c r="A612" s="36"/>
    </row>
    <row r="613">
      <c r="A613" s="36"/>
    </row>
    <row r="614">
      <c r="A614" s="36"/>
    </row>
    <row r="615">
      <c r="A615" s="36"/>
    </row>
    <row r="616">
      <c r="A616" s="36"/>
    </row>
    <row r="617">
      <c r="A617" s="36"/>
    </row>
    <row r="618">
      <c r="A618" s="36"/>
    </row>
    <row r="619">
      <c r="A619" s="36"/>
    </row>
    <row r="620">
      <c r="A620" s="36"/>
    </row>
    <row r="621">
      <c r="A621" s="36"/>
    </row>
    <row r="622">
      <c r="A622" s="36"/>
    </row>
    <row r="623">
      <c r="A623" s="36"/>
    </row>
    <row r="624">
      <c r="A624" s="36"/>
    </row>
    <row r="625">
      <c r="A625" s="36"/>
    </row>
    <row r="626">
      <c r="A626" s="36"/>
    </row>
    <row r="627">
      <c r="A627" s="36"/>
    </row>
    <row r="628">
      <c r="A628" s="36"/>
    </row>
    <row r="629">
      <c r="A629" s="36"/>
    </row>
    <row r="630">
      <c r="A630" s="36"/>
    </row>
    <row r="631">
      <c r="A631" s="36"/>
    </row>
    <row r="632">
      <c r="A632" s="36"/>
    </row>
    <row r="633">
      <c r="A633" s="36"/>
    </row>
    <row r="634">
      <c r="A634" s="36"/>
    </row>
    <row r="635">
      <c r="A635" s="36"/>
    </row>
    <row r="636">
      <c r="A636" s="36"/>
    </row>
    <row r="637">
      <c r="A637" s="36"/>
    </row>
    <row r="638">
      <c r="A638" s="36"/>
    </row>
    <row r="639">
      <c r="A639" s="36"/>
    </row>
    <row r="640">
      <c r="A640" s="36"/>
    </row>
    <row r="641">
      <c r="A641" s="36"/>
    </row>
    <row r="642">
      <c r="A642" s="36"/>
    </row>
    <row r="643">
      <c r="A643" s="36"/>
    </row>
    <row r="644">
      <c r="A644" s="36"/>
    </row>
    <row r="645">
      <c r="A645" s="36"/>
    </row>
    <row r="646">
      <c r="A646" s="36"/>
    </row>
    <row r="647">
      <c r="A647" s="36"/>
    </row>
    <row r="648">
      <c r="A648" s="36"/>
    </row>
    <row r="649">
      <c r="A649" s="36"/>
    </row>
    <row r="650">
      <c r="A650" s="36"/>
    </row>
    <row r="651">
      <c r="A651" s="36"/>
    </row>
    <row r="652">
      <c r="A652" s="36"/>
    </row>
    <row r="653">
      <c r="A653" s="36"/>
    </row>
    <row r="654">
      <c r="A654" s="36"/>
    </row>
    <row r="655">
      <c r="A655" s="36"/>
    </row>
    <row r="656">
      <c r="A656" s="36"/>
    </row>
    <row r="657">
      <c r="A657" s="36"/>
    </row>
    <row r="658">
      <c r="A658" s="36"/>
    </row>
    <row r="659">
      <c r="A659" s="36"/>
    </row>
    <row r="660">
      <c r="A660" s="36"/>
    </row>
    <row r="661">
      <c r="A661" s="36"/>
    </row>
    <row r="662">
      <c r="A662" s="36"/>
    </row>
    <row r="663">
      <c r="A663" s="36"/>
    </row>
    <row r="664">
      <c r="A664" s="36"/>
    </row>
    <row r="665">
      <c r="A665" s="36"/>
    </row>
    <row r="666">
      <c r="A666" s="36"/>
    </row>
    <row r="667">
      <c r="A667" s="36"/>
    </row>
    <row r="668">
      <c r="A668" s="36"/>
    </row>
    <row r="669">
      <c r="A669" s="36"/>
    </row>
    <row r="670">
      <c r="A670" s="36"/>
    </row>
    <row r="671">
      <c r="A671" s="36"/>
    </row>
    <row r="672">
      <c r="A672" s="36"/>
    </row>
    <row r="673">
      <c r="A673" s="36"/>
    </row>
    <row r="674">
      <c r="A674" s="36"/>
    </row>
    <row r="675">
      <c r="A675" s="36"/>
    </row>
    <row r="676">
      <c r="A676" s="36"/>
    </row>
    <row r="677">
      <c r="A677" s="36"/>
    </row>
    <row r="678">
      <c r="A678" s="36"/>
    </row>
    <row r="679">
      <c r="A679" s="36"/>
    </row>
    <row r="680">
      <c r="A680" s="36"/>
    </row>
    <row r="681">
      <c r="A681" s="36"/>
    </row>
    <row r="682">
      <c r="A682" s="36"/>
    </row>
    <row r="683">
      <c r="A683" s="36"/>
    </row>
    <row r="684">
      <c r="A684" s="36"/>
    </row>
    <row r="685">
      <c r="A685" s="36"/>
    </row>
    <row r="686">
      <c r="A686" s="36"/>
    </row>
    <row r="687">
      <c r="A687" s="36"/>
    </row>
    <row r="688">
      <c r="A688" s="36"/>
    </row>
    <row r="689">
      <c r="A689" s="36"/>
    </row>
    <row r="690">
      <c r="A690" s="36"/>
    </row>
    <row r="691">
      <c r="A691" s="36"/>
    </row>
    <row r="692">
      <c r="A692" s="36"/>
    </row>
    <row r="693">
      <c r="A693" s="36"/>
    </row>
    <row r="694">
      <c r="A694" s="36"/>
    </row>
    <row r="695">
      <c r="A695" s="36"/>
    </row>
    <row r="696">
      <c r="A696" s="36"/>
    </row>
    <row r="697">
      <c r="A697" s="36"/>
    </row>
    <row r="698">
      <c r="A698" s="36"/>
    </row>
    <row r="699">
      <c r="A699" s="36"/>
    </row>
    <row r="700">
      <c r="A700" s="36"/>
    </row>
    <row r="701">
      <c r="A701" s="36"/>
    </row>
    <row r="702">
      <c r="A702" s="36"/>
    </row>
    <row r="703">
      <c r="A703" s="36"/>
    </row>
    <row r="704">
      <c r="A704" s="36"/>
    </row>
    <row r="705">
      <c r="A705" s="36"/>
    </row>
    <row r="706">
      <c r="A706" s="36"/>
    </row>
    <row r="707">
      <c r="A707" s="36"/>
    </row>
    <row r="708">
      <c r="A708" s="36"/>
    </row>
    <row r="709">
      <c r="A709" s="36"/>
    </row>
    <row r="710">
      <c r="A710" s="36"/>
    </row>
    <row r="711">
      <c r="A711" s="36"/>
    </row>
    <row r="712">
      <c r="A712" s="36"/>
    </row>
    <row r="713">
      <c r="A713" s="36"/>
    </row>
    <row r="714">
      <c r="A714" s="36"/>
    </row>
    <row r="715">
      <c r="A715" s="36"/>
    </row>
    <row r="716">
      <c r="A716" s="36"/>
    </row>
    <row r="717">
      <c r="A717" s="36"/>
    </row>
    <row r="718">
      <c r="A718" s="36"/>
    </row>
    <row r="719">
      <c r="A719" s="36"/>
    </row>
    <row r="720">
      <c r="A720" s="36"/>
    </row>
    <row r="721">
      <c r="A721" s="36"/>
    </row>
    <row r="722">
      <c r="A722" s="36"/>
    </row>
    <row r="723">
      <c r="A723" s="36"/>
    </row>
    <row r="724">
      <c r="A724" s="36"/>
    </row>
    <row r="725">
      <c r="A725" s="36"/>
    </row>
    <row r="726">
      <c r="A726" s="36"/>
    </row>
    <row r="727">
      <c r="A727" s="36"/>
    </row>
    <row r="728">
      <c r="A728" s="36"/>
    </row>
    <row r="729">
      <c r="A729" s="36"/>
    </row>
    <row r="730">
      <c r="A730" s="36"/>
    </row>
    <row r="731">
      <c r="A731" s="36"/>
    </row>
    <row r="732">
      <c r="A732" s="36"/>
    </row>
    <row r="733">
      <c r="A733" s="36"/>
    </row>
    <row r="734">
      <c r="A734" s="36"/>
    </row>
    <row r="735">
      <c r="A735" s="36"/>
    </row>
    <row r="736">
      <c r="A736" s="36"/>
    </row>
    <row r="737">
      <c r="A737" s="36"/>
    </row>
    <row r="738">
      <c r="A738" s="36"/>
    </row>
    <row r="739">
      <c r="A739" s="36"/>
    </row>
    <row r="740">
      <c r="A740" s="36"/>
    </row>
    <row r="741">
      <c r="A741" s="36"/>
    </row>
    <row r="742">
      <c r="A742" s="36"/>
    </row>
    <row r="743">
      <c r="A743" s="36"/>
    </row>
    <row r="744">
      <c r="A744" s="36"/>
    </row>
    <row r="745">
      <c r="A745" s="36"/>
    </row>
    <row r="746">
      <c r="A746" s="36"/>
    </row>
    <row r="747">
      <c r="A747" s="36"/>
    </row>
    <row r="748">
      <c r="A748" s="36"/>
    </row>
    <row r="749">
      <c r="A749" s="36"/>
    </row>
    <row r="750">
      <c r="A750" s="36"/>
    </row>
    <row r="751">
      <c r="A751" s="36"/>
    </row>
    <row r="752">
      <c r="A752" s="36"/>
    </row>
    <row r="753">
      <c r="A753" s="36"/>
    </row>
    <row r="754">
      <c r="A754" s="36"/>
    </row>
    <row r="755">
      <c r="A755" s="36"/>
    </row>
    <row r="756">
      <c r="A756" s="36"/>
    </row>
    <row r="757">
      <c r="A757" s="36"/>
    </row>
    <row r="758">
      <c r="A758" s="36"/>
    </row>
    <row r="759">
      <c r="A759" s="36"/>
    </row>
    <row r="760">
      <c r="A760" s="36"/>
    </row>
    <row r="761">
      <c r="A761" s="36"/>
    </row>
    <row r="762">
      <c r="A762" s="36"/>
    </row>
    <row r="763">
      <c r="A763" s="36"/>
    </row>
    <row r="764">
      <c r="A764" s="36"/>
    </row>
    <row r="765">
      <c r="A765" s="36"/>
    </row>
    <row r="766">
      <c r="A766" s="36"/>
    </row>
    <row r="767">
      <c r="A767" s="36"/>
    </row>
    <row r="768">
      <c r="A768" s="36"/>
    </row>
    <row r="769">
      <c r="A769" s="36"/>
    </row>
    <row r="770">
      <c r="A770" s="36"/>
    </row>
    <row r="771">
      <c r="A771" s="36"/>
    </row>
    <row r="772">
      <c r="A772" s="36"/>
    </row>
    <row r="773">
      <c r="A773" s="36"/>
    </row>
    <row r="774">
      <c r="A774" s="36"/>
    </row>
    <row r="775">
      <c r="A775" s="36"/>
    </row>
    <row r="776">
      <c r="A776" s="36"/>
    </row>
    <row r="777">
      <c r="A777" s="36"/>
    </row>
    <row r="778">
      <c r="A778" s="36"/>
    </row>
    <row r="779">
      <c r="A779" s="36"/>
    </row>
    <row r="780">
      <c r="A780" s="36"/>
    </row>
    <row r="781">
      <c r="A781" s="36"/>
    </row>
    <row r="782">
      <c r="A782" s="36"/>
    </row>
    <row r="783">
      <c r="A783" s="36"/>
    </row>
    <row r="784">
      <c r="A784" s="36"/>
    </row>
    <row r="785">
      <c r="A785" s="36"/>
    </row>
    <row r="786">
      <c r="A786" s="36"/>
    </row>
    <row r="787">
      <c r="A787" s="36"/>
    </row>
    <row r="788">
      <c r="A788" s="36"/>
    </row>
    <row r="789">
      <c r="A789" s="36"/>
    </row>
    <row r="790">
      <c r="A790" s="36"/>
    </row>
    <row r="791">
      <c r="A791" s="36"/>
    </row>
    <row r="792">
      <c r="A792" s="36"/>
    </row>
    <row r="793">
      <c r="A793" s="36"/>
    </row>
    <row r="794">
      <c r="A794" s="36"/>
    </row>
    <row r="795">
      <c r="A795" s="36"/>
    </row>
    <row r="796">
      <c r="A796" s="36"/>
    </row>
    <row r="797">
      <c r="A797" s="36"/>
    </row>
    <row r="798">
      <c r="A798" s="36"/>
    </row>
    <row r="799">
      <c r="A799" s="36"/>
    </row>
    <row r="800">
      <c r="A800" s="36"/>
    </row>
    <row r="801">
      <c r="A801" s="36"/>
    </row>
    <row r="802">
      <c r="A802" s="36"/>
    </row>
    <row r="803">
      <c r="A803" s="36"/>
    </row>
    <row r="804">
      <c r="A804" s="36"/>
    </row>
    <row r="805">
      <c r="A805" s="36"/>
    </row>
    <row r="806">
      <c r="A806" s="36"/>
    </row>
    <row r="807">
      <c r="A807" s="36"/>
    </row>
    <row r="808">
      <c r="A808" s="36"/>
    </row>
    <row r="809">
      <c r="A809" s="36"/>
    </row>
    <row r="810">
      <c r="A810" s="36"/>
    </row>
    <row r="811">
      <c r="A811" s="36"/>
    </row>
    <row r="812">
      <c r="A812" s="36"/>
    </row>
    <row r="813">
      <c r="A813" s="36"/>
    </row>
    <row r="814">
      <c r="A814" s="36"/>
    </row>
    <row r="815">
      <c r="A815" s="36"/>
    </row>
    <row r="816">
      <c r="A816" s="36"/>
    </row>
    <row r="817">
      <c r="A817" s="36"/>
    </row>
    <row r="818">
      <c r="A818" s="36"/>
    </row>
    <row r="819">
      <c r="A819" s="36"/>
    </row>
    <row r="820">
      <c r="A820" s="36"/>
    </row>
    <row r="821">
      <c r="A821" s="36"/>
    </row>
    <row r="822">
      <c r="A822" s="36"/>
    </row>
    <row r="823">
      <c r="A823" s="36"/>
    </row>
    <row r="824">
      <c r="A824" s="36"/>
    </row>
    <row r="825">
      <c r="A825" s="36"/>
    </row>
    <row r="826">
      <c r="A826" s="36"/>
    </row>
    <row r="827">
      <c r="A827" s="36"/>
    </row>
    <row r="828">
      <c r="A828" s="36"/>
    </row>
    <row r="829">
      <c r="A829" s="36"/>
    </row>
    <row r="830">
      <c r="A830" s="36"/>
    </row>
    <row r="831">
      <c r="A831" s="36"/>
    </row>
    <row r="832">
      <c r="A832" s="36"/>
    </row>
    <row r="833">
      <c r="A833" s="36"/>
    </row>
    <row r="834">
      <c r="A834" s="36"/>
    </row>
    <row r="835">
      <c r="A835" s="36"/>
    </row>
    <row r="836">
      <c r="A836" s="36"/>
    </row>
    <row r="837">
      <c r="A837" s="36"/>
    </row>
    <row r="838">
      <c r="A838" s="36"/>
    </row>
    <row r="839">
      <c r="A839" s="36"/>
    </row>
    <row r="840">
      <c r="A840" s="36"/>
    </row>
    <row r="841">
      <c r="A841" s="36"/>
    </row>
    <row r="842">
      <c r="A842" s="36"/>
    </row>
    <row r="843">
      <c r="A843" s="36"/>
    </row>
    <row r="844">
      <c r="A844" s="36"/>
    </row>
    <row r="845">
      <c r="A845" s="36"/>
    </row>
    <row r="846">
      <c r="A846" s="36"/>
    </row>
    <row r="847">
      <c r="A847" s="36"/>
    </row>
    <row r="848">
      <c r="A848" s="36"/>
    </row>
    <row r="849">
      <c r="A849" s="36"/>
    </row>
    <row r="850">
      <c r="A850" s="36"/>
    </row>
    <row r="851">
      <c r="A851" s="36"/>
    </row>
    <row r="852">
      <c r="A852" s="36"/>
    </row>
    <row r="853">
      <c r="A853" s="36"/>
    </row>
    <row r="854">
      <c r="A854" s="36"/>
    </row>
    <row r="855">
      <c r="A855" s="36"/>
    </row>
    <row r="856">
      <c r="A856" s="36"/>
    </row>
    <row r="857">
      <c r="A857" s="36"/>
    </row>
    <row r="858">
      <c r="A858" s="36"/>
    </row>
    <row r="859">
      <c r="A859" s="36"/>
    </row>
    <row r="860">
      <c r="A860" s="36"/>
    </row>
    <row r="861">
      <c r="A861" s="36"/>
    </row>
    <row r="862">
      <c r="A862" s="36"/>
    </row>
    <row r="863">
      <c r="A863" s="36"/>
    </row>
    <row r="864">
      <c r="A864" s="36"/>
    </row>
    <row r="865">
      <c r="A865" s="36"/>
    </row>
    <row r="866">
      <c r="A866" s="36"/>
    </row>
    <row r="867">
      <c r="A867" s="36"/>
    </row>
    <row r="868">
      <c r="A868" s="36"/>
    </row>
    <row r="869">
      <c r="A869" s="36"/>
    </row>
    <row r="870">
      <c r="A870" s="36"/>
    </row>
    <row r="871">
      <c r="A871" s="36"/>
    </row>
    <row r="872">
      <c r="A872" s="36"/>
    </row>
    <row r="873">
      <c r="A873" s="36"/>
    </row>
    <row r="874">
      <c r="A874" s="36"/>
    </row>
    <row r="875">
      <c r="A875" s="36"/>
    </row>
    <row r="876">
      <c r="A876" s="36"/>
    </row>
    <row r="877">
      <c r="A877" s="36"/>
    </row>
    <row r="878">
      <c r="A878" s="36"/>
    </row>
    <row r="879">
      <c r="A879" s="36"/>
    </row>
    <row r="880">
      <c r="A880" s="36"/>
    </row>
    <row r="881">
      <c r="A881" s="36"/>
    </row>
    <row r="882">
      <c r="A882" s="36"/>
    </row>
    <row r="883">
      <c r="A883" s="36"/>
    </row>
    <row r="884">
      <c r="A884" s="36"/>
    </row>
    <row r="885">
      <c r="A885" s="36"/>
    </row>
    <row r="886">
      <c r="A886" s="36"/>
    </row>
    <row r="887">
      <c r="A887" s="36"/>
    </row>
    <row r="888">
      <c r="A888" s="36"/>
    </row>
    <row r="889">
      <c r="A889" s="36"/>
    </row>
    <row r="890">
      <c r="A890" s="36"/>
    </row>
    <row r="891">
      <c r="A891" s="36"/>
    </row>
    <row r="892">
      <c r="A892" s="36"/>
    </row>
    <row r="893">
      <c r="A893" s="36"/>
    </row>
    <row r="894">
      <c r="A894" s="36"/>
    </row>
    <row r="895">
      <c r="A895" s="36"/>
    </row>
    <row r="896">
      <c r="A896" s="36"/>
    </row>
    <row r="897">
      <c r="A897" s="36"/>
    </row>
    <row r="898">
      <c r="A898" s="36"/>
    </row>
    <row r="899">
      <c r="A899" s="36"/>
    </row>
    <row r="900">
      <c r="A900" s="36"/>
    </row>
    <row r="901">
      <c r="A901" s="36"/>
    </row>
    <row r="902">
      <c r="A902" s="36"/>
    </row>
    <row r="903">
      <c r="A903" s="36"/>
    </row>
    <row r="904">
      <c r="A904" s="36"/>
    </row>
    <row r="905">
      <c r="A905" s="36"/>
    </row>
    <row r="906">
      <c r="A906" s="36"/>
    </row>
    <row r="907">
      <c r="A907" s="36"/>
    </row>
    <row r="908">
      <c r="A908" s="36"/>
    </row>
    <row r="909">
      <c r="A909" s="36"/>
    </row>
    <row r="910">
      <c r="A910" s="36"/>
    </row>
    <row r="911">
      <c r="A911" s="36"/>
    </row>
    <row r="912">
      <c r="A912" s="36"/>
    </row>
    <row r="913">
      <c r="A913" s="36"/>
    </row>
    <row r="914">
      <c r="A914" s="36"/>
    </row>
    <row r="915">
      <c r="A915" s="36"/>
    </row>
    <row r="916">
      <c r="A916" s="36"/>
    </row>
    <row r="917">
      <c r="A917" s="36"/>
    </row>
    <row r="918">
      <c r="A918" s="36"/>
    </row>
    <row r="919">
      <c r="A919" s="36"/>
    </row>
    <row r="920">
      <c r="A920" s="36"/>
    </row>
    <row r="921">
      <c r="A921" s="36"/>
    </row>
    <row r="922">
      <c r="A922" s="36"/>
    </row>
    <row r="923">
      <c r="A923" s="36"/>
    </row>
    <row r="924">
      <c r="A924" s="36"/>
    </row>
    <row r="925">
      <c r="A925" s="36"/>
    </row>
    <row r="926">
      <c r="A926" s="36"/>
    </row>
    <row r="927">
      <c r="A927" s="36"/>
    </row>
    <row r="928">
      <c r="A928" s="36"/>
    </row>
    <row r="929">
      <c r="A929" s="36"/>
    </row>
    <row r="930">
      <c r="A930" s="36"/>
    </row>
    <row r="931">
      <c r="A931" s="36"/>
    </row>
    <row r="932">
      <c r="A932" s="36"/>
    </row>
    <row r="933">
      <c r="A933" s="36"/>
    </row>
    <row r="934">
      <c r="A934" s="36"/>
    </row>
    <row r="935">
      <c r="A935" s="36"/>
    </row>
    <row r="936">
      <c r="A936" s="36"/>
    </row>
    <row r="937">
      <c r="A937" s="36"/>
    </row>
    <row r="938">
      <c r="A938" s="36"/>
    </row>
    <row r="939">
      <c r="A939" s="36"/>
    </row>
    <row r="940">
      <c r="A940" s="36"/>
    </row>
    <row r="941">
      <c r="A941" s="36"/>
    </row>
    <row r="942">
      <c r="A942" s="36"/>
    </row>
    <row r="943">
      <c r="A943" s="36"/>
    </row>
    <row r="944">
      <c r="A944" s="36"/>
    </row>
    <row r="945">
      <c r="A945" s="36"/>
    </row>
    <row r="946">
      <c r="A946" s="36"/>
    </row>
    <row r="947">
      <c r="A947" s="36"/>
    </row>
    <row r="948">
      <c r="A948" s="36"/>
    </row>
    <row r="949">
      <c r="A949" s="36"/>
    </row>
    <row r="950">
      <c r="A950" s="36"/>
    </row>
    <row r="951">
      <c r="A951" s="36"/>
    </row>
    <row r="952">
      <c r="A952" s="36"/>
    </row>
    <row r="953">
      <c r="A953" s="36"/>
    </row>
    <row r="954">
      <c r="A954" s="36"/>
    </row>
    <row r="955">
      <c r="A955" s="36"/>
    </row>
    <row r="956">
      <c r="A956" s="36"/>
    </row>
    <row r="957">
      <c r="A957" s="36"/>
    </row>
    <row r="958">
      <c r="A958" s="36"/>
    </row>
    <row r="959">
      <c r="A959" s="36"/>
    </row>
    <row r="960">
      <c r="A960" s="36"/>
    </row>
    <row r="961">
      <c r="A961" s="36"/>
    </row>
    <row r="962">
      <c r="A962" s="36"/>
    </row>
    <row r="963">
      <c r="A963" s="36"/>
    </row>
    <row r="964">
      <c r="A964" s="36"/>
    </row>
    <row r="965">
      <c r="A965" s="36"/>
    </row>
    <row r="966">
      <c r="A966" s="36"/>
    </row>
    <row r="967">
      <c r="A967" s="36"/>
    </row>
    <row r="968">
      <c r="A968" s="36"/>
    </row>
    <row r="969">
      <c r="A969" s="36"/>
    </row>
    <row r="970">
      <c r="A970" s="36"/>
    </row>
    <row r="971">
      <c r="A971" s="36"/>
    </row>
    <row r="972">
      <c r="A972" s="36"/>
    </row>
    <row r="973">
      <c r="A973" s="36"/>
    </row>
    <row r="974">
      <c r="A974" s="36"/>
    </row>
    <row r="975">
      <c r="A975" s="36"/>
    </row>
    <row r="976">
      <c r="A976" s="36"/>
    </row>
    <row r="977">
      <c r="A977" s="36"/>
    </row>
    <row r="978">
      <c r="A978" s="36"/>
    </row>
    <row r="979">
      <c r="A979" s="36"/>
    </row>
    <row r="980">
      <c r="A980" s="36"/>
    </row>
    <row r="981">
      <c r="A981" s="36"/>
    </row>
    <row r="982">
      <c r="A982" s="36"/>
    </row>
    <row r="983">
      <c r="A983" s="36"/>
    </row>
    <row r="984">
      <c r="A984" s="36"/>
    </row>
    <row r="985">
      <c r="A985" s="36"/>
    </row>
    <row r="986">
      <c r="A986" s="36"/>
    </row>
    <row r="987">
      <c r="A987" s="36"/>
    </row>
    <row r="988">
      <c r="A988" s="36"/>
    </row>
    <row r="989">
      <c r="A989" s="36"/>
    </row>
    <row r="990">
      <c r="A990" s="36"/>
    </row>
    <row r="991">
      <c r="A991" s="36"/>
    </row>
    <row r="992">
      <c r="A992" s="36"/>
    </row>
    <row r="993">
      <c r="A993" s="36"/>
    </row>
    <row r="994">
      <c r="A994" s="36"/>
    </row>
    <row r="995">
      <c r="A995" s="36"/>
    </row>
    <row r="996">
      <c r="A996" s="36"/>
    </row>
    <row r="997">
      <c r="A997" s="36"/>
    </row>
    <row r="998">
      <c r="A998" s="36"/>
    </row>
    <row r="999">
      <c r="A999" s="36"/>
    </row>
    <row r="1000">
      <c r="A1000" s="3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38"/>
    <col customWidth="1" min="3" max="3" width="23.38"/>
    <col customWidth="1" min="4" max="4" width="15.13"/>
    <col customWidth="1" min="5" max="5" width="13.38"/>
  </cols>
  <sheetData>
    <row r="1">
      <c r="A1" s="37" t="s">
        <v>65</v>
      </c>
      <c r="B1" s="38" t="s">
        <v>66</v>
      </c>
      <c r="C1" s="38" t="s">
        <v>67</v>
      </c>
      <c r="D1" s="38" t="s">
        <v>68</v>
      </c>
      <c r="E1" s="38" t="s">
        <v>69</v>
      </c>
    </row>
    <row r="2">
      <c r="A2" s="5">
        <v>1.0</v>
      </c>
      <c r="B2" s="39" t="s">
        <v>2</v>
      </c>
      <c r="C2" s="40" t="s">
        <v>70</v>
      </c>
      <c r="D2" s="1"/>
      <c r="E2" s="41" t="s">
        <v>71</v>
      </c>
    </row>
    <row r="3">
      <c r="A3" s="5">
        <v>2.0</v>
      </c>
      <c r="B3" s="39" t="s">
        <v>4</v>
      </c>
      <c r="C3" s="41" t="s">
        <v>72</v>
      </c>
      <c r="D3" s="1"/>
      <c r="E3" s="41" t="s">
        <v>73</v>
      </c>
    </row>
    <row r="4">
      <c r="A4" s="5">
        <v>3.0</v>
      </c>
      <c r="B4" s="39" t="s">
        <v>5</v>
      </c>
      <c r="C4" s="41" t="s">
        <v>74</v>
      </c>
      <c r="D4" s="1"/>
      <c r="E4" s="41" t="s">
        <v>71</v>
      </c>
    </row>
    <row r="5">
      <c r="A5" s="5">
        <v>4.0</v>
      </c>
      <c r="B5" s="39" t="s">
        <v>8</v>
      </c>
      <c r="C5" s="41" t="s">
        <v>75</v>
      </c>
      <c r="D5" s="1"/>
      <c r="E5" s="41" t="s">
        <v>71</v>
      </c>
    </row>
    <row r="6">
      <c r="A6" s="5">
        <v>5.0</v>
      </c>
      <c r="B6" s="39" t="s">
        <v>6</v>
      </c>
      <c r="C6" s="41" t="s">
        <v>76</v>
      </c>
      <c r="D6" s="1"/>
      <c r="E6" s="41" t="s">
        <v>71</v>
      </c>
    </row>
  </sheetData>
  <drawing r:id="rId1"/>
</worksheet>
</file>
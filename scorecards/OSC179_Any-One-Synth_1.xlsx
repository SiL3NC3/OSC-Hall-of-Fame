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Results!$A$1:$M$150</definedName>
  </definedNames>
  <calcPr/>
</workbook>
</file>

<file path=xl/sharedStrings.xml><?xml version="1.0" encoding="utf-8"?>
<sst xmlns="http://schemas.openxmlformats.org/spreadsheetml/2006/main" count="410" uniqueCount="222">
  <si>
    <t>Name</t>
  </si>
  <si>
    <t>Score</t>
  </si>
  <si>
    <t>5's</t>
  </si>
  <si>
    <t>4's</t>
  </si>
  <si>
    <t>3's</t>
  </si>
  <si>
    <t>2's</t>
  </si>
  <si>
    <t>1's</t>
  </si>
  <si>
    <t>Notes</t>
  </si>
  <si>
    <t>Synth</t>
  </si>
  <si>
    <t>DAW</t>
  </si>
  <si>
    <t>Collab</t>
  </si>
  <si>
    <t>ZioMau - Ziomau Flow</t>
  </si>
  <si>
    <t>pts</t>
  </si>
  <si>
    <t>Vital</t>
  </si>
  <si>
    <t>Reaper</t>
  </si>
  <si>
    <t>PeterBPL - Double Split</t>
  </si>
  <si>
    <t>Phaseplant</t>
  </si>
  <si>
    <t>Renoise</t>
  </si>
  <si>
    <t>Aiynzahev - Enceladus</t>
  </si>
  <si>
    <t>Massive X</t>
  </si>
  <si>
    <t>Ableton Live</t>
  </si>
  <si>
    <t>neverbeeninariot - Hex On The Beach</t>
  </si>
  <si>
    <t>U-he Hive</t>
  </si>
  <si>
    <t>cdbaksu - Biz</t>
  </si>
  <si>
    <t>UAD Polymax</t>
  </si>
  <si>
    <t>Logic Pro</t>
  </si>
  <si>
    <t>Double Tap - Hope is unreasonable</t>
  </si>
  <si>
    <t>U-he Dark Zebra</t>
  </si>
  <si>
    <t>maxym.srpl - Wave Caster</t>
  </si>
  <si>
    <t>Synthmaster 3</t>
  </si>
  <si>
    <t>simanus - Eightysaurusbruh</t>
  </si>
  <si>
    <t>Saurus 4</t>
  </si>
  <si>
    <t>Bitwig Studio</t>
  </si>
  <si>
    <t>] Peter:H [ - Sam Played It Again</t>
  </si>
  <si>
    <t>Paraway Audio Rapid</t>
  </si>
  <si>
    <t>diaseis - Im Far From Myself</t>
  </si>
  <si>
    <t>?</t>
  </si>
  <si>
    <t>doctorbob - Technoart Electronica meets the Doc</t>
  </si>
  <si>
    <t>Synth1</t>
  </si>
  <si>
    <t>silverpants - The Brudenell Chown Gate</t>
  </si>
  <si>
    <t>FM8</t>
  </si>
  <si>
    <t>gethiox - Galvanic Field</t>
  </si>
  <si>
    <t>VCA-089 - Infravolt Abovethedunes</t>
  </si>
  <si>
    <t>CA2600</t>
  </si>
  <si>
    <t>FL Studio</t>
  </si>
  <si>
    <t>dimitri2255 - Dmydm Deeply In The Forest</t>
  </si>
  <si>
    <t>Zebralette</t>
  </si>
  <si>
    <t>comppress - Poseidon</t>
  </si>
  <si>
    <t>Full Bucket - Tristans Harp</t>
  </si>
  <si>
    <t>Single Instance</t>
  </si>
  <si>
    <t>Korg SQ-1 Hardware sequencer and Waldorf Streichfett</t>
  </si>
  <si>
    <t>hennessey - Bh9090 Wawadum</t>
  </si>
  <si>
    <t>Operator</t>
  </si>
  <si>
    <t>abot81 - Rainbow Smoothie Massive</t>
  </si>
  <si>
    <t>Massive</t>
  </si>
  <si>
    <t>dstr - Butterfly Surge - Surge Xt</t>
  </si>
  <si>
    <t>Surge XT</t>
  </si>
  <si>
    <t>Ardour</t>
  </si>
  <si>
    <t>empphryio - Hidden Oasis</t>
  </si>
  <si>
    <t>Aurora FM</t>
  </si>
  <si>
    <t>briefcasemanx - The German Party</t>
  </si>
  <si>
    <t>Jun6V</t>
  </si>
  <si>
    <t>Studio 1</t>
  </si>
  <si>
    <t>zachy9 - Chipsuite</t>
  </si>
  <si>
    <t>Zebra 2</t>
  </si>
  <si>
    <t>ELEX - Keys To Siberia</t>
  </si>
  <si>
    <t>Zebra HZ</t>
  </si>
  <si>
    <t>MilksterX - I Sexually Identify As An Sh101</t>
  </si>
  <si>
    <t>Lush 2</t>
  </si>
  <si>
    <t>ElVincente - Well Maybe Tomorow</t>
  </si>
  <si>
    <t>BrainBeatMusic - Freaky Numbers Osc</t>
  </si>
  <si>
    <t>MiniFreak V</t>
  </si>
  <si>
    <t>Uncle E - Osc January 2024</t>
  </si>
  <si>
    <t>Roland System 1</t>
  </si>
  <si>
    <t>Luna</t>
  </si>
  <si>
    <t>dq</t>
  </si>
  <si>
    <t>loris16148 - Poor Resolution</t>
  </si>
  <si>
    <t>Serum</t>
  </si>
  <si>
    <t>emikaela - Bring Your Inner Child To Work Day</t>
  </si>
  <si>
    <t>Falcon 3</t>
  </si>
  <si>
    <t>kylebenjamin - Gradient Ascent</t>
  </si>
  <si>
    <t>ontrackp - Blueprint24 Final</t>
  </si>
  <si>
    <t>andyrichmond - Learning_To_Dance</t>
  </si>
  <si>
    <t>Cherry Audio DCO-106</t>
  </si>
  <si>
    <t>Immanencer - Sawdust Serenade</t>
  </si>
  <si>
    <t>JP6k</t>
  </si>
  <si>
    <t>Impedance Music - One Timbrewolf Only (One Ping Only)</t>
  </si>
  <si>
    <t>One-Ping-Only</t>
  </si>
  <si>
    <t>Tj Shredder - Overtone Pendulum</t>
  </si>
  <si>
    <t>PolyGrid</t>
  </si>
  <si>
    <t>slajerek - Phantom Insomnia</t>
  </si>
  <si>
    <t>Frank Geppert - Any One Dance</t>
  </si>
  <si>
    <t>langevinbrendan - Unnamed Toys For Fun</t>
  </si>
  <si>
    <t>Monster Toybox</t>
  </si>
  <si>
    <t>DaveClark - She Said Thats Just The Way It Is</t>
  </si>
  <si>
    <t>Ultra-Analog VA-3</t>
  </si>
  <si>
    <t>Cubase</t>
  </si>
  <si>
    <t>spridgeon - Bach Goes To Boston</t>
  </si>
  <si>
    <t>GeneralQ - Spire</t>
  </si>
  <si>
    <t>Spire</t>
  </si>
  <si>
    <t>Negoba - Time To Waltz With The Final Boss</t>
  </si>
  <si>
    <t>U-he Hive 2</t>
  </si>
  <si>
    <t>liqih - Glitch Pad Space</t>
  </si>
  <si>
    <t>Glitch Pad public Beta</t>
  </si>
  <si>
    <t>Quaoar - Heartbeat</t>
  </si>
  <si>
    <t>Korg 05R/w module</t>
  </si>
  <si>
    <t>MATCHER - Echoes From The Scrap Yard</t>
  </si>
  <si>
    <t>Korg Supporter - Colored Clockworks (Opsix Native)</t>
  </si>
  <si>
    <t>Korg Opsix Native</t>
  </si>
  <si>
    <t>midi sentinel - Gears Of Boredom</t>
  </si>
  <si>
    <t>Rahodees - Werdz</t>
  </si>
  <si>
    <t>Tracktion Waveform</t>
  </si>
  <si>
    <t>Eauson - Kvr The Speed Of Science</t>
  </si>
  <si>
    <t>synth1</t>
  </si>
  <si>
    <t>MalTone - Synister Noize</t>
  </si>
  <si>
    <t>Synister</t>
  </si>
  <si>
    <t>zipidowski - Dune Nukem</t>
  </si>
  <si>
    <t>Dune 3</t>
  </si>
  <si>
    <t>ThePresent - Bazille Single Instance</t>
  </si>
  <si>
    <t>U-he Bazille</t>
  </si>
  <si>
    <t>psycho45039 - Theres So Much I Could Do</t>
  </si>
  <si>
    <t>Waldorf Blofeld</t>
  </si>
  <si>
    <t>cactoos_dahoo - Pika Pika</t>
  </si>
  <si>
    <t>Spectral</t>
  </si>
  <si>
    <t>folderol - Slinky</t>
  </si>
  <si>
    <t>Yoshimi</t>
  </si>
  <si>
    <t>Rose Garden Sequencer</t>
  </si>
  <si>
    <t>SynthDX7 - Vital Virus Visions</t>
  </si>
  <si>
    <t>violator_alba - Resonance Trickle</t>
  </si>
  <si>
    <t>Uno Synth Pro</t>
  </si>
  <si>
    <t>Juergen - Last Minute Post Juergen K</t>
  </si>
  <si>
    <t>Rapid</t>
  </si>
  <si>
    <t>3lu5iv3 - Salty Nose</t>
  </si>
  <si>
    <t>Warlock</t>
  </si>
  <si>
    <t>Voter Name (KVR nick)</t>
  </si>
  <si>
    <t>abot81 - Rainbow Smoothie Osc179 Massive</t>
  </si>
  <si>
    <t>hennessey - Bh9090 Wawadum Osc179</t>
  </si>
  <si>
    <t>cactoos_dahoo - Pika Pika Cactoos_Dahoo Osc 180</t>
  </si>
  <si>
    <t>cdbaksu - Biz Osc179</t>
  </si>
  <si>
    <t>dimitri2255 - Dmydm Deeply In The Forestosc 179</t>
  </si>
  <si>
    <t>Impedance Music - One Timbrewolf Only Osc 179 One Ping Only</t>
  </si>
  <si>
    <t>Juergen - Last Minute Post Juergen K Kvr Osc 179</t>
  </si>
  <si>
    <t>Kyle Benjamin - Gradient Ascent</t>
  </si>
  <si>
    <t>midi sentinel - Gears Of Boredom Osc179</t>
  </si>
  <si>
    <t>ontrackp - Osc179 Blueprint24 Final</t>
  </si>
  <si>
    <t>Rahodees - Elvz</t>
  </si>
  <si>
    <t>Tj Shredder - Osc 179 Overtone Pendulum</t>
  </si>
  <si>
    <t>Gen. Score *</t>
  </si>
  <si>
    <t>1980-F</t>
  </si>
  <si>
    <t>3lu5iv3</t>
  </si>
  <si>
    <t>abot81</t>
  </si>
  <si>
    <t>aiynzahev</t>
  </si>
  <si>
    <t>andyrichmond</t>
  </si>
  <si>
    <t>bh9090</t>
  </si>
  <si>
    <t>BrainBeatMusic</t>
  </si>
  <si>
    <t>briefcasemanx</t>
  </si>
  <si>
    <t>cactoos_dahoo</t>
  </si>
  <si>
    <t>cdbaksu</t>
  </si>
  <si>
    <t>comppress</t>
  </si>
  <si>
    <t>DaveClark</t>
  </si>
  <si>
    <t>diaseis</t>
  </si>
  <si>
    <t>dimitri2255</t>
  </si>
  <si>
    <t>doctorbob</t>
  </si>
  <si>
    <t>Double Tap</t>
  </si>
  <si>
    <t>dstr</t>
  </si>
  <si>
    <t>Eauson</t>
  </si>
  <si>
    <t>ELEX</t>
  </si>
  <si>
    <t>ElVincente</t>
  </si>
  <si>
    <t>emikaela</t>
  </si>
  <si>
    <t>empphryio1</t>
  </si>
  <si>
    <t>Folderol</t>
  </si>
  <si>
    <t>Frank Geppert</t>
  </si>
  <si>
    <t>FullBucket</t>
  </si>
  <si>
    <t>GeneralQ</t>
  </si>
  <si>
    <t>gethiox</t>
  </si>
  <si>
    <t>Immanencer</t>
  </si>
  <si>
    <t>Impedance-Music</t>
  </si>
  <si>
    <t>Juergen</t>
  </si>
  <si>
    <t>Korg Supporter</t>
  </si>
  <si>
    <t>kylebenjamin</t>
  </si>
  <si>
    <t>langevinbrendan</t>
  </si>
  <si>
    <t>Liqih</t>
  </si>
  <si>
    <t>MadMcMan</t>
  </si>
  <si>
    <t>MalTone</t>
  </si>
  <si>
    <t>MATCHER</t>
  </si>
  <si>
    <t>maxym.srpl</t>
  </si>
  <si>
    <t>midi sentinel</t>
  </si>
  <si>
    <t>milksterx</t>
  </si>
  <si>
    <t>Negoba</t>
  </si>
  <si>
    <t>neverbeeninariot</t>
  </si>
  <si>
    <t>ontrackp</t>
  </si>
  <si>
    <t>PeterBPL_</t>
  </si>
  <si>
    <t>PeterH</t>
  </si>
  <si>
    <t>Quaoar</t>
  </si>
  <si>
    <t>silverpants</t>
  </si>
  <si>
    <t>simanus</t>
  </si>
  <si>
    <t>slajerek</t>
  </si>
  <si>
    <t>spridgeon</t>
  </si>
  <si>
    <t>SynthDX7</t>
  </si>
  <si>
    <t>ThePresent</t>
  </si>
  <si>
    <t>Tj Shredder</t>
  </si>
  <si>
    <t>Uncle E</t>
  </si>
  <si>
    <t>VCA-089</t>
  </si>
  <si>
    <t>violator_alba</t>
  </si>
  <si>
    <t>zachy9</t>
  </si>
  <si>
    <t>ZioMau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</si>
  <si>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</si>
  <si>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</si>
  <si>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</si>
  <si>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</si>
  <si>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</si>
  <si>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</si>
  <si>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</si>
  <si>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</si>
  <si>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</si>
  <si>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</si>
  <si>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N/A</t>
  </si>
  <si>
    <t>Lunaris 2</t>
  </si>
  <si>
    <t>JRR Sounds and Yuli Yolo soundsets</t>
  </si>
  <si>
    <t>DONE</t>
  </si>
  <si>
    <t>discoDSP discovery</t>
  </si>
  <si>
    <t>Red Rock Sound AQ560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</si>
</sst>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i/>
      <color rgb="FF666666"/>
      <name val="Arial"/>
      <scheme val="minor"/>
    </font>
    <font>
      <color rgb="FF434343"/>
      <name val="Arial"/>
      <scheme val="minor"/>
    </font>
    <font>
      <color rgb="FF666666"/>
      <name val="Arial"/>
      <scheme val="minor"/>
    </font>
    <font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sz val="11.0"/>
      <color rgb="FF000000"/>
      <name val="Calibri"/>
    </font>
    <font>
      <b/>
      <color rgb="FF999999"/>
      <name val="Arial"/>
    </font>
    <font>
      <b/>
      <color theme="1"/>
      <name val="Arial"/>
    </font>
    <font>
      <sz val="11.0"/>
      <color rgb="FF000000"/>
      <name val="Calibri"/>
    </font>
    <font>
      <color rgb="FF999999"/>
      <name val="Arial"/>
    </font>
    <font>
      <b/>
      <i/>
      <sz val="11.0"/>
      <color rgb="FF666666"/>
      <name val="Arial"/>
    </font>
    <font>
      <color rgb="FF666666"/>
      <name val="Calibri"/>
    </font>
    <font>
      <b/>
      <i/>
      <sz val="8.0"/>
      <color rgb="FF666666"/>
      <name val="Arial"/>
    </font>
    <font>
      <sz val="8.0"/>
      <color rgb="FF666666"/>
      <name val="Calibri"/>
    </font>
    <font>
      <b/>
      <color rgb="FF666666"/>
      <name val="Arial"/>
    </font>
    <font>
      <b/>
      <color theme="1"/>
      <name val="Arial"/>
      <scheme val="minor"/>
    </font>
    <font>
      <b/>
      <sz val="12.0"/>
      <color rgb="FF666666"/>
      <name val="Arial"/>
    </font>
    <font>
      <strike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vertical="bottom"/>
    </xf>
    <xf borderId="0" fillId="0" fontId="5" numFmtId="0" xfId="0" applyFont="1"/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10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2" fontId="9" numFmtId="0" xfId="0" applyAlignment="1" applyFill="1" applyFont="1">
      <alignment shrinkToFit="0" vertical="bottom" wrapText="0"/>
    </xf>
    <xf borderId="0" fillId="2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3" fontId="12" numFmtId="0" xfId="0" applyAlignment="1" applyFill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10" xfId="0" applyAlignment="1" applyFont="1" applyNumberFormat="1">
      <alignment vertical="bottom"/>
    </xf>
    <xf borderId="0" fillId="4" fontId="12" numFmtId="0" xfId="0" applyAlignment="1" applyFill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horizontal="right" vertical="bottom"/>
    </xf>
    <xf borderId="0" fillId="0" fontId="16" numFmtId="10" xfId="0" applyAlignment="1" applyFont="1" applyNumberFormat="1">
      <alignment horizontal="right" vertical="bottom"/>
    </xf>
    <xf borderId="0" fillId="5" fontId="1" numFmtId="0" xfId="0" applyAlignment="1" applyFill="1" applyFont="1">
      <alignment horizontal="center" vertical="bottom"/>
    </xf>
    <xf borderId="0" fillId="0" fontId="17" numFmtId="49" xfId="0" applyAlignment="1" applyFont="1" applyNumberFormat="1">
      <alignment vertical="bottom"/>
    </xf>
    <xf borderId="0" fillId="0" fontId="18" numFmtId="0" xfId="0" applyAlignment="1" applyFont="1">
      <alignment horizontal="center" vertical="bottom"/>
    </xf>
    <xf borderId="0" fillId="0" fontId="13" numFmtId="49" xfId="0" applyAlignment="1" applyFont="1" applyNumberFormat="1">
      <alignment shrinkToFit="0" vertical="bottom" wrapText="0"/>
    </xf>
    <xf borderId="0" fillId="0" fontId="19" numFmtId="49" xfId="0" applyAlignment="1" applyFont="1" applyNumberFormat="1">
      <alignment vertical="bottom"/>
    </xf>
    <xf borderId="0" fillId="0" fontId="20" numFmtId="0" xfId="0" applyAlignment="1" applyFont="1">
      <alignment horizontal="center" vertical="bottom"/>
    </xf>
    <xf borderId="0" fillId="0" fontId="8" numFmtId="49" xfId="0" applyAlignment="1" applyFont="1" applyNumberFormat="1">
      <alignment horizontal="right" vertical="bottom"/>
    </xf>
    <xf borderId="0" fillId="0" fontId="8" numFmtId="10" xfId="0" applyAlignment="1" applyFont="1" applyNumberFormat="1">
      <alignment horizontal="right" vertical="bottom"/>
    </xf>
    <xf borderId="0" fillId="0" fontId="14" numFmtId="49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21" numFmtId="49" xfId="0" applyAlignment="1" applyFont="1" applyNumberFormat="1">
      <alignment vertical="bottom"/>
    </xf>
    <xf borderId="0" fillId="0" fontId="8" numFmtId="4" xfId="0" applyAlignment="1" applyFont="1" applyNumberFormat="1">
      <alignment horizontal="right" vertical="bottom"/>
    </xf>
    <xf borderId="0" fillId="0" fontId="22" numFmtId="0" xfId="0" applyFont="1"/>
    <xf borderId="0" fillId="0" fontId="23" numFmtId="0" xfId="0" applyAlignment="1" applyFont="1">
      <alignment horizontal="center" vertical="bottom"/>
    </xf>
    <xf borderId="0" fillId="0" fontId="23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2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37</xdr:col>
      <xdr:colOff>85725</xdr:colOff>
      <xdr:row>67</xdr:row>
      <xdr:rowOff>190500</xdr:rowOff>
    </xdr:from>
    <xdr:ext cx="2533650" cy="2533650"/>
    <xdr:pic>
      <xdr:nvPicPr>
        <xdr:cNvPr id="139351141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45.5"/>
    <col customWidth="1" min="3" max="3" width="7.0"/>
    <col customWidth="1" min="4" max="4" width="5.88"/>
    <col customWidth="1" min="5" max="9" width="5.75"/>
    <col customWidth="1" min="11" max="11" width="21.13"/>
    <col customWidth="1" min="12" max="12" width="19.38"/>
    <col customWidth="1" min="13" max="13" width="8.63"/>
    <col customWidth="1" min="14" max="14" width="21.6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5" t="s">
        <v>8</v>
      </c>
      <c r="L1" s="5" t="s">
        <v>9</v>
      </c>
      <c r="M1" s="4" t="s">
        <v>10</v>
      </c>
    </row>
    <row r="2">
      <c r="A2" s="6">
        <v>1.0</v>
      </c>
      <c r="B2" s="7" t="s">
        <v>11</v>
      </c>
      <c r="C2" s="8">
        <v>247.0</v>
      </c>
      <c r="D2" s="9" t="s">
        <v>12</v>
      </c>
      <c r="E2" s="10">
        <v>27.0</v>
      </c>
      <c r="F2" s="10">
        <v>22.0</v>
      </c>
      <c r="G2" s="10">
        <v>6.0</v>
      </c>
      <c r="H2" s="10">
        <v>2.0</v>
      </c>
      <c r="I2" s="10">
        <v>2.0</v>
      </c>
      <c r="K2" s="7" t="s">
        <v>13</v>
      </c>
      <c r="L2" s="7" t="s">
        <v>14</v>
      </c>
    </row>
    <row r="3">
      <c r="A3" s="6">
        <v>2.0</v>
      </c>
      <c r="B3" s="7" t="s">
        <v>15</v>
      </c>
      <c r="C3" s="8">
        <v>244.0</v>
      </c>
      <c r="D3" s="9" t="s">
        <v>12</v>
      </c>
      <c r="E3" s="10">
        <v>21.0</v>
      </c>
      <c r="F3" s="10">
        <v>27.0</v>
      </c>
      <c r="G3" s="10">
        <v>10.0</v>
      </c>
      <c r="H3" s="10">
        <v>0.0</v>
      </c>
      <c r="I3" s="10">
        <v>1.0</v>
      </c>
      <c r="K3" s="7" t="s">
        <v>16</v>
      </c>
      <c r="L3" s="7" t="s">
        <v>17</v>
      </c>
    </row>
    <row r="4">
      <c r="A4" s="11">
        <v>3.0</v>
      </c>
      <c r="B4" s="7" t="s">
        <v>18</v>
      </c>
      <c r="C4" s="8">
        <v>243.0</v>
      </c>
      <c r="D4" s="9" t="s">
        <v>12</v>
      </c>
      <c r="E4" s="10">
        <v>23.0</v>
      </c>
      <c r="F4" s="10">
        <v>24.0</v>
      </c>
      <c r="G4" s="10">
        <v>10.0</v>
      </c>
      <c r="H4" s="10">
        <v>0.0</v>
      </c>
      <c r="I4" s="10">
        <v>2.0</v>
      </c>
      <c r="J4" s="9"/>
      <c r="K4" s="12" t="s">
        <v>19</v>
      </c>
      <c r="L4" s="12" t="s">
        <v>20</v>
      </c>
      <c r="M4" s="13"/>
    </row>
    <row r="5">
      <c r="A5" s="6">
        <v>4.0</v>
      </c>
      <c r="B5" s="7" t="s">
        <v>21</v>
      </c>
      <c r="C5" s="8">
        <v>239.0</v>
      </c>
      <c r="D5" s="9" t="s">
        <v>12</v>
      </c>
      <c r="E5" s="10">
        <v>22.0</v>
      </c>
      <c r="F5" s="10">
        <v>23.0</v>
      </c>
      <c r="G5" s="10">
        <v>10.0</v>
      </c>
      <c r="H5" s="10">
        <v>3.0</v>
      </c>
      <c r="I5" s="10">
        <v>1.0</v>
      </c>
      <c r="K5" s="7" t="s">
        <v>22</v>
      </c>
      <c r="L5" s="7" t="s">
        <v>14</v>
      </c>
    </row>
    <row r="6">
      <c r="A6" s="6">
        <v>5.0</v>
      </c>
      <c r="B6" s="7" t="s">
        <v>23</v>
      </c>
      <c r="C6" s="8">
        <v>232.0</v>
      </c>
      <c r="D6" s="9" t="s">
        <v>12</v>
      </c>
      <c r="E6" s="10">
        <v>19.0</v>
      </c>
      <c r="F6" s="10">
        <v>25.0</v>
      </c>
      <c r="G6" s="10">
        <v>9.0</v>
      </c>
      <c r="H6" s="10">
        <v>4.0</v>
      </c>
      <c r="I6" s="10">
        <v>2.0</v>
      </c>
      <c r="J6" s="9"/>
      <c r="K6" s="12" t="s">
        <v>24</v>
      </c>
      <c r="L6" s="12" t="s">
        <v>25</v>
      </c>
      <c r="M6" s="13"/>
    </row>
    <row r="7">
      <c r="A7" s="11">
        <v>6.0</v>
      </c>
      <c r="B7" s="7" t="s">
        <v>26</v>
      </c>
      <c r="C7" s="8">
        <v>230.0</v>
      </c>
      <c r="D7" s="9" t="s">
        <v>12</v>
      </c>
      <c r="E7" s="10">
        <v>20.0</v>
      </c>
      <c r="F7" s="10">
        <v>21.0</v>
      </c>
      <c r="G7" s="10">
        <v>13.0</v>
      </c>
      <c r="H7" s="10">
        <v>2.0</v>
      </c>
      <c r="I7" s="10">
        <v>3.0</v>
      </c>
      <c r="J7" s="9"/>
      <c r="K7" s="12" t="s">
        <v>27</v>
      </c>
      <c r="L7" s="12" t="s">
        <v>20</v>
      </c>
      <c r="M7" s="13"/>
    </row>
    <row r="8">
      <c r="A8" s="6">
        <v>7.0</v>
      </c>
      <c r="B8" s="7" t="s">
        <v>28</v>
      </c>
      <c r="C8" s="8">
        <v>228.0</v>
      </c>
      <c r="D8" s="9" t="s">
        <v>12</v>
      </c>
      <c r="E8" s="10">
        <v>14.0</v>
      </c>
      <c r="F8" s="10">
        <v>26.0</v>
      </c>
      <c r="G8" s="10">
        <v>17.0</v>
      </c>
      <c r="H8" s="10">
        <v>1.0</v>
      </c>
      <c r="I8" s="10">
        <v>1.0</v>
      </c>
      <c r="K8" s="7" t="s">
        <v>29</v>
      </c>
      <c r="L8" s="7" t="s">
        <v>14</v>
      </c>
    </row>
    <row r="9">
      <c r="A9" s="6">
        <v>8.0</v>
      </c>
      <c r="B9" s="7" t="s">
        <v>30</v>
      </c>
      <c r="C9" s="8">
        <v>228.0</v>
      </c>
      <c r="D9" s="9" t="s">
        <v>12</v>
      </c>
      <c r="E9" s="10">
        <v>13.0</v>
      </c>
      <c r="F9" s="10">
        <v>30.0</v>
      </c>
      <c r="G9" s="10">
        <v>12.0</v>
      </c>
      <c r="H9" s="10">
        <v>3.0</v>
      </c>
      <c r="I9" s="10">
        <v>1.0</v>
      </c>
      <c r="K9" s="7" t="s">
        <v>31</v>
      </c>
      <c r="L9" s="7" t="s">
        <v>32</v>
      </c>
    </row>
    <row r="10">
      <c r="A10" s="11">
        <v>9.0</v>
      </c>
      <c r="B10" s="7" t="s">
        <v>33</v>
      </c>
      <c r="C10" s="8">
        <v>226.0</v>
      </c>
      <c r="D10" s="9" t="s">
        <v>12</v>
      </c>
      <c r="E10" s="10">
        <v>11.0</v>
      </c>
      <c r="F10" s="10">
        <v>32.0</v>
      </c>
      <c r="G10" s="10">
        <v>12.0</v>
      </c>
      <c r="H10" s="10">
        <v>3.0</v>
      </c>
      <c r="I10" s="10">
        <v>1.0</v>
      </c>
      <c r="K10" s="7" t="s">
        <v>34</v>
      </c>
      <c r="L10" s="7" t="s">
        <v>32</v>
      </c>
    </row>
    <row r="11">
      <c r="A11" s="6">
        <v>10.0</v>
      </c>
      <c r="B11" s="7" t="s">
        <v>35</v>
      </c>
      <c r="C11" s="8">
        <v>225.0</v>
      </c>
      <c r="D11" s="9" t="s">
        <v>12</v>
      </c>
      <c r="E11" s="10">
        <v>22.0</v>
      </c>
      <c r="F11" s="10">
        <v>12.0</v>
      </c>
      <c r="G11" s="10">
        <v>20.0</v>
      </c>
      <c r="H11" s="10">
        <v>2.0</v>
      </c>
      <c r="I11" s="10">
        <v>3.0</v>
      </c>
      <c r="J11" s="9"/>
      <c r="K11" s="12" t="s">
        <v>16</v>
      </c>
      <c r="L11" s="12" t="s">
        <v>36</v>
      </c>
      <c r="M11" s="13"/>
    </row>
    <row r="12">
      <c r="A12" s="6">
        <v>11.0</v>
      </c>
      <c r="B12" s="7" t="s">
        <v>37</v>
      </c>
      <c r="C12" s="8">
        <v>222.0</v>
      </c>
      <c r="D12" s="9" t="s">
        <v>12</v>
      </c>
      <c r="E12" s="10">
        <v>15.0</v>
      </c>
      <c r="F12" s="10">
        <v>24.0</v>
      </c>
      <c r="G12" s="10">
        <v>13.0</v>
      </c>
      <c r="H12" s="10">
        <v>5.0</v>
      </c>
      <c r="I12" s="10">
        <v>2.0</v>
      </c>
      <c r="J12" s="9"/>
      <c r="K12" s="12" t="s">
        <v>38</v>
      </c>
      <c r="L12" s="12" t="s">
        <v>14</v>
      </c>
      <c r="M12" s="13"/>
    </row>
    <row r="13">
      <c r="A13" s="11">
        <v>12.0</v>
      </c>
      <c r="B13" s="7" t="s">
        <v>39</v>
      </c>
      <c r="C13" s="8">
        <v>218.0</v>
      </c>
      <c r="D13" s="9" t="s">
        <v>12</v>
      </c>
      <c r="E13" s="10">
        <v>17.0</v>
      </c>
      <c r="F13" s="10">
        <v>18.0</v>
      </c>
      <c r="G13" s="10">
        <v>18.0</v>
      </c>
      <c r="H13" s="10">
        <v>1.0</v>
      </c>
      <c r="I13" s="10">
        <v>5.0</v>
      </c>
      <c r="K13" s="7" t="s">
        <v>40</v>
      </c>
      <c r="L13" s="7" t="s">
        <v>14</v>
      </c>
    </row>
    <row r="14">
      <c r="A14" s="6">
        <v>13.0</v>
      </c>
      <c r="B14" s="7" t="s">
        <v>41</v>
      </c>
      <c r="C14" s="8">
        <v>216.0</v>
      </c>
      <c r="D14" s="9" t="s">
        <v>12</v>
      </c>
      <c r="E14" s="10">
        <v>11.0</v>
      </c>
      <c r="F14" s="10">
        <v>27.0</v>
      </c>
      <c r="G14" s="10">
        <v>14.0</v>
      </c>
      <c r="H14" s="10">
        <v>4.0</v>
      </c>
      <c r="I14" s="10">
        <v>3.0</v>
      </c>
      <c r="K14" s="7" t="s">
        <v>13</v>
      </c>
      <c r="L14" s="7" t="s">
        <v>32</v>
      </c>
    </row>
    <row r="15">
      <c r="A15" s="6">
        <v>14.0</v>
      </c>
      <c r="B15" s="7" t="s">
        <v>42</v>
      </c>
      <c r="C15" s="8">
        <v>216.0</v>
      </c>
      <c r="D15" s="9" t="s">
        <v>12</v>
      </c>
      <c r="E15" s="10">
        <v>11.0</v>
      </c>
      <c r="F15" s="10">
        <v>24.0</v>
      </c>
      <c r="G15" s="10">
        <v>19.0</v>
      </c>
      <c r="H15" s="10">
        <v>3.0</v>
      </c>
      <c r="I15" s="10">
        <v>2.0</v>
      </c>
      <c r="K15" s="7" t="s">
        <v>43</v>
      </c>
      <c r="L15" s="7" t="s">
        <v>44</v>
      </c>
    </row>
    <row r="16">
      <c r="A16" s="11">
        <v>15.0</v>
      </c>
      <c r="B16" s="7" t="s">
        <v>45</v>
      </c>
      <c r="C16" s="8">
        <v>213.0</v>
      </c>
      <c r="D16" s="9" t="s">
        <v>12</v>
      </c>
      <c r="E16" s="10">
        <v>10.0</v>
      </c>
      <c r="F16" s="10">
        <v>24.0</v>
      </c>
      <c r="G16" s="10">
        <v>20.0</v>
      </c>
      <c r="H16" s="10">
        <v>2.0</v>
      </c>
      <c r="I16" s="10">
        <v>3.0</v>
      </c>
      <c r="J16" s="9"/>
      <c r="K16" s="12" t="s">
        <v>46</v>
      </c>
      <c r="L16" s="12" t="s">
        <v>36</v>
      </c>
      <c r="M16" s="13"/>
    </row>
    <row r="17">
      <c r="A17" s="6">
        <v>16.0</v>
      </c>
      <c r="B17" s="7" t="s">
        <v>47</v>
      </c>
      <c r="C17" s="8">
        <v>209.0</v>
      </c>
      <c r="D17" s="9" t="s">
        <v>12</v>
      </c>
      <c r="E17" s="10">
        <v>6.0</v>
      </c>
      <c r="F17" s="10">
        <v>26.0</v>
      </c>
      <c r="G17" s="10">
        <v>22.0</v>
      </c>
      <c r="H17" s="10">
        <v>4.0</v>
      </c>
      <c r="I17" s="10">
        <v>1.0</v>
      </c>
      <c r="J17" s="9"/>
      <c r="K17" s="12" t="s">
        <v>16</v>
      </c>
      <c r="L17" s="12" t="s">
        <v>44</v>
      </c>
      <c r="M17" s="13"/>
    </row>
    <row r="18">
      <c r="A18" s="6">
        <v>17.0</v>
      </c>
      <c r="B18" s="7" t="s">
        <v>48</v>
      </c>
      <c r="C18" s="8">
        <v>208.0</v>
      </c>
      <c r="D18" s="9" t="s">
        <v>12</v>
      </c>
      <c r="E18" s="10">
        <v>10.0</v>
      </c>
      <c r="F18" s="10">
        <v>23.0</v>
      </c>
      <c r="G18" s="10">
        <v>17.0</v>
      </c>
      <c r="H18" s="10">
        <v>6.0</v>
      </c>
      <c r="I18" s="10">
        <v>3.0</v>
      </c>
      <c r="J18" s="14" t="s">
        <v>49</v>
      </c>
      <c r="K18" s="7" t="s">
        <v>50</v>
      </c>
      <c r="L18" s="7" t="s">
        <v>14</v>
      </c>
    </row>
    <row r="19">
      <c r="A19" s="11">
        <v>18.0</v>
      </c>
      <c r="B19" s="7" t="s">
        <v>51</v>
      </c>
      <c r="C19" s="8">
        <v>208.0</v>
      </c>
      <c r="D19" s="9" t="s">
        <v>12</v>
      </c>
      <c r="E19" s="10">
        <v>7.0</v>
      </c>
      <c r="F19" s="10">
        <v>25.0</v>
      </c>
      <c r="G19" s="10">
        <v>20.0</v>
      </c>
      <c r="H19" s="10">
        <v>6.0</v>
      </c>
      <c r="I19" s="10">
        <v>1.0</v>
      </c>
      <c r="J19" s="9"/>
      <c r="K19" s="12" t="s">
        <v>52</v>
      </c>
      <c r="L19" s="12" t="s">
        <v>20</v>
      </c>
      <c r="M19" s="13"/>
    </row>
    <row r="20">
      <c r="A20" s="6">
        <v>19.0</v>
      </c>
      <c r="B20" s="7" t="s">
        <v>53</v>
      </c>
      <c r="C20" s="8">
        <v>206.0</v>
      </c>
      <c r="D20" s="9" t="s">
        <v>12</v>
      </c>
      <c r="E20" s="10">
        <v>5.0</v>
      </c>
      <c r="F20" s="10">
        <v>27.0</v>
      </c>
      <c r="G20" s="10">
        <v>21.0</v>
      </c>
      <c r="H20" s="10">
        <v>4.0</v>
      </c>
      <c r="I20" s="10">
        <v>2.0</v>
      </c>
      <c r="J20" s="9"/>
      <c r="K20" s="12" t="s">
        <v>54</v>
      </c>
      <c r="L20" s="12" t="s">
        <v>14</v>
      </c>
      <c r="M20" s="13"/>
    </row>
    <row r="21">
      <c r="A21" s="6">
        <v>20.0</v>
      </c>
      <c r="B21" s="7" t="s">
        <v>55</v>
      </c>
      <c r="C21" s="8">
        <v>200.0</v>
      </c>
      <c r="D21" s="9" t="s">
        <v>12</v>
      </c>
      <c r="E21" s="10">
        <v>7.0</v>
      </c>
      <c r="F21" s="10">
        <v>17.0</v>
      </c>
      <c r="G21" s="10">
        <v>29.0</v>
      </c>
      <c r="H21" s="10">
        <v>4.0</v>
      </c>
      <c r="I21" s="10">
        <v>2.0</v>
      </c>
      <c r="J21" s="9"/>
      <c r="K21" s="12" t="s">
        <v>56</v>
      </c>
      <c r="L21" s="12" t="s">
        <v>57</v>
      </c>
      <c r="M21" s="13"/>
    </row>
    <row r="22">
      <c r="A22" s="11">
        <v>21.0</v>
      </c>
      <c r="B22" s="7" t="s">
        <v>58</v>
      </c>
      <c r="C22" s="8">
        <v>200.0</v>
      </c>
      <c r="D22" s="9" t="s">
        <v>12</v>
      </c>
      <c r="E22" s="10">
        <v>5.0</v>
      </c>
      <c r="F22" s="10">
        <v>23.0</v>
      </c>
      <c r="G22" s="10">
        <v>23.0</v>
      </c>
      <c r="H22" s="10">
        <v>6.0</v>
      </c>
      <c r="I22" s="10">
        <v>2.0</v>
      </c>
      <c r="K22" s="7" t="s">
        <v>59</v>
      </c>
      <c r="L22" s="7" t="s">
        <v>14</v>
      </c>
    </row>
    <row r="23">
      <c r="A23" s="6">
        <v>22.0</v>
      </c>
      <c r="B23" s="7" t="s">
        <v>60</v>
      </c>
      <c r="C23" s="8">
        <v>199.0</v>
      </c>
      <c r="D23" s="9" t="s">
        <v>12</v>
      </c>
      <c r="E23" s="10">
        <v>3.0</v>
      </c>
      <c r="F23" s="10">
        <v>24.0</v>
      </c>
      <c r="G23" s="10">
        <v>26.0</v>
      </c>
      <c r="H23" s="10">
        <v>4.0</v>
      </c>
      <c r="I23" s="10">
        <v>2.0</v>
      </c>
      <c r="J23" s="9"/>
      <c r="K23" s="12" t="s">
        <v>61</v>
      </c>
      <c r="L23" s="12" t="s">
        <v>62</v>
      </c>
      <c r="M23" s="13"/>
    </row>
    <row r="24">
      <c r="A24" s="6">
        <v>23.0</v>
      </c>
      <c r="B24" s="7" t="s">
        <v>63</v>
      </c>
      <c r="C24" s="8">
        <v>198.0</v>
      </c>
      <c r="D24" s="9" t="s">
        <v>12</v>
      </c>
      <c r="E24" s="10">
        <v>8.0</v>
      </c>
      <c r="F24" s="10">
        <v>14.0</v>
      </c>
      <c r="G24" s="10">
        <v>30.0</v>
      </c>
      <c r="H24" s="10">
        <v>5.0</v>
      </c>
      <c r="I24" s="10">
        <v>2.0</v>
      </c>
      <c r="K24" s="7" t="s">
        <v>64</v>
      </c>
      <c r="L24" s="7" t="s">
        <v>14</v>
      </c>
    </row>
    <row r="25">
      <c r="A25" s="11">
        <v>24.0</v>
      </c>
      <c r="B25" s="7" t="s">
        <v>65</v>
      </c>
      <c r="C25" s="8">
        <v>198.0</v>
      </c>
      <c r="D25" s="9" t="s">
        <v>12</v>
      </c>
      <c r="E25" s="10">
        <v>6.0</v>
      </c>
      <c r="F25" s="10">
        <v>22.0</v>
      </c>
      <c r="G25" s="10">
        <v>22.0</v>
      </c>
      <c r="H25" s="10">
        <v>5.0</v>
      </c>
      <c r="I25" s="10">
        <v>4.0</v>
      </c>
      <c r="J25" s="9"/>
      <c r="K25" s="12" t="s">
        <v>66</v>
      </c>
      <c r="L25" s="12" t="s">
        <v>14</v>
      </c>
      <c r="M25" s="13"/>
    </row>
    <row r="26">
      <c r="A26" s="6">
        <v>25.0</v>
      </c>
      <c r="B26" s="7" t="s">
        <v>67</v>
      </c>
      <c r="C26" s="8">
        <v>195.0</v>
      </c>
      <c r="D26" s="9" t="s">
        <v>12</v>
      </c>
      <c r="E26" s="10">
        <v>7.0</v>
      </c>
      <c r="F26" s="10">
        <v>18.0</v>
      </c>
      <c r="G26" s="10">
        <v>22.0</v>
      </c>
      <c r="H26" s="10">
        <v>10.0</v>
      </c>
      <c r="I26" s="10">
        <v>2.0</v>
      </c>
      <c r="K26" s="7" t="s">
        <v>68</v>
      </c>
      <c r="L26" s="7" t="s">
        <v>32</v>
      </c>
    </row>
    <row r="27">
      <c r="A27" s="6">
        <v>26.0</v>
      </c>
      <c r="B27" s="7" t="s">
        <v>69</v>
      </c>
      <c r="C27" s="8">
        <v>194.0</v>
      </c>
      <c r="D27" s="9" t="s">
        <v>12</v>
      </c>
      <c r="E27" s="10">
        <v>7.0</v>
      </c>
      <c r="F27" s="10">
        <v>21.0</v>
      </c>
      <c r="G27" s="10">
        <v>17.0</v>
      </c>
      <c r="H27" s="10">
        <v>10.0</v>
      </c>
      <c r="I27" s="10">
        <v>4.0</v>
      </c>
      <c r="J27" s="9"/>
      <c r="K27" s="12" t="s">
        <v>59</v>
      </c>
      <c r="L27" s="12" t="s">
        <v>14</v>
      </c>
      <c r="M27" s="13"/>
    </row>
    <row r="28">
      <c r="A28" s="11">
        <v>27.0</v>
      </c>
      <c r="B28" s="7" t="s">
        <v>70</v>
      </c>
      <c r="C28" s="8">
        <v>193.0</v>
      </c>
      <c r="D28" s="9" t="s">
        <v>12</v>
      </c>
      <c r="E28" s="10">
        <v>3.0</v>
      </c>
      <c r="F28" s="10">
        <v>21.0</v>
      </c>
      <c r="G28" s="10">
        <v>28.0</v>
      </c>
      <c r="H28" s="10">
        <v>3.0</v>
      </c>
      <c r="I28" s="10">
        <v>4.0</v>
      </c>
      <c r="J28" s="9"/>
      <c r="K28" s="12" t="s">
        <v>71</v>
      </c>
      <c r="L28" s="12" t="s">
        <v>20</v>
      </c>
      <c r="M28" s="13"/>
    </row>
    <row r="29">
      <c r="A29" s="6">
        <v>28.0</v>
      </c>
      <c r="B29" s="7" t="s">
        <v>72</v>
      </c>
      <c r="C29" s="8">
        <v>191.0</v>
      </c>
      <c r="D29" s="9" t="s">
        <v>12</v>
      </c>
      <c r="E29" s="10">
        <v>6.0</v>
      </c>
      <c r="F29" s="10">
        <v>13.0</v>
      </c>
      <c r="G29" s="10">
        <v>30.0</v>
      </c>
      <c r="H29" s="10">
        <v>9.0</v>
      </c>
      <c r="I29" s="10">
        <v>1.0</v>
      </c>
      <c r="K29" s="7" t="s">
        <v>73</v>
      </c>
      <c r="L29" s="7" t="s">
        <v>74</v>
      </c>
    </row>
    <row r="30">
      <c r="A30" s="15" t="s">
        <v>75</v>
      </c>
      <c r="B30" s="7" t="s">
        <v>76</v>
      </c>
      <c r="C30" s="8">
        <v>191.0</v>
      </c>
      <c r="D30" s="9" t="s">
        <v>12</v>
      </c>
      <c r="E30" s="10">
        <v>5.0</v>
      </c>
      <c r="F30" s="10">
        <v>21.0</v>
      </c>
      <c r="G30" s="10">
        <v>20.0</v>
      </c>
      <c r="H30" s="10">
        <v>9.0</v>
      </c>
      <c r="I30" s="10">
        <v>4.0</v>
      </c>
      <c r="K30" s="7" t="s">
        <v>77</v>
      </c>
      <c r="L30" s="7" t="s">
        <v>20</v>
      </c>
    </row>
    <row r="31">
      <c r="A31" s="6">
        <v>29.0</v>
      </c>
      <c r="B31" s="7" t="s">
        <v>78</v>
      </c>
      <c r="C31" s="8">
        <v>190.0</v>
      </c>
      <c r="D31" s="9" t="s">
        <v>12</v>
      </c>
      <c r="E31" s="10">
        <v>2.0</v>
      </c>
      <c r="F31" s="10">
        <v>23.0</v>
      </c>
      <c r="G31" s="10">
        <v>25.0</v>
      </c>
      <c r="H31" s="10">
        <v>4.0</v>
      </c>
      <c r="I31" s="10">
        <v>5.0</v>
      </c>
      <c r="K31" s="7" t="s">
        <v>79</v>
      </c>
      <c r="L31" s="7" t="s">
        <v>32</v>
      </c>
    </row>
    <row r="32">
      <c r="A32" s="11">
        <v>30.0</v>
      </c>
      <c r="B32" s="7" t="s">
        <v>80</v>
      </c>
      <c r="C32" s="8">
        <v>188.0</v>
      </c>
      <c r="D32" s="9" t="s">
        <v>12</v>
      </c>
      <c r="E32" s="10">
        <v>4.0</v>
      </c>
      <c r="F32" s="10">
        <v>20.0</v>
      </c>
      <c r="G32" s="10">
        <v>22.0</v>
      </c>
      <c r="H32" s="10">
        <v>9.0</v>
      </c>
      <c r="I32" s="10">
        <v>4.0</v>
      </c>
      <c r="K32" s="7" t="s">
        <v>13</v>
      </c>
      <c r="L32" s="7" t="s">
        <v>14</v>
      </c>
    </row>
    <row r="33">
      <c r="A33" s="6">
        <v>31.0</v>
      </c>
      <c r="B33" s="7" t="s">
        <v>81</v>
      </c>
      <c r="C33" s="8">
        <v>188.0</v>
      </c>
      <c r="D33" s="9" t="s">
        <v>12</v>
      </c>
      <c r="E33" s="10">
        <v>1.0</v>
      </c>
      <c r="F33" s="10">
        <v>22.0</v>
      </c>
      <c r="G33" s="10">
        <v>27.0</v>
      </c>
      <c r="H33" s="10">
        <v>5.0</v>
      </c>
      <c r="I33" s="10">
        <v>4.0</v>
      </c>
      <c r="K33" s="7" t="s">
        <v>22</v>
      </c>
      <c r="L33" s="7" t="s">
        <v>32</v>
      </c>
    </row>
    <row r="34">
      <c r="A34" s="6">
        <v>32.0</v>
      </c>
      <c r="B34" s="7" t="s">
        <v>82</v>
      </c>
      <c r="C34" s="8">
        <v>188.0</v>
      </c>
      <c r="D34" s="9" t="s">
        <v>12</v>
      </c>
      <c r="E34" s="10">
        <v>1.0</v>
      </c>
      <c r="F34" s="10">
        <v>19.0</v>
      </c>
      <c r="G34" s="10">
        <v>31.0</v>
      </c>
      <c r="H34" s="10">
        <v>6.0</v>
      </c>
      <c r="I34" s="10">
        <v>2.0</v>
      </c>
      <c r="J34" s="9"/>
      <c r="K34" s="12" t="s">
        <v>83</v>
      </c>
      <c r="L34" s="12" t="s">
        <v>14</v>
      </c>
      <c r="M34" s="9"/>
    </row>
    <row r="35">
      <c r="A35" s="11">
        <v>33.0</v>
      </c>
      <c r="B35" s="7" t="s">
        <v>84</v>
      </c>
      <c r="C35" s="8">
        <v>187.0</v>
      </c>
      <c r="D35" s="9" t="s">
        <v>12</v>
      </c>
      <c r="E35" s="10">
        <v>4.0</v>
      </c>
      <c r="F35" s="10">
        <v>17.0</v>
      </c>
      <c r="G35" s="10">
        <v>26.0</v>
      </c>
      <c r="H35" s="10">
        <v>9.0</v>
      </c>
      <c r="I35" s="10">
        <v>3.0</v>
      </c>
      <c r="K35" s="7" t="s">
        <v>85</v>
      </c>
      <c r="L35" s="7" t="s">
        <v>62</v>
      </c>
    </row>
    <row r="36">
      <c r="A36" s="6">
        <v>34.0</v>
      </c>
      <c r="B36" s="7" t="s">
        <v>86</v>
      </c>
      <c r="C36" s="8">
        <v>186.0</v>
      </c>
      <c r="D36" s="9" t="s">
        <v>12</v>
      </c>
      <c r="E36" s="10">
        <v>4.0</v>
      </c>
      <c r="F36" s="10">
        <v>18.0</v>
      </c>
      <c r="G36" s="10">
        <v>25.0</v>
      </c>
      <c r="H36" s="10">
        <v>7.0</v>
      </c>
      <c r="I36" s="10">
        <v>5.0</v>
      </c>
      <c r="K36" s="7" t="s">
        <v>87</v>
      </c>
      <c r="L36" s="7" t="s">
        <v>44</v>
      </c>
    </row>
    <row r="37">
      <c r="A37" s="6">
        <v>35.0</v>
      </c>
      <c r="B37" s="7" t="s">
        <v>88</v>
      </c>
      <c r="C37" s="8">
        <v>185.0</v>
      </c>
      <c r="D37" s="9" t="s">
        <v>12</v>
      </c>
      <c r="E37" s="10">
        <v>13.0</v>
      </c>
      <c r="F37" s="10">
        <v>11.0</v>
      </c>
      <c r="G37" s="10">
        <v>14.0</v>
      </c>
      <c r="H37" s="10">
        <v>13.0</v>
      </c>
      <c r="I37" s="10">
        <v>8.0</v>
      </c>
      <c r="J37" s="14" t="s">
        <v>49</v>
      </c>
      <c r="K37" s="7" t="s">
        <v>89</v>
      </c>
      <c r="L37" s="7" t="s">
        <v>32</v>
      </c>
    </row>
    <row r="38">
      <c r="A38" s="11">
        <v>36.0</v>
      </c>
      <c r="B38" s="7" t="s">
        <v>90</v>
      </c>
      <c r="C38" s="8">
        <v>185.0</v>
      </c>
      <c r="D38" s="9" t="s">
        <v>12</v>
      </c>
      <c r="E38" s="10">
        <v>3.0</v>
      </c>
      <c r="F38" s="10">
        <v>13.0</v>
      </c>
      <c r="G38" s="10">
        <v>33.0</v>
      </c>
      <c r="H38" s="10">
        <v>9.0</v>
      </c>
      <c r="I38" s="10">
        <v>1.0</v>
      </c>
      <c r="K38" s="7" t="s">
        <v>16</v>
      </c>
      <c r="L38" s="7" t="s">
        <v>17</v>
      </c>
    </row>
    <row r="39">
      <c r="A39" s="6">
        <v>37.0</v>
      </c>
      <c r="B39" s="7" t="s">
        <v>91</v>
      </c>
      <c r="C39" s="8">
        <v>185.0</v>
      </c>
      <c r="D39" s="9" t="s">
        <v>12</v>
      </c>
      <c r="E39" s="10">
        <v>2.0</v>
      </c>
      <c r="F39" s="10">
        <v>18.0</v>
      </c>
      <c r="G39" s="10">
        <v>28.0</v>
      </c>
      <c r="H39" s="10">
        <v>8.0</v>
      </c>
      <c r="I39" s="10">
        <v>3.0</v>
      </c>
      <c r="K39" s="7" t="s">
        <v>13</v>
      </c>
      <c r="L39" s="7" t="s">
        <v>14</v>
      </c>
    </row>
    <row r="40">
      <c r="A40" s="6">
        <v>38.0</v>
      </c>
      <c r="B40" s="7" t="s">
        <v>92</v>
      </c>
      <c r="C40" s="8">
        <v>185.0</v>
      </c>
      <c r="D40" s="9" t="s">
        <v>12</v>
      </c>
      <c r="E40" s="10">
        <v>2.0</v>
      </c>
      <c r="F40" s="10">
        <v>16.0</v>
      </c>
      <c r="G40" s="10">
        <v>31.0</v>
      </c>
      <c r="H40" s="10">
        <v>8.0</v>
      </c>
      <c r="I40" s="10">
        <v>2.0</v>
      </c>
      <c r="K40" s="7" t="s">
        <v>93</v>
      </c>
      <c r="L40" s="7" t="s">
        <v>20</v>
      </c>
    </row>
    <row r="41">
      <c r="A41" s="11">
        <v>39.0</v>
      </c>
      <c r="B41" s="7" t="s">
        <v>94</v>
      </c>
      <c r="C41" s="8">
        <v>185.0</v>
      </c>
      <c r="D41" s="9" t="s">
        <v>12</v>
      </c>
      <c r="E41" s="10">
        <v>1.0</v>
      </c>
      <c r="F41" s="10">
        <v>22.0</v>
      </c>
      <c r="G41" s="10">
        <v>25.0</v>
      </c>
      <c r="H41" s="10">
        <v>6.0</v>
      </c>
      <c r="I41" s="10">
        <v>5.0</v>
      </c>
      <c r="J41" s="9"/>
      <c r="K41" s="12" t="s">
        <v>95</v>
      </c>
      <c r="L41" s="12" t="s">
        <v>96</v>
      </c>
      <c r="M41" s="13"/>
    </row>
    <row r="42">
      <c r="A42" s="6">
        <v>40.0</v>
      </c>
      <c r="B42" s="7" t="s">
        <v>97</v>
      </c>
      <c r="C42" s="8">
        <v>184.0</v>
      </c>
      <c r="D42" s="9" t="s">
        <v>12</v>
      </c>
      <c r="E42" s="10">
        <v>2.0</v>
      </c>
      <c r="F42" s="10">
        <v>16.0</v>
      </c>
      <c r="G42" s="10">
        <v>30.0</v>
      </c>
      <c r="H42" s="10">
        <v>9.0</v>
      </c>
      <c r="I42" s="10">
        <v>2.0</v>
      </c>
      <c r="J42" s="14"/>
      <c r="K42" s="7" t="s">
        <v>16</v>
      </c>
      <c r="L42" s="7" t="s">
        <v>96</v>
      </c>
    </row>
    <row r="43">
      <c r="A43" s="6">
        <v>41.0</v>
      </c>
      <c r="B43" s="7" t="s">
        <v>98</v>
      </c>
      <c r="C43" s="8">
        <v>182.0</v>
      </c>
      <c r="D43" s="9" t="s">
        <v>12</v>
      </c>
      <c r="E43" s="10">
        <v>5.0</v>
      </c>
      <c r="F43" s="10">
        <v>11.0</v>
      </c>
      <c r="G43" s="10">
        <v>31.0</v>
      </c>
      <c r="H43" s="10">
        <v>8.0</v>
      </c>
      <c r="I43" s="10">
        <v>4.0</v>
      </c>
      <c r="K43" s="7" t="s">
        <v>99</v>
      </c>
      <c r="L43" s="7" t="s">
        <v>14</v>
      </c>
    </row>
    <row r="44">
      <c r="A44" s="11">
        <v>42.0</v>
      </c>
      <c r="B44" s="7" t="s">
        <v>100</v>
      </c>
      <c r="C44" s="8">
        <v>179.0</v>
      </c>
      <c r="D44" s="9" t="s">
        <v>12</v>
      </c>
      <c r="E44" s="10">
        <v>3.0</v>
      </c>
      <c r="F44" s="10">
        <v>15.0</v>
      </c>
      <c r="G44" s="10">
        <v>26.0</v>
      </c>
      <c r="H44" s="10">
        <v>11.0</v>
      </c>
      <c r="I44" s="10">
        <v>4.0</v>
      </c>
      <c r="K44" s="7" t="s">
        <v>101</v>
      </c>
      <c r="L44" s="7" t="s">
        <v>14</v>
      </c>
    </row>
    <row r="45">
      <c r="A45" s="6">
        <v>43.0</v>
      </c>
      <c r="B45" s="7" t="s">
        <v>102</v>
      </c>
      <c r="C45" s="8">
        <v>177.0</v>
      </c>
      <c r="D45" s="9" t="s">
        <v>12</v>
      </c>
      <c r="E45" s="10">
        <v>2.0</v>
      </c>
      <c r="F45" s="10">
        <v>16.0</v>
      </c>
      <c r="G45" s="10">
        <v>25.0</v>
      </c>
      <c r="H45" s="10">
        <v>12.0</v>
      </c>
      <c r="I45" s="10">
        <v>4.0</v>
      </c>
      <c r="K45" s="7" t="s">
        <v>103</v>
      </c>
      <c r="L45" s="7" t="s">
        <v>20</v>
      </c>
    </row>
    <row r="46">
      <c r="A46" s="6">
        <v>44.0</v>
      </c>
      <c r="B46" s="7" t="s">
        <v>104</v>
      </c>
      <c r="C46" s="8">
        <v>176.0</v>
      </c>
      <c r="D46" s="9" t="s">
        <v>12</v>
      </c>
      <c r="E46" s="10">
        <v>2.0</v>
      </c>
      <c r="F46" s="10">
        <v>9.0</v>
      </c>
      <c r="G46" s="10">
        <v>36.0</v>
      </c>
      <c r="H46" s="10">
        <v>10.0</v>
      </c>
      <c r="I46" s="10">
        <v>2.0</v>
      </c>
      <c r="K46" s="7" t="s">
        <v>105</v>
      </c>
      <c r="L46" s="7" t="s">
        <v>20</v>
      </c>
    </row>
    <row r="47">
      <c r="A47" s="11">
        <v>45.0</v>
      </c>
      <c r="B47" s="7" t="s">
        <v>106</v>
      </c>
      <c r="C47" s="8">
        <v>174.0</v>
      </c>
      <c r="D47" s="9" t="s">
        <v>12</v>
      </c>
      <c r="E47" s="10">
        <v>2.0</v>
      </c>
      <c r="F47" s="10">
        <v>10.0</v>
      </c>
      <c r="G47" s="10">
        <v>33.0</v>
      </c>
      <c r="H47" s="10">
        <v>11.0</v>
      </c>
      <c r="I47" s="10">
        <v>3.0</v>
      </c>
      <c r="K47" s="7" t="s">
        <v>13</v>
      </c>
      <c r="L47" s="7" t="s">
        <v>62</v>
      </c>
    </row>
    <row r="48">
      <c r="A48" s="6">
        <v>46.0</v>
      </c>
      <c r="B48" s="7" t="s">
        <v>107</v>
      </c>
      <c r="C48" s="8">
        <v>173.0</v>
      </c>
      <c r="D48" s="9" t="s">
        <v>12</v>
      </c>
      <c r="E48" s="10">
        <v>3.0</v>
      </c>
      <c r="F48" s="10">
        <v>11.0</v>
      </c>
      <c r="G48" s="10">
        <v>28.0</v>
      </c>
      <c r="H48" s="10">
        <v>13.0</v>
      </c>
      <c r="I48" s="10">
        <v>4.0</v>
      </c>
      <c r="K48" s="7" t="s">
        <v>108</v>
      </c>
      <c r="L48" s="7" t="s">
        <v>32</v>
      </c>
    </row>
    <row r="49">
      <c r="A49" s="6">
        <v>47.0</v>
      </c>
      <c r="B49" s="7" t="s">
        <v>109</v>
      </c>
      <c r="C49" s="8">
        <v>173.0</v>
      </c>
      <c r="D49" s="9" t="s">
        <v>12</v>
      </c>
      <c r="E49" s="10">
        <v>0.0</v>
      </c>
      <c r="F49" s="10">
        <v>13.0</v>
      </c>
      <c r="G49" s="10">
        <v>33.0</v>
      </c>
      <c r="H49" s="10">
        <v>9.0</v>
      </c>
      <c r="I49" s="10">
        <v>4.0</v>
      </c>
      <c r="K49" s="7" t="s">
        <v>95</v>
      </c>
      <c r="L49" s="7" t="s">
        <v>62</v>
      </c>
    </row>
    <row r="50">
      <c r="A50" s="15" t="s">
        <v>75</v>
      </c>
      <c r="B50" s="7" t="s">
        <v>110</v>
      </c>
      <c r="C50" s="8">
        <v>172.0</v>
      </c>
      <c r="D50" s="9" t="s">
        <v>12</v>
      </c>
      <c r="E50" s="10">
        <v>1.0</v>
      </c>
      <c r="F50" s="10">
        <v>14.0</v>
      </c>
      <c r="G50" s="10">
        <v>28.0</v>
      </c>
      <c r="H50" s="10">
        <v>11.0</v>
      </c>
      <c r="I50" s="10">
        <v>5.0</v>
      </c>
      <c r="K50" s="7" t="s">
        <v>71</v>
      </c>
      <c r="L50" s="7" t="s">
        <v>111</v>
      </c>
    </row>
    <row r="51">
      <c r="A51" s="6">
        <v>48.0</v>
      </c>
      <c r="B51" s="7" t="s">
        <v>112</v>
      </c>
      <c r="C51" s="8">
        <v>171.0</v>
      </c>
      <c r="D51" s="9" t="s">
        <v>12</v>
      </c>
      <c r="E51" s="10">
        <v>6.0</v>
      </c>
      <c r="F51" s="10">
        <v>8.0</v>
      </c>
      <c r="G51" s="10">
        <v>27.0</v>
      </c>
      <c r="H51" s="10">
        <v>10.0</v>
      </c>
      <c r="I51" s="10">
        <v>8.0</v>
      </c>
      <c r="J51" s="9"/>
      <c r="K51" s="12" t="s">
        <v>113</v>
      </c>
      <c r="L51" s="12" t="s">
        <v>14</v>
      </c>
      <c r="M51" s="13"/>
    </row>
    <row r="52">
      <c r="A52" s="6">
        <v>49.0</v>
      </c>
      <c r="B52" s="7" t="s">
        <v>114</v>
      </c>
      <c r="C52" s="8">
        <v>171.0</v>
      </c>
      <c r="D52" s="9" t="s">
        <v>12</v>
      </c>
      <c r="E52" s="10">
        <v>2.0</v>
      </c>
      <c r="F52" s="10">
        <v>13.0</v>
      </c>
      <c r="G52" s="10">
        <v>29.0</v>
      </c>
      <c r="H52" s="10">
        <v>7.0</v>
      </c>
      <c r="I52" s="10">
        <v>8.0</v>
      </c>
      <c r="K52" s="7" t="s">
        <v>115</v>
      </c>
      <c r="L52" s="7" t="s">
        <v>20</v>
      </c>
    </row>
    <row r="53">
      <c r="A53" s="6">
        <v>50.0</v>
      </c>
      <c r="B53" s="7" t="s">
        <v>116</v>
      </c>
      <c r="C53" s="8">
        <v>171.0</v>
      </c>
      <c r="D53" s="9" t="s">
        <v>12</v>
      </c>
      <c r="E53" s="10">
        <v>1.0</v>
      </c>
      <c r="F53" s="10">
        <v>11.0</v>
      </c>
      <c r="G53" s="10">
        <v>30.0</v>
      </c>
      <c r="H53" s="10">
        <v>15.0</v>
      </c>
      <c r="I53" s="10">
        <v>2.0</v>
      </c>
      <c r="K53" s="7" t="s">
        <v>117</v>
      </c>
      <c r="L53" s="7" t="s">
        <v>32</v>
      </c>
    </row>
    <row r="54">
      <c r="A54" s="6">
        <v>51.0</v>
      </c>
      <c r="B54" s="7" t="s">
        <v>118</v>
      </c>
      <c r="C54" s="8">
        <v>170.0</v>
      </c>
      <c r="D54" s="9" t="s">
        <v>12</v>
      </c>
      <c r="E54" s="10">
        <v>2.0</v>
      </c>
      <c r="F54" s="10">
        <v>14.0</v>
      </c>
      <c r="G54" s="10">
        <v>24.0</v>
      </c>
      <c r="H54" s="10">
        <v>13.0</v>
      </c>
      <c r="I54" s="10">
        <v>6.0</v>
      </c>
      <c r="J54" s="7" t="s">
        <v>49</v>
      </c>
      <c r="K54" s="7" t="s">
        <v>119</v>
      </c>
      <c r="L54" s="7" t="s">
        <v>96</v>
      </c>
    </row>
    <row r="55">
      <c r="A55" s="16" t="s">
        <v>75</v>
      </c>
      <c r="B55" s="7" t="s">
        <v>120</v>
      </c>
      <c r="C55" s="8">
        <v>165.0</v>
      </c>
      <c r="D55" s="9" t="s">
        <v>12</v>
      </c>
      <c r="E55" s="10">
        <v>1.0</v>
      </c>
      <c r="F55" s="10">
        <v>6.0</v>
      </c>
      <c r="G55" s="10">
        <v>34.0</v>
      </c>
      <c r="H55" s="10">
        <v>16.0</v>
      </c>
      <c r="I55" s="10">
        <v>2.0</v>
      </c>
      <c r="J55" s="14" t="s">
        <v>49</v>
      </c>
      <c r="K55" s="7" t="s">
        <v>121</v>
      </c>
      <c r="L55" s="7" t="s">
        <v>36</v>
      </c>
    </row>
    <row r="56">
      <c r="A56" s="6">
        <v>52.0</v>
      </c>
      <c r="B56" s="7" t="s">
        <v>122</v>
      </c>
      <c r="C56" s="8">
        <v>164.0</v>
      </c>
      <c r="D56" s="9" t="s">
        <v>12</v>
      </c>
      <c r="E56" s="10">
        <v>0.0</v>
      </c>
      <c r="F56" s="10">
        <v>7.0</v>
      </c>
      <c r="G56" s="10">
        <v>34.0</v>
      </c>
      <c r="H56" s="10">
        <v>16.0</v>
      </c>
      <c r="I56" s="10">
        <v>2.0</v>
      </c>
      <c r="J56" s="9"/>
      <c r="K56" s="12" t="s">
        <v>123</v>
      </c>
      <c r="L56" s="12" t="s">
        <v>17</v>
      </c>
      <c r="M56" s="13"/>
    </row>
    <row r="57">
      <c r="A57" s="6">
        <v>53.0</v>
      </c>
      <c r="B57" s="7" t="s">
        <v>124</v>
      </c>
      <c r="C57" s="8">
        <v>163.0</v>
      </c>
      <c r="D57" s="9" t="s">
        <v>12</v>
      </c>
      <c r="E57" s="10">
        <v>0.0</v>
      </c>
      <c r="F57" s="10">
        <v>8.0</v>
      </c>
      <c r="G57" s="10">
        <v>33.0</v>
      </c>
      <c r="H57" s="10">
        <v>14.0</v>
      </c>
      <c r="I57" s="10">
        <v>4.0</v>
      </c>
      <c r="J57" s="14" t="s">
        <v>49</v>
      </c>
      <c r="K57" s="7" t="s">
        <v>125</v>
      </c>
      <c r="L57" s="7" t="s">
        <v>126</v>
      </c>
    </row>
    <row r="58">
      <c r="A58" s="6">
        <v>54.0</v>
      </c>
      <c r="B58" s="7" t="s">
        <v>127</v>
      </c>
      <c r="C58" s="8">
        <v>162.0</v>
      </c>
      <c r="D58" s="9" t="s">
        <v>12</v>
      </c>
      <c r="E58" s="10">
        <v>1.0</v>
      </c>
      <c r="F58" s="10">
        <v>9.0</v>
      </c>
      <c r="G58" s="10">
        <v>29.0</v>
      </c>
      <c r="H58" s="10">
        <v>14.0</v>
      </c>
      <c r="I58" s="10">
        <v>6.0</v>
      </c>
      <c r="K58" s="7" t="s">
        <v>13</v>
      </c>
      <c r="L58" s="7" t="s">
        <v>111</v>
      </c>
    </row>
    <row r="59">
      <c r="A59" s="6">
        <v>55.0</v>
      </c>
      <c r="B59" s="7" t="s">
        <v>128</v>
      </c>
      <c r="C59" s="8">
        <v>159.0</v>
      </c>
      <c r="D59" s="9" t="s">
        <v>12</v>
      </c>
      <c r="E59" s="10">
        <v>1.0</v>
      </c>
      <c r="F59" s="10">
        <v>6.0</v>
      </c>
      <c r="G59" s="10">
        <v>30.0</v>
      </c>
      <c r="H59" s="10">
        <v>18.0</v>
      </c>
      <c r="I59" s="10">
        <v>4.0</v>
      </c>
      <c r="K59" s="7" t="s">
        <v>129</v>
      </c>
      <c r="L59" s="7" t="s">
        <v>111</v>
      </c>
    </row>
    <row r="60">
      <c r="A60" s="6">
        <v>56.0</v>
      </c>
      <c r="B60" s="7" t="s">
        <v>130</v>
      </c>
      <c r="C60" s="8">
        <v>152.0</v>
      </c>
      <c r="D60" s="9" t="s">
        <v>12</v>
      </c>
      <c r="E60" s="10">
        <v>1.0</v>
      </c>
      <c r="F60" s="10">
        <v>5.0</v>
      </c>
      <c r="G60" s="10">
        <v>27.0</v>
      </c>
      <c r="H60" s="10">
        <v>20.0</v>
      </c>
      <c r="I60" s="10">
        <v>6.0</v>
      </c>
      <c r="K60" s="7" t="s">
        <v>131</v>
      </c>
      <c r="L60" s="7" t="s">
        <v>62</v>
      </c>
    </row>
    <row r="61">
      <c r="A61" s="6">
        <v>57.0</v>
      </c>
      <c r="B61" s="7" t="s">
        <v>132</v>
      </c>
      <c r="C61" s="8">
        <v>139.0</v>
      </c>
      <c r="D61" s="9" t="s">
        <v>12</v>
      </c>
      <c r="E61" s="10">
        <v>0.0</v>
      </c>
      <c r="F61" s="10">
        <v>3.0</v>
      </c>
      <c r="G61" s="10">
        <v>23.0</v>
      </c>
      <c r="H61" s="10">
        <v>25.0</v>
      </c>
      <c r="I61" s="10">
        <v>8.0</v>
      </c>
      <c r="J61" s="9"/>
      <c r="K61" s="12" t="s">
        <v>133</v>
      </c>
      <c r="L61" s="12" t="s">
        <v>14</v>
      </c>
      <c r="M61" s="13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  <c r="F80" s="18"/>
    </row>
    <row r="81">
      <c r="A81" s="17"/>
      <c r="F81" s="9"/>
    </row>
    <row r="82">
      <c r="A82" s="17"/>
      <c r="F82" s="18"/>
    </row>
    <row r="83">
      <c r="A83" s="17"/>
      <c r="F83" s="18"/>
    </row>
    <row r="84">
      <c r="A84" s="17"/>
      <c r="F84" s="18"/>
    </row>
    <row r="85">
      <c r="A85" s="17"/>
      <c r="F85" s="18"/>
    </row>
    <row r="86">
      <c r="A86" s="17"/>
      <c r="F86" s="18"/>
    </row>
    <row r="87">
      <c r="A87" s="17"/>
      <c r="F87" s="9"/>
    </row>
    <row r="88">
      <c r="A88" s="17"/>
      <c r="F88" s="19"/>
    </row>
    <row r="89">
      <c r="A89" s="17"/>
      <c r="F89" s="19"/>
    </row>
    <row r="90">
      <c r="A90" s="17"/>
      <c r="F90" s="19"/>
    </row>
    <row r="91">
      <c r="A91" s="17"/>
      <c r="F91" s="19"/>
    </row>
    <row r="92">
      <c r="A92" s="17"/>
      <c r="F92" s="19"/>
    </row>
    <row r="93">
      <c r="A93" s="17"/>
      <c r="F93" s="19"/>
    </row>
    <row r="94">
      <c r="A94" s="17"/>
      <c r="F94" s="19"/>
    </row>
    <row r="95">
      <c r="A95" s="17"/>
      <c r="F95" s="19"/>
    </row>
    <row r="96">
      <c r="A96" s="17"/>
      <c r="F96" s="19"/>
    </row>
    <row r="97">
      <c r="A97" s="17"/>
      <c r="F97" s="19"/>
    </row>
    <row r="98">
      <c r="A98" s="17"/>
      <c r="F98" s="19"/>
    </row>
    <row r="99">
      <c r="A99" s="17"/>
      <c r="F99" s="19"/>
    </row>
    <row r="100">
      <c r="A100" s="17"/>
      <c r="F100" s="19"/>
    </row>
    <row r="101">
      <c r="A101" s="17"/>
      <c r="F101" s="19"/>
    </row>
    <row r="102">
      <c r="A102" s="17"/>
      <c r="F102" s="19"/>
    </row>
    <row r="103">
      <c r="A103" s="17"/>
      <c r="F103" s="19"/>
    </row>
    <row r="104">
      <c r="A104" s="17"/>
      <c r="F104" s="19"/>
    </row>
    <row r="105">
      <c r="A105" s="17"/>
      <c r="F105" s="19"/>
    </row>
    <row r="106">
      <c r="A106" s="17"/>
      <c r="F106" s="19"/>
    </row>
    <row r="107">
      <c r="A107" s="17"/>
      <c r="F107" s="19"/>
    </row>
    <row r="108">
      <c r="A108" s="17"/>
      <c r="F108" s="19"/>
    </row>
    <row r="109">
      <c r="A109" s="17"/>
      <c r="F109" s="19"/>
    </row>
    <row r="110">
      <c r="A110" s="17"/>
      <c r="F110" s="19"/>
    </row>
    <row r="111">
      <c r="A111" s="17"/>
      <c r="F111" s="19"/>
    </row>
    <row r="112">
      <c r="A112" s="17"/>
      <c r="F112" s="19"/>
    </row>
    <row r="113">
      <c r="A113" s="17"/>
      <c r="F113" s="19"/>
    </row>
    <row r="114">
      <c r="A114" s="17"/>
      <c r="F114" s="19"/>
    </row>
    <row r="115">
      <c r="A115" s="17"/>
      <c r="F115" s="19"/>
    </row>
    <row r="116">
      <c r="A116" s="17"/>
      <c r="F116" s="19"/>
    </row>
    <row r="117">
      <c r="A117" s="17"/>
      <c r="F117" s="19"/>
    </row>
    <row r="118">
      <c r="A118" s="17"/>
      <c r="F118" s="19"/>
    </row>
    <row r="119">
      <c r="A119" s="17"/>
      <c r="F119" s="19"/>
    </row>
    <row r="120">
      <c r="A120" s="17"/>
      <c r="F120" s="19"/>
    </row>
    <row r="121">
      <c r="A121" s="17"/>
      <c r="F121" s="19"/>
    </row>
    <row r="122">
      <c r="A122" s="17"/>
      <c r="F122" s="19"/>
    </row>
    <row r="123">
      <c r="A123" s="17"/>
      <c r="F123" s="19"/>
    </row>
    <row r="124">
      <c r="A124" s="17"/>
      <c r="F124" s="19"/>
    </row>
    <row r="125">
      <c r="A125" s="17"/>
      <c r="F125" s="19"/>
    </row>
    <row r="126">
      <c r="A126" s="17"/>
      <c r="F126" s="19"/>
    </row>
    <row r="127">
      <c r="A127" s="17"/>
      <c r="F127" s="19"/>
    </row>
    <row r="128">
      <c r="A128" s="17"/>
      <c r="F128" s="19"/>
    </row>
    <row r="129">
      <c r="A129" s="17"/>
      <c r="F129" s="19"/>
    </row>
    <row r="130">
      <c r="A130" s="17"/>
      <c r="F130" s="19"/>
    </row>
    <row r="131">
      <c r="A131" s="17"/>
      <c r="F131" s="19"/>
    </row>
    <row r="132">
      <c r="A132" s="17"/>
      <c r="F132" s="19"/>
    </row>
    <row r="133">
      <c r="A133" s="17"/>
      <c r="F133" s="19"/>
    </row>
    <row r="134">
      <c r="A134" s="17"/>
      <c r="F134" s="19"/>
    </row>
    <row r="135">
      <c r="A135" s="17"/>
      <c r="F135" s="19"/>
    </row>
    <row r="136">
      <c r="A136" s="17"/>
      <c r="F136" s="19"/>
    </row>
    <row r="137">
      <c r="A137" s="17"/>
      <c r="F137" s="19"/>
    </row>
    <row r="138">
      <c r="A138" s="17"/>
      <c r="F138" s="19"/>
    </row>
    <row r="139">
      <c r="A139" s="17"/>
      <c r="F139" s="19"/>
    </row>
    <row r="140">
      <c r="A140" s="17"/>
      <c r="F140" s="19"/>
    </row>
    <row r="141">
      <c r="A141" s="17"/>
      <c r="F141" s="19"/>
    </row>
    <row r="142">
      <c r="A142" s="17"/>
      <c r="F142" s="19"/>
    </row>
    <row r="143">
      <c r="A143" s="17"/>
      <c r="F143" s="19"/>
    </row>
    <row r="144">
      <c r="A144" s="17"/>
      <c r="F144" s="18"/>
    </row>
    <row r="145">
      <c r="A145" s="17"/>
      <c r="F145" s="18"/>
    </row>
    <row r="146">
      <c r="A146" s="17"/>
      <c r="F146" s="9"/>
    </row>
    <row r="147">
      <c r="A147" s="17"/>
      <c r="F147" s="18"/>
    </row>
    <row r="148">
      <c r="A148" s="17"/>
      <c r="F148" s="9"/>
    </row>
    <row r="149">
      <c r="A149" s="17"/>
      <c r="F149" s="20"/>
    </row>
    <row r="150">
      <c r="A150" s="17"/>
      <c r="F150" s="21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</sheetData>
  <autoFilter ref="$A$1:$M$150">
    <sortState ref="A1:M150">
      <sortCondition descending="1" ref="C1:C150"/>
      <sortCondition descending="1" ref="E1:E150"/>
      <sortCondition descending="1" ref="F1:F150"/>
      <sortCondition descending="1" ref="G1:G150"/>
      <sortCondition descending="1" ref="H1:H150"/>
      <sortCondition descending="1" ref="I1:I150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  <col customWidth="1" min="2" max="63" width="3.88"/>
    <col customWidth="1" min="64" max="68" width="3.38"/>
  </cols>
  <sheetData>
    <row r="1">
      <c r="A1" s="22" t="s">
        <v>134</v>
      </c>
      <c r="B1" s="22" t="s">
        <v>132</v>
      </c>
      <c r="C1" s="22" t="s">
        <v>135</v>
      </c>
      <c r="D1" s="22" t="s">
        <v>18</v>
      </c>
      <c r="E1" s="22" t="s">
        <v>82</v>
      </c>
      <c r="F1" s="22" t="s">
        <v>136</v>
      </c>
      <c r="G1" s="22" t="s">
        <v>70</v>
      </c>
      <c r="H1" s="22" t="s">
        <v>60</v>
      </c>
      <c r="I1" s="22" t="s">
        <v>137</v>
      </c>
      <c r="J1" s="22" t="s">
        <v>138</v>
      </c>
      <c r="K1" s="22" t="s">
        <v>47</v>
      </c>
      <c r="L1" s="22" t="s">
        <v>94</v>
      </c>
      <c r="M1" s="22" t="s">
        <v>35</v>
      </c>
      <c r="N1" s="22" t="s">
        <v>139</v>
      </c>
      <c r="O1" s="22" t="s">
        <v>37</v>
      </c>
      <c r="P1" s="22" t="s">
        <v>26</v>
      </c>
      <c r="Q1" s="22" t="s">
        <v>55</v>
      </c>
      <c r="R1" s="22" t="s">
        <v>112</v>
      </c>
      <c r="S1" s="22" t="s">
        <v>65</v>
      </c>
      <c r="T1" s="22" t="s">
        <v>69</v>
      </c>
      <c r="U1" s="22" t="s">
        <v>78</v>
      </c>
      <c r="V1" s="22" t="s">
        <v>58</v>
      </c>
      <c r="W1" s="22" t="s">
        <v>124</v>
      </c>
      <c r="X1" s="22" t="s">
        <v>91</v>
      </c>
      <c r="Y1" s="22" t="s">
        <v>48</v>
      </c>
      <c r="Z1" s="22" t="s">
        <v>98</v>
      </c>
      <c r="AA1" s="22" t="s">
        <v>41</v>
      </c>
      <c r="AB1" s="22" t="s">
        <v>84</v>
      </c>
      <c r="AC1" s="22" t="s">
        <v>140</v>
      </c>
      <c r="AD1" s="22" t="s">
        <v>141</v>
      </c>
      <c r="AE1" s="22" t="s">
        <v>107</v>
      </c>
      <c r="AF1" s="22" t="s">
        <v>142</v>
      </c>
      <c r="AG1" s="22" t="s">
        <v>92</v>
      </c>
      <c r="AH1" s="22" t="s">
        <v>102</v>
      </c>
      <c r="AI1" s="23" t="s">
        <v>76</v>
      </c>
      <c r="AJ1" s="22" t="s">
        <v>114</v>
      </c>
      <c r="AK1" s="22" t="s">
        <v>106</v>
      </c>
      <c r="AL1" s="22" t="s">
        <v>28</v>
      </c>
      <c r="AM1" s="22" t="s">
        <v>143</v>
      </c>
      <c r="AN1" s="22" t="s">
        <v>67</v>
      </c>
      <c r="AO1" s="22" t="s">
        <v>100</v>
      </c>
      <c r="AP1" s="22" t="s">
        <v>21</v>
      </c>
      <c r="AQ1" s="22" t="s">
        <v>144</v>
      </c>
      <c r="AR1" s="22" t="s">
        <v>15</v>
      </c>
      <c r="AS1" s="22" t="s">
        <v>33</v>
      </c>
      <c r="AT1" s="23" t="s">
        <v>120</v>
      </c>
      <c r="AU1" s="22" t="s">
        <v>104</v>
      </c>
      <c r="AV1" s="23" t="s">
        <v>145</v>
      </c>
      <c r="AW1" s="22" t="s">
        <v>39</v>
      </c>
      <c r="AX1" s="22" t="s">
        <v>30</v>
      </c>
      <c r="AY1" s="22" t="s">
        <v>90</v>
      </c>
      <c r="AZ1" s="22" t="s">
        <v>97</v>
      </c>
      <c r="BA1" s="22" t="s">
        <v>127</v>
      </c>
      <c r="BB1" s="22" t="s">
        <v>118</v>
      </c>
      <c r="BC1" s="22" t="s">
        <v>146</v>
      </c>
      <c r="BD1" s="22" t="s">
        <v>72</v>
      </c>
      <c r="BE1" s="22" t="s">
        <v>42</v>
      </c>
      <c r="BF1" s="22" t="s">
        <v>128</v>
      </c>
      <c r="BG1" s="22" t="s">
        <v>63</v>
      </c>
      <c r="BH1" s="22" t="s">
        <v>11</v>
      </c>
      <c r="BI1" s="22" t="s">
        <v>116</v>
      </c>
      <c r="BJ1" s="24" t="s">
        <v>147</v>
      </c>
      <c r="BK1" s="25"/>
      <c r="BL1" s="22"/>
      <c r="BM1" s="22"/>
      <c r="BN1" s="22"/>
      <c r="BO1" s="22"/>
      <c r="BP1" s="22"/>
    </row>
    <row r="2">
      <c r="A2" s="26" t="s">
        <v>148</v>
      </c>
      <c r="B2" s="27">
        <v>2.0</v>
      </c>
      <c r="C2" s="27">
        <v>3.0</v>
      </c>
      <c r="D2" s="27">
        <v>5.0</v>
      </c>
      <c r="E2" s="27">
        <v>4.0</v>
      </c>
      <c r="F2" s="27">
        <v>3.0</v>
      </c>
      <c r="G2" s="27">
        <v>4.0</v>
      </c>
      <c r="H2" s="27">
        <v>4.0</v>
      </c>
      <c r="I2" s="27">
        <v>2.0</v>
      </c>
      <c r="J2" s="27">
        <v>3.0</v>
      </c>
      <c r="K2" s="27">
        <v>4.0</v>
      </c>
      <c r="L2" s="27">
        <v>1.0</v>
      </c>
      <c r="M2" s="27">
        <v>4.0</v>
      </c>
      <c r="N2" s="27">
        <v>4.0</v>
      </c>
      <c r="O2" s="27">
        <v>4.0</v>
      </c>
      <c r="P2" s="27">
        <v>4.0</v>
      </c>
      <c r="Q2" s="27">
        <v>3.0</v>
      </c>
      <c r="R2" s="27">
        <v>3.0</v>
      </c>
      <c r="S2" s="27">
        <v>3.0</v>
      </c>
      <c r="T2" s="27">
        <v>2.0</v>
      </c>
      <c r="U2" s="27">
        <v>3.0</v>
      </c>
      <c r="V2" s="27">
        <v>4.0</v>
      </c>
      <c r="W2" s="27">
        <v>3.0</v>
      </c>
      <c r="X2" s="27">
        <v>4.0</v>
      </c>
      <c r="Y2" s="27">
        <v>3.0</v>
      </c>
      <c r="Z2" s="27">
        <v>3.0</v>
      </c>
      <c r="AA2" s="27">
        <v>4.0</v>
      </c>
      <c r="AB2" s="27">
        <v>3.0</v>
      </c>
      <c r="AC2" s="27">
        <v>3.0</v>
      </c>
      <c r="AD2" s="27">
        <v>2.0</v>
      </c>
      <c r="AE2" s="27">
        <v>3.0</v>
      </c>
      <c r="AF2" s="27">
        <v>4.0</v>
      </c>
      <c r="AG2" s="27">
        <v>3.0</v>
      </c>
      <c r="AH2" s="27">
        <v>3.0</v>
      </c>
      <c r="AI2" s="27">
        <v>2.0</v>
      </c>
      <c r="AJ2" s="27">
        <v>2.0</v>
      </c>
      <c r="AK2" s="27">
        <v>3.0</v>
      </c>
      <c r="AL2" s="27">
        <v>5.0</v>
      </c>
      <c r="AM2" s="27">
        <v>3.0</v>
      </c>
      <c r="AN2" s="27">
        <v>4.0</v>
      </c>
      <c r="AO2" s="27">
        <v>4.0</v>
      </c>
      <c r="AP2" s="27">
        <v>4.0</v>
      </c>
      <c r="AQ2" s="27">
        <v>3.0</v>
      </c>
      <c r="AR2" s="27">
        <v>4.0</v>
      </c>
      <c r="AS2" s="27">
        <v>4.0</v>
      </c>
      <c r="AT2" s="27">
        <v>3.0</v>
      </c>
      <c r="AU2" s="27">
        <v>3.0</v>
      </c>
      <c r="AV2" s="27">
        <v>2.0</v>
      </c>
      <c r="AW2" s="27">
        <v>5.0</v>
      </c>
      <c r="AX2" s="27">
        <v>4.0</v>
      </c>
      <c r="AY2" s="27">
        <v>4.0</v>
      </c>
      <c r="AZ2" s="27">
        <v>2.0</v>
      </c>
      <c r="BA2" s="27">
        <v>3.0</v>
      </c>
      <c r="BB2" s="27">
        <v>3.0</v>
      </c>
      <c r="BC2" s="27">
        <v>2.0</v>
      </c>
      <c r="BD2" s="27">
        <v>4.0</v>
      </c>
      <c r="BE2" s="27">
        <v>5.0</v>
      </c>
      <c r="BF2" s="27">
        <v>3.0</v>
      </c>
      <c r="BG2" s="27">
        <v>3.0</v>
      </c>
      <c r="BH2" s="27">
        <v>4.0</v>
      </c>
      <c r="BI2" s="27">
        <v>3.0</v>
      </c>
      <c r="BJ2" s="28">
        <f t="shared" ref="BJ2:BJ60" si="1">SUM(B2:BI2)</f>
        <v>198</v>
      </c>
      <c r="BK2" s="29">
        <f t="shared" ref="BK2:BK60" si="2">(BJ2-$B$73)/$B$73</f>
        <v>0.003091190108</v>
      </c>
      <c r="BL2" s="27"/>
      <c r="BM2" s="27"/>
      <c r="BN2" s="27"/>
      <c r="BO2" s="27"/>
      <c r="BP2" s="27"/>
    </row>
    <row r="3">
      <c r="A3" s="22" t="s">
        <v>149</v>
      </c>
      <c r="B3" s="30">
        <v>1.0</v>
      </c>
      <c r="C3" s="27">
        <v>4.0</v>
      </c>
      <c r="D3" s="27">
        <v>3.0</v>
      </c>
      <c r="E3" s="27">
        <v>3.0</v>
      </c>
      <c r="F3" s="27">
        <v>4.0</v>
      </c>
      <c r="G3" s="27">
        <v>1.0</v>
      </c>
      <c r="H3" s="27">
        <v>3.0</v>
      </c>
      <c r="I3" s="27">
        <v>4.0</v>
      </c>
      <c r="J3" s="27">
        <v>5.0</v>
      </c>
      <c r="K3" s="27">
        <v>4.0</v>
      </c>
      <c r="L3" s="27">
        <v>3.0</v>
      </c>
      <c r="M3" s="27">
        <v>5.0</v>
      </c>
      <c r="N3" s="27">
        <v>3.0</v>
      </c>
      <c r="O3" s="27">
        <v>2.0</v>
      </c>
      <c r="P3" s="27">
        <v>4.0</v>
      </c>
      <c r="Q3" s="27">
        <v>4.0</v>
      </c>
      <c r="R3" s="27">
        <v>2.0</v>
      </c>
      <c r="S3" s="27">
        <v>3.0</v>
      </c>
      <c r="T3" s="27">
        <v>3.0</v>
      </c>
      <c r="U3" s="27">
        <v>4.0</v>
      </c>
      <c r="V3" s="27">
        <v>3.0</v>
      </c>
      <c r="W3" s="27">
        <v>3.0</v>
      </c>
      <c r="X3" s="27">
        <v>3.0</v>
      </c>
      <c r="Y3" s="27">
        <v>1.0</v>
      </c>
      <c r="Z3" s="27">
        <v>3.0</v>
      </c>
      <c r="AA3" s="27">
        <v>3.0</v>
      </c>
      <c r="AB3" s="27">
        <v>2.0</v>
      </c>
      <c r="AC3" s="27">
        <v>4.0</v>
      </c>
      <c r="AD3" s="27">
        <v>3.0</v>
      </c>
      <c r="AE3" s="27">
        <v>2.0</v>
      </c>
      <c r="AF3" s="27">
        <v>3.0</v>
      </c>
      <c r="AG3" s="27">
        <v>2.0</v>
      </c>
      <c r="AH3" s="27">
        <v>2.0</v>
      </c>
      <c r="AI3" s="27">
        <v>3.0</v>
      </c>
      <c r="AJ3" s="27">
        <v>3.0</v>
      </c>
      <c r="AK3" s="27">
        <v>3.0</v>
      </c>
      <c r="AL3" s="27">
        <v>3.0</v>
      </c>
      <c r="AM3" s="27">
        <v>4.0</v>
      </c>
      <c r="AN3" s="27">
        <v>3.0</v>
      </c>
      <c r="AO3" s="27">
        <v>3.0</v>
      </c>
      <c r="AP3" s="27">
        <v>4.0</v>
      </c>
      <c r="AQ3" s="27">
        <v>3.0</v>
      </c>
      <c r="AR3" s="27">
        <v>4.0</v>
      </c>
      <c r="AS3" s="27">
        <v>3.0</v>
      </c>
      <c r="AT3" s="27">
        <v>2.0</v>
      </c>
      <c r="AU3" s="27">
        <v>3.0</v>
      </c>
      <c r="AV3" s="27">
        <v>3.0</v>
      </c>
      <c r="AW3" s="27">
        <v>3.0</v>
      </c>
      <c r="AX3" s="27">
        <v>3.0</v>
      </c>
      <c r="AY3" s="27">
        <v>3.0</v>
      </c>
      <c r="AZ3" s="27">
        <v>4.0</v>
      </c>
      <c r="BA3" s="27">
        <v>3.0</v>
      </c>
      <c r="BB3" s="27">
        <v>1.0</v>
      </c>
      <c r="BC3" s="27">
        <v>1.0</v>
      </c>
      <c r="BD3" s="27">
        <v>3.0</v>
      </c>
      <c r="BE3" s="27">
        <v>2.0</v>
      </c>
      <c r="BF3" s="27">
        <v>2.0</v>
      </c>
      <c r="BG3" s="27">
        <v>3.0</v>
      </c>
      <c r="BH3" s="27">
        <v>5.0</v>
      </c>
      <c r="BI3" s="27">
        <v>3.0</v>
      </c>
      <c r="BJ3" s="28">
        <f t="shared" si="1"/>
        <v>179</v>
      </c>
      <c r="BK3" s="29">
        <f t="shared" si="2"/>
        <v>-0.09316503521</v>
      </c>
      <c r="BL3" s="27"/>
      <c r="BM3" s="27"/>
      <c r="BN3" s="27"/>
      <c r="BO3" s="27"/>
      <c r="BP3" s="27"/>
    </row>
    <row r="4">
      <c r="A4" s="22" t="s">
        <v>150</v>
      </c>
      <c r="B4" s="27">
        <v>2.0</v>
      </c>
      <c r="C4" s="30">
        <v>1.0</v>
      </c>
      <c r="D4" s="27">
        <v>3.0</v>
      </c>
      <c r="E4" s="27">
        <v>3.0</v>
      </c>
      <c r="F4" s="27">
        <v>4.0</v>
      </c>
      <c r="G4" s="27">
        <v>3.0</v>
      </c>
      <c r="H4" s="27">
        <v>3.0</v>
      </c>
      <c r="I4" s="27">
        <v>3.0</v>
      </c>
      <c r="J4" s="27">
        <v>5.0</v>
      </c>
      <c r="K4" s="27">
        <v>3.0</v>
      </c>
      <c r="L4" s="27">
        <v>3.0</v>
      </c>
      <c r="M4" s="27">
        <v>5.0</v>
      </c>
      <c r="N4" s="27">
        <v>3.0</v>
      </c>
      <c r="O4" s="27">
        <v>2.0</v>
      </c>
      <c r="P4" s="27">
        <v>3.0</v>
      </c>
      <c r="Q4" s="27">
        <v>3.0</v>
      </c>
      <c r="R4" s="27">
        <v>2.0</v>
      </c>
      <c r="S4" s="27">
        <v>2.0</v>
      </c>
      <c r="T4" s="27">
        <v>5.0</v>
      </c>
      <c r="U4" s="27">
        <v>4.0</v>
      </c>
      <c r="V4" s="27">
        <v>3.0</v>
      </c>
      <c r="W4" s="27">
        <v>3.0</v>
      </c>
      <c r="X4" s="27">
        <v>2.0</v>
      </c>
      <c r="Y4" s="27">
        <v>4.0</v>
      </c>
      <c r="Z4" s="27">
        <v>3.0</v>
      </c>
      <c r="AA4" s="27">
        <v>2.0</v>
      </c>
      <c r="AB4" s="27">
        <v>3.0</v>
      </c>
      <c r="AC4" s="27">
        <v>3.0</v>
      </c>
      <c r="AD4" s="27">
        <v>2.0</v>
      </c>
      <c r="AE4" s="27">
        <v>3.0</v>
      </c>
      <c r="AF4" s="27">
        <v>3.0</v>
      </c>
      <c r="AG4" s="27">
        <v>3.0</v>
      </c>
      <c r="AH4" s="27">
        <v>4.0</v>
      </c>
      <c r="AI4" s="27">
        <v>4.0</v>
      </c>
      <c r="AJ4" s="27">
        <v>2.0</v>
      </c>
      <c r="AK4" s="27">
        <v>3.0</v>
      </c>
      <c r="AL4" s="27">
        <v>3.0</v>
      </c>
      <c r="AM4" s="27">
        <v>3.0</v>
      </c>
      <c r="AN4" s="27">
        <v>3.0</v>
      </c>
      <c r="AO4" s="27">
        <v>2.0</v>
      </c>
      <c r="AP4" s="27">
        <v>3.0</v>
      </c>
      <c r="AQ4" s="27">
        <v>3.0</v>
      </c>
      <c r="AR4" s="27">
        <v>5.0</v>
      </c>
      <c r="AS4" s="27">
        <v>3.0</v>
      </c>
      <c r="AT4" s="27">
        <v>4.0</v>
      </c>
      <c r="AU4" s="27">
        <v>2.0</v>
      </c>
      <c r="AV4" s="27">
        <v>3.0</v>
      </c>
      <c r="AW4" s="27">
        <v>5.0</v>
      </c>
      <c r="AX4" s="27">
        <v>4.0</v>
      </c>
      <c r="AY4" s="27">
        <v>3.0</v>
      </c>
      <c r="AZ4" s="27">
        <v>4.0</v>
      </c>
      <c r="BA4" s="27">
        <v>2.0</v>
      </c>
      <c r="BB4" s="27">
        <v>3.0</v>
      </c>
      <c r="BC4" s="27">
        <v>5.0</v>
      </c>
      <c r="BD4" s="27">
        <v>2.0</v>
      </c>
      <c r="BE4" s="27">
        <v>3.0</v>
      </c>
      <c r="BF4" s="27">
        <v>3.0</v>
      </c>
      <c r="BG4" s="27">
        <v>5.0</v>
      </c>
      <c r="BH4" s="27">
        <v>3.0</v>
      </c>
      <c r="BI4" s="27">
        <v>3.0</v>
      </c>
      <c r="BJ4" s="28">
        <f t="shared" si="1"/>
        <v>188</v>
      </c>
      <c r="BK4" s="29">
        <f t="shared" si="2"/>
        <v>-0.04756998111</v>
      </c>
      <c r="BL4" s="27"/>
      <c r="BM4" s="27"/>
      <c r="BN4" s="27"/>
      <c r="BO4" s="27"/>
      <c r="BP4" s="27"/>
    </row>
    <row r="5">
      <c r="A5" s="22" t="s">
        <v>151</v>
      </c>
      <c r="B5" s="27">
        <v>1.0</v>
      </c>
      <c r="C5" s="27">
        <v>4.0</v>
      </c>
      <c r="D5" s="30">
        <v>1.0</v>
      </c>
      <c r="E5" s="27">
        <v>2.0</v>
      </c>
      <c r="F5" s="27">
        <v>3.0</v>
      </c>
      <c r="G5" s="27">
        <v>4.0</v>
      </c>
      <c r="H5" s="27">
        <v>3.0</v>
      </c>
      <c r="I5" s="27">
        <v>3.0</v>
      </c>
      <c r="J5" s="27">
        <v>5.0</v>
      </c>
      <c r="K5" s="27">
        <v>4.0</v>
      </c>
      <c r="L5" s="27">
        <v>2.0</v>
      </c>
      <c r="M5" s="27">
        <v>3.0</v>
      </c>
      <c r="N5" s="27">
        <v>2.0</v>
      </c>
      <c r="O5" s="27">
        <v>3.0</v>
      </c>
      <c r="P5" s="27">
        <v>4.0</v>
      </c>
      <c r="Q5" s="27">
        <v>2.0</v>
      </c>
      <c r="R5" s="27">
        <v>5.0</v>
      </c>
      <c r="S5" s="27">
        <v>3.0</v>
      </c>
      <c r="T5" s="27">
        <v>2.0</v>
      </c>
      <c r="U5" s="27">
        <v>1.0</v>
      </c>
      <c r="V5" s="27">
        <v>3.0</v>
      </c>
      <c r="W5" s="27">
        <v>2.0</v>
      </c>
      <c r="X5" s="27">
        <v>2.0</v>
      </c>
      <c r="Y5" s="27">
        <v>5.0</v>
      </c>
      <c r="Z5" s="27">
        <v>3.0</v>
      </c>
      <c r="AA5" s="27">
        <v>3.0</v>
      </c>
      <c r="AB5" s="27">
        <v>2.0</v>
      </c>
      <c r="AC5" s="27">
        <v>3.0</v>
      </c>
      <c r="AD5" s="27">
        <v>2.0</v>
      </c>
      <c r="AE5" s="27">
        <v>3.0</v>
      </c>
      <c r="AF5" s="27">
        <v>2.0</v>
      </c>
      <c r="AG5" s="27">
        <v>2.0</v>
      </c>
      <c r="AH5" s="27">
        <v>2.0</v>
      </c>
      <c r="AI5" s="27">
        <v>5.0</v>
      </c>
      <c r="AJ5" s="27">
        <v>2.0</v>
      </c>
      <c r="AK5" s="27">
        <v>3.0</v>
      </c>
      <c r="AL5" s="27">
        <v>4.0</v>
      </c>
      <c r="AM5" s="27">
        <v>3.0</v>
      </c>
      <c r="AN5" s="27">
        <v>3.0</v>
      </c>
      <c r="AO5" s="27">
        <v>2.0</v>
      </c>
      <c r="AP5" s="27">
        <v>5.0</v>
      </c>
      <c r="AQ5" s="27">
        <v>2.0</v>
      </c>
      <c r="AR5" s="27">
        <v>3.0</v>
      </c>
      <c r="AS5" s="27">
        <v>3.0</v>
      </c>
      <c r="AT5" s="27">
        <v>2.0</v>
      </c>
      <c r="AU5" s="27">
        <v>2.0</v>
      </c>
      <c r="AV5" s="27">
        <v>3.0</v>
      </c>
      <c r="AW5" s="27">
        <v>2.0</v>
      </c>
      <c r="AX5" s="27">
        <v>3.0</v>
      </c>
      <c r="AY5" s="27">
        <v>2.0</v>
      </c>
      <c r="AZ5" s="27">
        <v>2.0</v>
      </c>
      <c r="BA5" s="27">
        <v>2.0</v>
      </c>
      <c r="BB5" s="27">
        <v>3.0</v>
      </c>
      <c r="BC5" s="27">
        <v>3.0</v>
      </c>
      <c r="BD5" s="27">
        <v>2.0</v>
      </c>
      <c r="BE5" s="27">
        <v>3.0</v>
      </c>
      <c r="BF5" s="27">
        <v>2.0</v>
      </c>
      <c r="BG5" s="27">
        <v>3.0</v>
      </c>
      <c r="BH5" s="27">
        <v>5.0</v>
      </c>
      <c r="BI5" s="27">
        <v>2.0</v>
      </c>
      <c r="BJ5" s="28">
        <f t="shared" si="1"/>
        <v>167</v>
      </c>
      <c r="BK5" s="29">
        <f t="shared" si="2"/>
        <v>-0.1539584407</v>
      </c>
      <c r="BL5" s="27"/>
      <c r="BM5" s="27"/>
      <c r="BN5" s="27"/>
      <c r="BO5" s="27"/>
      <c r="BP5" s="27"/>
    </row>
    <row r="6">
      <c r="A6" s="22" t="s">
        <v>152</v>
      </c>
      <c r="B6" s="27">
        <v>3.0</v>
      </c>
      <c r="C6" s="27">
        <v>4.0</v>
      </c>
      <c r="D6" s="27">
        <v>5.0</v>
      </c>
      <c r="E6" s="30">
        <v>1.0</v>
      </c>
      <c r="F6" s="27">
        <v>4.0</v>
      </c>
      <c r="G6" s="27">
        <v>3.0</v>
      </c>
      <c r="H6" s="27">
        <v>5.0</v>
      </c>
      <c r="I6" s="27">
        <v>3.0</v>
      </c>
      <c r="J6" s="27">
        <v>5.0</v>
      </c>
      <c r="K6" s="27">
        <v>4.0</v>
      </c>
      <c r="L6" s="27">
        <v>3.0</v>
      </c>
      <c r="M6" s="27">
        <v>5.0</v>
      </c>
      <c r="N6" s="27">
        <v>4.0</v>
      </c>
      <c r="O6" s="27">
        <v>4.0</v>
      </c>
      <c r="P6" s="27">
        <v>3.0</v>
      </c>
      <c r="Q6" s="27">
        <v>5.0</v>
      </c>
      <c r="R6" s="27">
        <v>2.0</v>
      </c>
      <c r="S6" s="27">
        <v>4.0</v>
      </c>
      <c r="T6" s="27">
        <v>3.0</v>
      </c>
      <c r="U6" s="27">
        <v>4.0</v>
      </c>
      <c r="V6" s="27">
        <v>4.0</v>
      </c>
      <c r="W6" s="27">
        <v>3.0</v>
      </c>
      <c r="X6" s="27">
        <v>4.0</v>
      </c>
      <c r="Y6" s="27">
        <v>2.0</v>
      </c>
      <c r="Z6" s="27">
        <v>3.0</v>
      </c>
      <c r="AA6" s="27">
        <v>4.0</v>
      </c>
      <c r="AB6" s="27">
        <v>4.0</v>
      </c>
      <c r="AC6" s="27">
        <v>3.0</v>
      </c>
      <c r="AD6" s="27">
        <v>1.0</v>
      </c>
      <c r="AE6" s="27">
        <v>3.0</v>
      </c>
      <c r="AF6" s="27">
        <v>4.0</v>
      </c>
      <c r="AG6" s="27">
        <v>3.0</v>
      </c>
      <c r="AH6" s="27">
        <v>3.0</v>
      </c>
      <c r="AI6" s="27">
        <v>3.0</v>
      </c>
      <c r="AJ6" s="27">
        <v>5.0</v>
      </c>
      <c r="AK6" s="27">
        <v>3.0</v>
      </c>
      <c r="AL6" s="27">
        <v>4.0</v>
      </c>
      <c r="AM6" s="27">
        <v>4.0</v>
      </c>
      <c r="AN6" s="27">
        <v>3.0</v>
      </c>
      <c r="AO6" s="27">
        <v>4.0</v>
      </c>
      <c r="AP6" s="27">
        <v>5.0</v>
      </c>
      <c r="AQ6" s="27">
        <v>3.0</v>
      </c>
      <c r="AR6" s="27">
        <v>5.0</v>
      </c>
      <c r="AS6" s="27">
        <v>4.0</v>
      </c>
      <c r="AT6" s="27">
        <v>3.0</v>
      </c>
      <c r="AU6" s="27">
        <v>3.0</v>
      </c>
      <c r="AV6" s="27">
        <v>3.0</v>
      </c>
      <c r="AW6" s="27">
        <v>4.0</v>
      </c>
      <c r="AX6" s="27">
        <v>4.0</v>
      </c>
      <c r="AY6" s="27">
        <v>3.0</v>
      </c>
      <c r="AZ6" s="27">
        <v>4.0</v>
      </c>
      <c r="BA6" s="27">
        <v>4.0</v>
      </c>
      <c r="BB6" s="27">
        <v>3.0</v>
      </c>
      <c r="BC6" s="27">
        <v>1.0</v>
      </c>
      <c r="BD6" s="27">
        <v>3.0</v>
      </c>
      <c r="BE6" s="27">
        <v>5.0</v>
      </c>
      <c r="BF6" s="27">
        <v>3.0</v>
      </c>
      <c r="BG6" s="27">
        <v>4.0</v>
      </c>
      <c r="BH6" s="27">
        <v>5.0</v>
      </c>
      <c r="BI6" s="27">
        <v>3.0</v>
      </c>
      <c r="BJ6" s="28">
        <f t="shared" si="1"/>
        <v>213</v>
      </c>
      <c r="BK6" s="29">
        <f t="shared" si="2"/>
        <v>0.07908294693</v>
      </c>
      <c r="BL6" s="27"/>
      <c r="BM6" s="27"/>
      <c r="BN6" s="27"/>
      <c r="BO6" s="27"/>
      <c r="BP6" s="27"/>
    </row>
    <row r="7">
      <c r="A7" s="22" t="s">
        <v>153</v>
      </c>
      <c r="B7" s="27">
        <v>3.0</v>
      </c>
      <c r="C7" s="27">
        <v>3.0</v>
      </c>
      <c r="D7" s="27">
        <v>4.0</v>
      </c>
      <c r="E7" s="27">
        <v>3.0</v>
      </c>
      <c r="F7" s="30">
        <v>1.0</v>
      </c>
      <c r="G7" s="27">
        <v>4.0</v>
      </c>
      <c r="H7" s="27">
        <v>4.0</v>
      </c>
      <c r="I7" s="27">
        <v>4.0</v>
      </c>
      <c r="J7" s="27">
        <v>4.0</v>
      </c>
      <c r="K7" s="27">
        <v>4.0</v>
      </c>
      <c r="L7" s="27">
        <v>4.0</v>
      </c>
      <c r="M7" s="27">
        <v>5.0</v>
      </c>
      <c r="N7" s="27">
        <v>3.0</v>
      </c>
      <c r="O7" s="27">
        <v>4.0</v>
      </c>
      <c r="P7" s="27">
        <v>5.0</v>
      </c>
      <c r="Q7" s="27">
        <v>3.0</v>
      </c>
      <c r="R7" s="27">
        <v>4.0</v>
      </c>
      <c r="S7" s="27">
        <v>3.0</v>
      </c>
      <c r="T7" s="27">
        <v>3.0</v>
      </c>
      <c r="U7" s="27">
        <v>4.0</v>
      </c>
      <c r="V7" s="27">
        <v>3.0</v>
      </c>
      <c r="W7" s="27">
        <v>3.0</v>
      </c>
      <c r="X7" s="27">
        <v>3.0</v>
      </c>
      <c r="Y7" s="27">
        <v>4.0</v>
      </c>
      <c r="Z7" s="27">
        <v>5.0</v>
      </c>
      <c r="AA7" s="27">
        <v>4.0</v>
      </c>
      <c r="AB7" s="27">
        <v>3.0</v>
      </c>
      <c r="AC7" s="27">
        <v>4.0</v>
      </c>
      <c r="AD7" s="27">
        <v>3.0</v>
      </c>
      <c r="AE7" s="27">
        <v>4.0</v>
      </c>
      <c r="AF7" s="27">
        <v>3.0</v>
      </c>
      <c r="AG7" s="27">
        <v>3.0</v>
      </c>
      <c r="AH7" s="27">
        <v>4.0</v>
      </c>
      <c r="AI7" s="27">
        <v>4.0</v>
      </c>
      <c r="AJ7" s="27">
        <v>3.0</v>
      </c>
      <c r="AK7" s="27">
        <v>4.0</v>
      </c>
      <c r="AL7" s="27">
        <v>3.0</v>
      </c>
      <c r="AM7" s="27">
        <v>3.0</v>
      </c>
      <c r="AN7" s="27">
        <v>4.0</v>
      </c>
      <c r="AO7" s="27">
        <v>3.0</v>
      </c>
      <c r="AP7" s="27">
        <v>4.0</v>
      </c>
      <c r="AQ7" s="27">
        <v>4.0</v>
      </c>
      <c r="AR7" s="27">
        <v>4.0</v>
      </c>
      <c r="AS7" s="27">
        <v>4.0</v>
      </c>
      <c r="AT7" s="27">
        <v>4.0</v>
      </c>
      <c r="AU7" s="27">
        <v>3.0</v>
      </c>
      <c r="AV7" s="27">
        <v>4.0</v>
      </c>
      <c r="AW7" s="27">
        <v>4.0</v>
      </c>
      <c r="AX7" s="27">
        <v>4.0</v>
      </c>
      <c r="AY7" s="27">
        <v>4.0</v>
      </c>
      <c r="AZ7" s="27">
        <v>4.0</v>
      </c>
      <c r="BA7" s="27">
        <v>4.0</v>
      </c>
      <c r="BB7" s="27">
        <v>3.0</v>
      </c>
      <c r="BC7" s="27">
        <v>4.0</v>
      </c>
      <c r="BD7" s="27">
        <v>4.0</v>
      </c>
      <c r="BE7" s="27">
        <v>3.0</v>
      </c>
      <c r="BF7" s="27">
        <v>3.0</v>
      </c>
      <c r="BG7" s="27">
        <v>4.0</v>
      </c>
      <c r="BH7" s="27">
        <v>4.0</v>
      </c>
      <c r="BI7" s="27">
        <v>4.0</v>
      </c>
      <c r="BJ7" s="28">
        <f t="shared" si="1"/>
        <v>218</v>
      </c>
      <c r="BK7" s="29">
        <f t="shared" si="2"/>
        <v>0.1044135325</v>
      </c>
      <c r="BL7" s="27"/>
      <c r="BM7" s="27"/>
      <c r="BN7" s="27"/>
      <c r="BO7" s="27"/>
      <c r="BP7" s="27"/>
    </row>
    <row r="8">
      <c r="A8" s="22" t="s">
        <v>154</v>
      </c>
      <c r="B8" s="27">
        <v>3.0</v>
      </c>
      <c r="C8" s="27">
        <v>3.0</v>
      </c>
      <c r="D8" s="27">
        <v>5.0</v>
      </c>
      <c r="E8" s="27">
        <v>3.0</v>
      </c>
      <c r="F8" s="27">
        <v>5.0</v>
      </c>
      <c r="G8" s="30">
        <v>1.0</v>
      </c>
      <c r="H8" s="27">
        <v>4.0</v>
      </c>
      <c r="I8" s="27">
        <v>3.0</v>
      </c>
      <c r="J8" s="27">
        <v>4.0</v>
      </c>
      <c r="K8" s="27">
        <v>4.0</v>
      </c>
      <c r="L8" s="27">
        <v>4.0</v>
      </c>
      <c r="M8" s="27">
        <v>5.0</v>
      </c>
      <c r="N8" s="27">
        <v>5.0</v>
      </c>
      <c r="O8" s="27">
        <v>5.0</v>
      </c>
      <c r="P8" s="27">
        <v>4.0</v>
      </c>
      <c r="Q8" s="27">
        <v>4.0</v>
      </c>
      <c r="R8" s="27">
        <v>3.0</v>
      </c>
      <c r="S8" s="27">
        <v>4.0</v>
      </c>
      <c r="T8" s="27">
        <v>3.0</v>
      </c>
      <c r="U8" s="27">
        <v>4.0</v>
      </c>
      <c r="V8" s="27">
        <v>4.0</v>
      </c>
      <c r="W8" s="27">
        <v>3.0</v>
      </c>
      <c r="X8" s="27">
        <v>5.0</v>
      </c>
      <c r="Y8" s="27">
        <v>4.0</v>
      </c>
      <c r="Z8" s="27">
        <v>4.0</v>
      </c>
      <c r="AA8" s="27">
        <v>4.0</v>
      </c>
      <c r="AB8" s="27">
        <v>4.0</v>
      </c>
      <c r="AC8" s="27">
        <v>4.0</v>
      </c>
      <c r="AD8" s="27">
        <v>3.0</v>
      </c>
      <c r="AE8" s="27">
        <v>3.0</v>
      </c>
      <c r="AF8" s="27">
        <v>5.0</v>
      </c>
      <c r="AG8" s="27">
        <v>4.0</v>
      </c>
      <c r="AH8" s="27">
        <v>3.0</v>
      </c>
      <c r="AI8" s="27">
        <v>4.0</v>
      </c>
      <c r="AJ8" s="27">
        <v>3.0</v>
      </c>
      <c r="AK8" s="27">
        <v>4.0</v>
      </c>
      <c r="AL8" s="27">
        <v>5.0</v>
      </c>
      <c r="AM8" s="27">
        <v>3.0</v>
      </c>
      <c r="AN8" s="27">
        <v>4.0</v>
      </c>
      <c r="AO8" s="27">
        <v>3.0</v>
      </c>
      <c r="AP8" s="27">
        <v>4.0</v>
      </c>
      <c r="AQ8" s="27">
        <v>3.0</v>
      </c>
      <c r="AR8" s="27">
        <v>4.0</v>
      </c>
      <c r="AS8" s="27">
        <v>4.0</v>
      </c>
      <c r="AT8" s="27">
        <v>3.0</v>
      </c>
      <c r="AU8" s="27">
        <v>4.0</v>
      </c>
      <c r="AV8" s="27">
        <v>4.0</v>
      </c>
      <c r="AW8" s="27">
        <v>4.0</v>
      </c>
      <c r="AX8" s="27">
        <v>5.0</v>
      </c>
      <c r="AY8" s="27">
        <v>3.0</v>
      </c>
      <c r="AZ8" s="27">
        <v>3.0</v>
      </c>
      <c r="BA8" s="27">
        <v>5.0</v>
      </c>
      <c r="BB8" s="27">
        <v>4.0</v>
      </c>
      <c r="BC8" s="27">
        <v>4.0</v>
      </c>
      <c r="BD8" s="27">
        <v>5.0</v>
      </c>
      <c r="BE8" s="27">
        <v>3.0</v>
      </c>
      <c r="BF8" s="27">
        <v>4.0</v>
      </c>
      <c r="BG8" s="27">
        <v>4.0</v>
      </c>
      <c r="BH8" s="27">
        <v>4.0</v>
      </c>
      <c r="BI8" s="27">
        <v>3.0</v>
      </c>
      <c r="BJ8" s="28">
        <f t="shared" si="1"/>
        <v>229</v>
      </c>
      <c r="BK8" s="29">
        <f t="shared" si="2"/>
        <v>0.1601408209</v>
      </c>
      <c r="BL8" s="27"/>
      <c r="BM8" s="27"/>
      <c r="BN8" s="27"/>
      <c r="BO8" s="27"/>
      <c r="BP8" s="27"/>
    </row>
    <row r="9">
      <c r="A9" s="22" t="s">
        <v>155</v>
      </c>
      <c r="B9" s="27">
        <v>4.0</v>
      </c>
      <c r="C9" s="27">
        <v>4.0</v>
      </c>
      <c r="D9" s="27">
        <v>4.0</v>
      </c>
      <c r="E9" s="27">
        <v>5.0</v>
      </c>
      <c r="F9" s="27">
        <v>4.0</v>
      </c>
      <c r="G9" s="27">
        <v>3.0</v>
      </c>
      <c r="H9" s="30">
        <v>1.0</v>
      </c>
      <c r="I9" s="27">
        <v>3.0</v>
      </c>
      <c r="J9" s="27">
        <v>3.0</v>
      </c>
      <c r="K9" s="27">
        <v>4.0</v>
      </c>
      <c r="L9" s="27">
        <v>4.0</v>
      </c>
      <c r="M9" s="27">
        <v>5.0</v>
      </c>
      <c r="N9" s="27">
        <v>2.0</v>
      </c>
      <c r="O9" s="27">
        <v>3.0</v>
      </c>
      <c r="P9" s="27">
        <v>3.0</v>
      </c>
      <c r="Q9" s="27">
        <v>3.0</v>
      </c>
      <c r="R9" s="27">
        <v>2.0</v>
      </c>
      <c r="S9" s="27">
        <v>3.0</v>
      </c>
      <c r="T9" s="27">
        <v>2.0</v>
      </c>
      <c r="U9" s="27">
        <v>2.0</v>
      </c>
      <c r="V9" s="27">
        <v>2.0</v>
      </c>
      <c r="W9" s="27">
        <v>3.0</v>
      </c>
      <c r="X9" s="27">
        <v>4.0</v>
      </c>
      <c r="Y9" s="27">
        <v>4.0</v>
      </c>
      <c r="Z9" s="27">
        <v>5.0</v>
      </c>
      <c r="AA9" s="27">
        <v>5.0</v>
      </c>
      <c r="AB9" s="27">
        <v>4.0</v>
      </c>
      <c r="AC9" s="27">
        <v>4.0</v>
      </c>
      <c r="AD9" s="27">
        <v>3.0</v>
      </c>
      <c r="AE9" s="27">
        <v>2.0</v>
      </c>
      <c r="AF9" s="27">
        <v>4.0</v>
      </c>
      <c r="AG9" s="27">
        <v>2.0</v>
      </c>
      <c r="AH9" s="27">
        <v>3.0</v>
      </c>
      <c r="AI9" s="27">
        <v>4.0</v>
      </c>
      <c r="AJ9" s="27">
        <v>3.0</v>
      </c>
      <c r="AK9" s="27">
        <v>5.0</v>
      </c>
      <c r="AL9" s="27">
        <v>4.0</v>
      </c>
      <c r="AM9" s="27">
        <v>4.0</v>
      </c>
      <c r="AN9" s="27">
        <v>4.0</v>
      </c>
      <c r="AO9" s="27">
        <v>2.0</v>
      </c>
      <c r="AP9" s="27">
        <v>4.0</v>
      </c>
      <c r="AQ9" s="27">
        <v>4.0</v>
      </c>
      <c r="AR9" s="27">
        <v>4.0</v>
      </c>
      <c r="AS9" s="27">
        <v>5.0</v>
      </c>
      <c r="AT9" s="27">
        <v>4.0</v>
      </c>
      <c r="AU9" s="27">
        <v>4.0</v>
      </c>
      <c r="AV9" s="27">
        <v>4.0</v>
      </c>
      <c r="AW9" s="27">
        <v>3.0</v>
      </c>
      <c r="AX9" s="27">
        <v>5.0</v>
      </c>
      <c r="AY9" s="27">
        <v>3.0</v>
      </c>
      <c r="AZ9" s="27">
        <v>5.0</v>
      </c>
      <c r="BA9" s="27">
        <v>2.0</v>
      </c>
      <c r="BB9" s="27">
        <v>4.0</v>
      </c>
      <c r="BC9" s="27">
        <v>2.0</v>
      </c>
      <c r="BD9" s="27">
        <v>3.0</v>
      </c>
      <c r="BE9" s="27">
        <v>4.0</v>
      </c>
      <c r="BF9" s="27">
        <v>2.0</v>
      </c>
      <c r="BG9" s="27">
        <v>5.0</v>
      </c>
      <c r="BH9" s="27">
        <v>5.0</v>
      </c>
      <c r="BI9" s="27">
        <v>3.0</v>
      </c>
      <c r="BJ9" s="28">
        <f t="shared" si="1"/>
        <v>210</v>
      </c>
      <c r="BK9" s="29">
        <f t="shared" si="2"/>
        <v>0.06388459557</v>
      </c>
      <c r="BL9" s="27"/>
      <c r="BM9" s="27"/>
      <c r="BN9" s="27"/>
      <c r="BO9" s="27"/>
      <c r="BP9" s="27"/>
    </row>
    <row r="10">
      <c r="A10" s="22" t="s">
        <v>156</v>
      </c>
      <c r="B10" s="27">
        <v>2.0</v>
      </c>
      <c r="C10" s="27">
        <v>4.0</v>
      </c>
      <c r="D10" s="27">
        <v>4.0</v>
      </c>
      <c r="E10" s="27">
        <v>4.0</v>
      </c>
      <c r="F10" s="27">
        <v>4.0</v>
      </c>
      <c r="G10" s="27">
        <v>3.0</v>
      </c>
      <c r="H10" s="27">
        <v>4.0</v>
      </c>
      <c r="I10" s="30">
        <v>1.0</v>
      </c>
      <c r="J10" s="27">
        <v>5.0</v>
      </c>
      <c r="K10" s="27">
        <v>3.0</v>
      </c>
      <c r="L10" s="27">
        <v>4.0</v>
      </c>
      <c r="M10" s="27">
        <v>3.0</v>
      </c>
      <c r="N10" s="27">
        <v>3.0</v>
      </c>
      <c r="O10" s="27">
        <v>2.0</v>
      </c>
      <c r="P10" s="27">
        <v>4.0</v>
      </c>
      <c r="Q10" s="27">
        <v>3.0</v>
      </c>
      <c r="R10" s="27">
        <v>2.0</v>
      </c>
      <c r="S10" s="27">
        <v>4.0</v>
      </c>
      <c r="T10" s="27">
        <v>3.0</v>
      </c>
      <c r="U10" s="27">
        <v>2.0</v>
      </c>
      <c r="V10" s="27">
        <v>2.0</v>
      </c>
      <c r="W10" s="27">
        <v>3.0</v>
      </c>
      <c r="X10" s="27">
        <v>3.0</v>
      </c>
      <c r="Y10" s="27">
        <v>2.0</v>
      </c>
      <c r="Z10" s="27">
        <v>4.0</v>
      </c>
      <c r="AA10" s="27">
        <v>3.0</v>
      </c>
      <c r="AB10" s="27">
        <v>3.0</v>
      </c>
      <c r="AC10" s="27">
        <v>3.0</v>
      </c>
      <c r="AD10" s="27">
        <v>2.0</v>
      </c>
      <c r="AE10" s="27">
        <v>2.0</v>
      </c>
      <c r="AF10" s="27">
        <v>2.0</v>
      </c>
      <c r="AG10" s="27">
        <v>3.0</v>
      </c>
      <c r="AH10" s="27">
        <v>2.0</v>
      </c>
      <c r="AI10" s="27">
        <v>3.0</v>
      </c>
      <c r="AJ10" s="27">
        <v>2.0</v>
      </c>
      <c r="AK10" s="27">
        <v>3.0</v>
      </c>
      <c r="AL10" s="27">
        <v>5.0</v>
      </c>
      <c r="AM10" s="27">
        <v>3.0</v>
      </c>
      <c r="AN10" s="27">
        <v>2.0</v>
      </c>
      <c r="AO10" s="27">
        <v>3.0</v>
      </c>
      <c r="AP10" s="27">
        <v>3.0</v>
      </c>
      <c r="AQ10" s="27">
        <v>3.0</v>
      </c>
      <c r="AR10" s="27">
        <v>5.0</v>
      </c>
      <c r="AS10" s="27">
        <v>5.0</v>
      </c>
      <c r="AT10" s="27">
        <v>3.0</v>
      </c>
      <c r="AU10" s="27">
        <v>3.0</v>
      </c>
      <c r="AV10" s="27">
        <v>3.0</v>
      </c>
      <c r="AW10" s="27">
        <v>3.0</v>
      </c>
      <c r="AX10" s="27">
        <v>5.0</v>
      </c>
      <c r="AY10" s="27">
        <v>2.0</v>
      </c>
      <c r="AZ10" s="27">
        <v>4.0</v>
      </c>
      <c r="BA10" s="27">
        <v>2.0</v>
      </c>
      <c r="BB10" s="27">
        <v>2.0</v>
      </c>
      <c r="BC10" s="27">
        <v>2.0</v>
      </c>
      <c r="BD10" s="27">
        <v>2.0</v>
      </c>
      <c r="BE10" s="27">
        <v>3.0</v>
      </c>
      <c r="BF10" s="27">
        <v>2.0</v>
      </c>
      <c r="BG10" s="27">
        <v>3.0</v>
      </c>
      <c r="BH10" s="27">
        <v>5.0</v>
      </c>
      <c r="BI10" s="27">
        <v>2.0</v>
      </c>
      <c r="BJ10" s="28">
        <f t="shared" si="1"/>
        <v>181</v>
      </c>
      <c r="BK10" s="29">
        <f t="shared" si="2"/>
        <v>-0.08303280096</v>
      </c>
      <c r="BL10" s="27"/>
      <c r="BM10" s="27"/>
      <c r="BN10" s="27"/>
      <c r="BO10" s="27"/>
      <c r="BP10" s="27"/>
    </row>
    <row r="11">
      <c r="A11" s="22" t="s">
        <v>157</v>
      </c>
      <c r="B11" s="27">
        <v>2.0</v>
      </c>
      <c r="C11" s="27">
        <v>3.0</v>
      </c>
      <c r="D11" s="27">
        <v>3.0</v>
      </c>
      <c r="E11" s="27">
        <v>3.0</v>
      </c>
      <c r="F11" s="27">
        <v>3.0</v>
      </c>
      <c r="G11" s="27">
        <v>3.0</v>
      </c>
      <c r="H11" s="27">
        <v>4.0</v>
      </c>
      <c r="I11" s="27">
        <v>3.0</v>
      </c>
      <c r="J11" s="30">
        <v>1.0</v>
      </c>
      <c r="K11" s="27">
        <v>3.0</v>
      </c>
      <c r="L11" s="27">
        <v>4.0</v>
      </c>
      <c r="M11" s="27">
        <v>5.0</v>
      </c>
      <c r="N11" s="27">
        <v>3.0</v>
      </c>
      <c r="O11" s="27">
        <v>3.0</v>
      </c>
      <c r="P11" s="27">
        <v>5.0</v>
      </c>
      <c r="Q11" s="27">
        <v>3.0</v>
      </c>
      <c r="R11" s="27">
        <v>3.0</v>
      </c>
      <c r="S11" s="27">
        <v>5.0</v>
      </c>
      <c r="T11" s="27">
        <v>3.0</v>
      </c>
      <c r="U11" s="27">
        <v>3.0</v>
      </c>
      <c r="V11" s="27">
        <v>3.0</v>
      </c>
      <c r="W11" s="27">
        <v>2.0</v>
      </c>
      <c r="X11" s="27">
        <v>2.0</v>
      </c>
      <c r="Y11" s="27">
        <v>5.0</v>
      </c>
      <c r="Z11" s="27">
        <v>2.0</v>
      </c>
      <c r="AA11" s="27">
        <v>3.0</v>
      </c>
      <c r="AB11" s="27">
        <v>2.0</v>
      </c>
      <c r="AC11" s="27">
        <v>3.0</v>
      </c>
      <c r="AD11" s="27">
        <v>3.0</v>
      </c>
      <c r="AE11" s="27">
        <v>3.0</v>
      </c>
      <c r="AF11" s="27">
        <v>2.0</v>
      </c>
      <c r="AG11" s="27">
        <v>3.0</v>
      </c>
      <c r="AH11" s="27">
        <v>3.0</v>
      </c>
      <c r="AI11" s="27">
        <v>2.0</v>
      </c>
      <c r="AJ11" s="27">
        <v>4.0</v>
      </c>
      <c r="AK11" s="27">
        <v>2.0</v>
      </c>
      <c r="AL11" s="27">
        <v>4.0</v>
      </c>
      <c r="AM11" s="27">
        <v>4.0</v>
      </c>
      <c r="AN11" s="27">
        <v>3.0</v>
      </c>
      <c r="AO11" s="27">
        <v>4.0</v>
      </c>
      <c r="AP11" s="27">
        <v>4.0</v>
      </c>
      <c r="AQ11" s="27">
        <v>3.0</v>
      </c>
      <c r="AR11" s="27">
        <v>3.0</v>
      </c>
      <c r="AS11" s="27">
        <v>3.0</v>
      </c>
      <c r="AT11" s="27">
        <v>2.0</v>
      </c>
      <c r="AU11" s="27">
        <v>3.0</v>
      </c>
      <c r="AV11" s="27">
        <v>3.0</v>
      </c>
      <c r="AW11" s="27">
        <v>5.0</v>
      </c>
      <c r="AX11" s="27">
        <v>3.0</v>
      </c>
      <c r="AY11" s="27">
        <v>2.0</v>
      </c>
      <c r="AZ11" s="27">
        <v>4.0</v>
      </c>
      <c r="BA11" s="27">
        <v>2.0</v>
      </c>
      <c r="BB11" s="27">
        <v>3.0</v>
      </c>
      <c r="BC11" s="27">
        <v>5.0</v>
      </c>
      <c r="BD11" s="27">
        <v>3.0</v>
      </c>
      <c r="BE11" s="27">
        <v>3.0</v>
      </c>
      <c r="BF11" s="27">
        <v>4.0</v>
      </c>
      <c r="BG11" s="27">
        <v>5.0</v>
      </c>
      <c r="BH11" s="27">
        <v>5.0</v>
      </c>
      <c r="BI11" s="27">
        <v>2.0</v>
      </c>
      <c r="BJ11" s="28">
        <f t="shared" si="1"/>
        <v>191</v>
      </c>
      <c r="BK11" s="29">
        <f t="shared" si="2"/>
        <v>-0.03237162974</v>
      </c>
      <c r="BL11" s="27"/>
      <c r="BM11" s="27"/>
      <c r="BN11" s="27"/>
      <c r="BO11" s="27"/>
      <c r="BP11" s="27"/>
    </row>
    <row r="12">
      <c r="A12" s="22" t="s">
        <v>158</v>
      </c>
      <c r="B12" s="27">
        <v>1.0</v>
      </c>
      <c r="C12" s="27">
        <v>2.0</v>
      </c>
      <c r="D12" s="27">
        <v>3.0</v>
      </c>
      <c r="E12" s="27">
        <v>2.0</v>
      </c>
      <c r="F12" s="27">
        <v>2.0</v>
      </c>
      <c r="G12" s="27">
        <v>2.0</v>
      </c>
      <c r="H12" s="27">
        <v>3.0</v>
      </c>
      <c r="I12" s="27">
        <v>2.0</v>
      </c>
      <c r="J12" s="27">
        <v>1.0</v>
      </c>
      <c r="K12" s="30">
        <v>1.0</v>
      </c>
      <c r="L12" s="27">
        <v>2.0</v>
      </c>
      <c r="M12" s="27">
        <v>2.0</v>
      </c>
      <c r="N12" s="27">
        <v>3.0</v>
      </c>
      <c r="O12" s="27">
        <v>2.0</v>
      </c>
      <c r="P12" s="27">
        <v>2.0</v>
      </c>
      <c r="Q12" s="27">
        <v>3.0</v>
      </c>
      <c r="R12" s="27">
        <v>1.0</v>
      </c>
      <c r="S12" s="27">
        <v>1.0</v>
      </c>
      <c r="T12" s="27">
        <v>2.0</v>
      </c>
      <c r="U12" s="27">
        <v>2.0</v>
      </c>
      <c r="V12" s="27">
        <v>2.0</v>
      </c>
      <c r="W12" s="27">
        <v>2.0</v>
      </c>
      <c r="X12" s="27">
        <v>2.0</v>
      </c>
      <c r="Y12" s="27">
        <v>3.0</v>
      </c>
      <c r="Z12" s="27">
        <v>1.0</v>
      </c>
      <c r="AA12" s="27">
        <v>3.0</v>
      </c>
      <c r="AB12" s="27">
        <v>1.0</v>
      </c>
      <c r="AC12" s="27">
        <v>1.0</v>
      </c>
      <c r="AD12" s="27">
        <v>2.0</v>
      </c>
      <c r="AE12" s="27">
        <v>1.0</v>
      </c>
      <c r="AF12" s="27">
        <v>2.0</v>
      </c>
      <c r="AG12" s="27">
        <v>2.0</v>
      </c>
      <c r="AH12" s="27">
        <v>2.0</v>
      </c>
      <c r="AI12" s="27">
        <v>1.0</v>
      </c>
      <c r="AJ12" s="27">
        <v>1.0</v>
      </c>
      <c r="AK12" s="27">
        <v>2.0</v>
      </c>
      <c r="AL12" s="27">
        <v>5.0</v>
      </c>
      <c r="AM12" s="27">
        <v>2.0</v>
      </c>
      <c r="AN12" s="27">
        <v>2.0</v>
      </c>
      <c r="AO12" s="27">
        <v>2.0</v>
      </c>
      <c r="AP12" s="27">
        <v>3.0</v>
      </c>
      <c r="AQ12" s="27">
        <v>1.0</v>
      </c>
      <c r="AR12" s="27">
        <v>5.0</v>
      </c>
      <c r="AS12" s="27">
        <v>3.0</v>
      </c>
      <c r="AT12" s="27">
        <v>2.0</v>
      </c>
      <c r="AU12" s="27">
        <v>3.0</v>
      </c>
      <c r="AV12" s="27">
        <v>1.0</v>
      </c>
      <c r="AW12" s="27">
        <v>1.0</v>
      </c>
      <c r="AX12" s="27">
        <v>3.0</v>
      </c>
      <c r="AY12" s="27">
        <v>5.0</v>
      </c>
      <c r="AZ12" s="27">
        <v>3.0</v>
      </c>
      <c r="BA12" s="27">
        <v>2.0</v>
      </c>
      <c r="BB12" s="27">
        <v>1.0</v>
      </c>
      <c r="BC12" s="27">
        <v>1.0</v>
      </c>
      <c r="BD12" s="27">
        <v>3.0</v>
      </c>
      <c r="BE12" s="27">
        <v>3.0</v>
      </c>
      <c r="BF12" s="27">
        <v>2.0</v>
      </c>
      <c r="BG12" s="27">
        <v>2.0</v>
      </c>
      <c r="BH12" s="27">
        <v>2.0</v>
      </c>
      <c r="BI12" s="27">
        <v>2.0</v>
      </c>
      <c r="BJ12" s="28">
        <f t="shared" si="1"/>
        <v>126</v>
      </c>
      <c r="BK12" s="29">
        <f t="shared" si="2"/>
        <v>-0.3616692427</v>
      </c>
      <c r="BL12" s="27"/>
      <c r="BM12" s="27"/>
      <c r="BN12" s="27"/>
      <c r="BO12" s="27"/>
      <c r="BP12" s="27"/>
    </row>
    <row r="13">
      <c r="A13" s="22" t="s">
        <v>159</v>
      </c>
      <c r="B13" s="27">
        <v>2.0</v>
      </c>
      <c r="C13" s="27">
        <v>4.0</v>
      </c>
      <c r="D13" s="27">
        <v>3.0</v>
      </c>
      <c r="E13" s="27">
        <v>4.0</v>
      </c>
      <c r="F13" s="27">
        <v>4.0</v>
      </c>
      <c r="G13" s="27">
        <v>3.0</v>
      </c>
      <c r="H13" s="27">
        <v>3.0</v>
      </c>
      <c r="I13" s="27">
        <v>2.0</v>
      </c>
      <c r="J13" s="27">
        <v>4.0</v>
      </c>
      <c r="K13" s="27">
        <v>4.0</v>
      </c>
      <c r="L13" s="30">
        <v>1.0</v>
      </c>
      <c r="M13" s="27">
        <v>3.0</v>
      </c>
      <c r="N13" s="27">
        <v>5.0</v>
      </c>
      <c r="O13" s="27">
        <v>3.0</v>
      </c>
      <c r="P13" s="27">
        <v>4.0</v>
      </c>
      <c r="Q13" s="27">
        <v>4.0</v>
      </c>
      <c r="R13" s="27">
        <v>3.0</v>
      </c>
      <c r="S13" s="27">
        <v>3.0</v>
      </c>
      <c r="T13" s="27">
        <v>4.0</v>
      </c>
      <c r="U13" s="27">
        <v>2.0</v>
      </c>
      <c r="V13" s="27">
        <v>4.0</v>
      </c>
      <c r="W13" s="27">
        <v>3.0</v>
      </c>
      <c r="X13" s="27">
        <v>4.0</v>
      </c>
      <c r="Y13" s="27">
        <v>2.0</v>
      </c>
      <c r="Z13" s="27">
        <v>3.0</v>
      </c>
      <c r="AA13" s="27">
        <v>3.0</v>
      </c>
      <c r="AB13" s="27">
        <v>3.0</v>
      </c>
      <c r="AC13" s="27">
        <v>3.0</v>
      </c>
      <c r="AD13" s="27">
        <v>2.0</v>
      </c>
      <c r="AE13" s="27">
        <v>3.0</v>
      </c>
      <c r="AF13" s="27">
        <v>3.0</v>
      </c>
      <c r="AG13" s="27">
        <v>4.0</v>
      </c>
      <c r="AH13" s="27">
        <v>2.0</v>
      </c>
      <c r="AI13" s="27">
        <v>2.0</v>
      </c>
      <c r="AJ13" s="27">
        <v>3.0</v>
      </c>
      <c r="AK13" s="27">
        <v>3.0</v>
      </c>
      <c r="AL13" s="27">
        <v>4.0</v>
      </c>
      <c r="AM13" s="27">
        <v>4.0</v>
      </c>
      <c r="AN13" s="27">
        <v>3.0</v>
      </c>
      <c r="AO13" s="27">
        <v>4.0</v>
      </c>
      <c r="AP13" s="27">
        <v>5.0</v>
      </c>
      <c r="AQ13" s="27">
        <v>3.0</v>
      </c>
      <c r="AR13" s="27">
        <v>5.0</v>
      </c>
      <c r="AS13" s="27">
        <v>4.0</v>
      </c>
      <c r="AT13" s="27">
        <v>3.0</v>
      </c>
      <c r="AU13" s="27">
        <v>3.0</v>
      </c>
      <c r="AV13" s="27">
        <v>3.0</v>
      </c>
      <c r="AW13" s="27">
        <v>4.0</v>
      </c>
      <c r="AX13" s="27">
        <v>3.0</v>
      </c>
      <c r="AY13" s="27">
        <v>2.0</v>
      </c>
      <c r="AZ13" s="27">
        <v>2.0</v>
      </c>
      <c r="BA13" s="27">
        <v>3.0</v>
      </c>
      <c r="BB13" s="27">
        <v>2.0</v>
      </c>
      <c r="BC13" s="27">
        <v>2.0</v>
      </c>
      <c r="BD13" s="27">
        <v>3.0</v>
      </c>
      <c r="BE13" s="27">
        <v>3.0</v>
      </c>
      <c r="BF13" s="27">
        <v>2.0</v>
      </c>
      <c r="BG13" s="27">
        <v>3.0</v>
      </c>
      <c r="BH13" s="27">
        <v>4.0</v>
      </c>
      <c r="BI13" s="27">
        <v>3.0</v>
      </c>
      <c r="BJ13" s="28">
        <f t="shared" si="1"/>
        <v>189</v>
      </c>
      <c r="BK13" s="29">
        <f t="shared" si="2"/>
        <v>-0.04250386399</v>
      </c>
      <c r="BL13" s="27"/>
      <c r="BM13" s="27"/>
      <c r="BN13" s="27"/>
      <c r="BO13" s="27"/>
      <c r="BP13" s="27"/>
    </row>
    <row r="14">
      <c r="A14" s="22" t="s">
        <v>160</v>
      </c>
      <c r="B14" s="27">
        <v>2.0</v>
      </c>
      <c r="C14" s="27">
        <v>4.0</v>
      </c>
      <c r="D14" s="27">
        <v>5.0</v>
      </c>
      <c r="E14" s="27">
        <v>2.0</v>
      </c>
      <c r="F14" s="27">
        <v>4.0</v>
      </c>
      <c r="G14" s="27">
        <v>5.0</v>
      </c>
      <c r="H14" s="27">
        <v>3.0</v>
      </c>
      <c r="I14" s="27">
        <v>2.0</v>
      </c>
      <c r="J14" s="27">
        <v>4.0</v>
      </c>
      <c r="K14" s="27">
        <v>3.0</v>
      </c>
      <c r="L14" s="27">
        <v>3.0</v>
      </c>
      <c r="M14" s="30">
        <v>1.0</v>
      </c>
      <c r="N14" s="27">
        <v>5.0</v>
      </c>
      <c r="O14" s="27">
        <v>5.0</v>
      </c>
      <c r="P14" s="27">
        <v>5.0</v>
      </c>
      <c r="Q14" s="27">
        <v>5.0</v>
      </c>
      <c r="R14" s="27">
        <v>5.0</v>
      </c>
      <c r="S14" s="27">
        <v>4.0</v>
      </c>
      <c r="T14" s="27">
        <v>5.0</v>
      </c>
      <c r="U14" s="27">
        <v>3.0</v>
      </c>
      <c r="V14" s="27">
        <v>5.0</v>
      </c>
      <c r="W14" s="27">
        <v>3.0</v>
      </c>
      <c r="X14" s="27">
        <v>4.0</v>
      </c>
      <c r="Y14" s="27">
        <v>5.0</v>
      </c>
      <c r="Z14" s="27">
        <v>3.0</v>
      </c>
      <c r="AA14" s="27">
        <v>4.0</v>
      </c>
      <c r="AB14" s="27">
        <v>2.0</v>
      </c>
      <c r="AC14" s="27">
        <v>3.0</v>
      </c>
      <c r="AD14" s="27">
        <v>3.0</v>
      </c>
      <c r="AE14" s="27">
        <v>3.0</v>
      </c>
      <c r="AF14" s="27">
        <v>2.0</v>
      </c>
      <c r="AG14" s="27">
        <v>3.0</v>
      </c>
      <c r="AH14" s="27">
        <v>4.0</v>
      </c>
      <c r="AI14" s="27">
        <v>4.0</v>
      </c>
      <c r="AJ14" s="27">
        <v>3.0</v>
      </c>
      <c r="AK14" s="27">
        <v>4.0</v>
      </c>
      <c r="AL14" s="27">
        <v>5.0</v>
      </c>
      <c r="AM14" s="27">
        <v>2.0</v>
      </c>
      <c r="AN14" s="27">
        <v>4.0</v>
      </c>
      <c r="AO14" s="27">
        <v>3.0</v>
      </c>
      <c r="AP14" s="27">
        <v>5.0</v>
      </c>
      <c r="AQ14" s="27">
        <v>2.0</v>
      </c>
      <c r="AR14" s="27">
        <v>5.0</v>
      </c>
      <c r="AS14" s="27">
        <v>4.0</v>
      </c>
      <c r="AT14" s="27">
        <v>2.0</v>
      </c>
      <c r="AU14" s="27">
        <v>3.0</v>
      </c>
      <c r="AV14" s="27">
        <v>3.0</v>
      </c>
      <c r="AW14" s="27">
        <v>5.0</v>
      </c>
      <c r="AX14" s="27">
        <v>3.0</v>
      </c>
      <c r="AY14" s="27">
        <v>3.0</v>
      </c>
      <c r="AZ14" s="27">
        <v>3.0</v>
      </c>
      <c r="BA14" s="27">
        <v>2.0</v>
      </c>
      <c r="BB14" s="27">
        <v>4.0</v>
      </c>
      <c r="BC14" s="27">
        <v>5.0</v>
      </c>
      <c r="BD14" s="27">
        <v>5.0</v>
      </c>
      <c r="BE14" s="27">
        <v>4.0</v>
      </c>
      <c r="BF14" s="27">
        <v>2.0</v>
      </c>
      <c r="BG14" s="27">
        <v>3.0</v>
      </c>
      <c r="BH14" s="27">
        <v>5.0</v>
      </c>
      <c r="BI14" s="27">
        <v>2.0</v>
      </c>
      <c r="BJ14" s="28">
        <f t="shared" si="1"/>
        <v>214</v>
      </c>
      <c r="BK14" s="29">
        <f t="shared" si="2"/>
        <v>0.08414906406</v>
      </c>
      <c r="BL14" s="27"/>
      <c r="BM14" s="27"/>
      <c r="BN14" s="27"/>
      <c r="BO14" s="27"/>
      <c r="BP14" s="27"/>
    </row>
    <row r="15">
      <c r="A15" s="22" t="s">
        <v>161</v>
      </c>
      <c r="B15" s="27">
        <v>2.0</v>
      </c>
      <c r="C15" s="27">
        <v>5.0</v>
      </c>
      <c r="D15" s="27">
        <v>4.0</v>
      </c>
      <c r="E15" s="27">
        <v>4.0</v>
      </c>
      <c r="F15" s="27">
        <v>3.0</v>
      </c>
      <c r="G15" s="27">
        <v>3.0</v>
      </c>
      <c r="H15" s="27">
        <v>3.0</v>
      </c>
      <c r="I15" s="27">
        <v>2.0</v>
      </c>
      <c r="J15" s="27">
        <v>3.0</v>
      </c>
      <c r="K15" s="27">
        <v>4.0</v>
      </c>
      <c r="L15" s="27">
        <v>3.0</v>
      </c>
      <c r="M15" s="27">
        <v>3.0</v>
      </c>
      <c r="N15" s="30">
        <v>1.0</v>
      </c>
      <c r="O15" s="27">
        <v>4.0</v>
      </c>
      <c r="P15" s="27">
        <v>3.0</v>
      </c>
      <c r="Q15" s="27">
        <v>4.0</v>
      </c>
      <c r="R15" s="27">
        <v>4.0</v>
      </c>
      <c r="S15" s="27">
        <v>2.0</v>
      </c>
      <c r="T15" s="27">
        <v>2.0</v>
      </c>
      <c r="U15" s="27">
        <v>4.0</v>
      </c>
      <c r="V15" s="27">
        <v>3.0</v>
      </c>
      <c r="W15" s="27">
        <v>2.0</v>
      </c>
      <c r="X15" s="27">
        <v>3.0</v>
      </c>
      <c r="Y15" s="27">
        <v>2.0</v>
      </c>
      <c r="Z15" s="27">
        <v>3.0</v>
      </c>
      <c r="AA15" s="27">
        <v>5.0</v>
      </c>
      <c r="AB15" s="27">
        <v>2.0</v>
      </c>
      <c r="AC15" s="27">
        <v>2.0</v>
      </c>
      <c r="AD15" s="27">
        <v>3.0</v>
      </c>
      <c r="AE15" s="27">
        <v>4.0</v>
      </c>
      <c r="AF15" s="27">
        <v>4.0</v>
      </c>
      <c r="AG15" s="27">
        <v>2.0</v>
      </c>
      <c r="AH15" s="27">
        <v>2.0</v>
      </c>
      <c r="AI15" s="27">
        <v>3.0</v>
      </c>
      <c r="AJ15" s="27">
        <v>3.0</v>
      </c>
      <c r="AK15" s="27">
        <v>3.0</v>
      </c>
      <c r="AL15" s="27">
        <v>4.0</v>
      </c>
      <c r="AM15" s="27">
        <v>3.0</v>
      </c>
      <c r="AN15" s="27">
        <v>2.0</v>
      </c>
      <c r="AO15" s="27">
        <v>2.0</v>
      </c>
      <c r="AP15" s="27">
        <v>4.0</v>
      </c>
      <c r="AQ15" s="27">
        <v>3.0</v>
      </c>
      <c r="AR15" s="27">
        <v>3.0</v>
      </c>
      <c r="AS15" s="27">
        <v>3.0</v>
      </c>
      <c r="AT15" s="27">
        <v>4.0</v>
      </c>
      <c r="AU15" s="27">
        <v>3.0</v>
      </c>
      <c r="AV15" s="27">
        <v>3.0</v>
      </c>
      <c r="AW15" s="27">
        <v>3.0</v>
      </c>
      <c r="AX15" s="27">
        <v>4.0</v>
      </c>
      <c r="AY15" s="27">
        <v>2.0</v>
      </c>
      <c r="AZ15" s="27">
        <v>3.0</v>
      </c>
      <c r="BA15" s="27">
        <v>3.0</v>
      </c>
      <c r="BB15" s="27">
        <v>3.0</v>
      </c>
      <c r="BC15" s="27">
        <v>2.0</v>
      </c>
      <c r="BD15" s="27">
        <v>2.0</v>
      </c>
      <c r="BE15" s="27">
        <v>3.0</v>
      </c>
      <c r="BF15" s="27">
        <v>2.0</v>
      </c>
      <c r="BG15" s="27">
        <v>3.0</v>
      </c>
      <c r="BH15" s="27">
        <v>5.0</v>
      </c>
      <c r="BI15" s="27">
        <v>4.0</v>
      </c>
      <c r="BJ15" s="28">
        <f t="shared" si="1"/>
        <v>182</v>
      </c>
      <c r="BK15" s="29">
        <f t="shared" si="2"/>
        <v>-0.07796668384</v>
      </c>
      <c r="BL15" s="27"/>
      <c r="BM15" s="27"/>
      <c r="BN15" s="27"/>
      <c r="BO15" s="27"/>
      <c r="BP15" s="27"/>
    </row>
    <row r="16">
      <c r="A16" s="22" t="s">
        <v>162</v>
      </c>
      <c r="B16" s="27">
        <v>4.0</v>
      </c>
      <c r="C16" s="27">
        <v>3.0</v>
      </c>
      <c r="D16" s="27">
        <v>5.0</v>
      </c>
      <c r="E16" s="27">
        <v>4.0</v>
      </c>
      <c r="F16" s="27">
        <v>5.0</v>
      </c>
      <c r="G16" s="27">
        <v>4.0</v>
      </c>
      <c r="H16" s="27">
        <v>3.0</v>
      </c>
      <c r="I16" s="27">
        <v>3.0</v>
      </c>
      <c r="J16" s="27">
        <v>3.0</v>
      </c>
      <c r="K16" s="27">
        <v>3.0</v>
      </c>
      <c r="L16" s="27">
        <v>4.0</v>
      </c>
      <c r="M16" s="27">
        <v>4.0</v>
      </c>
      <c r="N16" s="27">
        <v>4.0</v>
      </c>
      <c r="O16" s="30">
        <v>1.0</v>
      </c>
      <c r="P16" s="27">
        <v>4.0</v>
      </c>
      <c r="Q16" s="27">
        <v>3.0</v>
      </c>
      <c r="R16" s="27">
        <v>3.0</v>
      </c>
      <c r="S16" s="27">
        <v>4.0</v>
      </c>
      <c r="T16" s="27">
        <v>4.0</v>
      </c>
      <c r="U16" s="27">
        <v>4.0</v>
      </c>
      <c r="V16" s="27">
        <v>4.0</v>
      </c>
      <c r="W16" s="27">
        <v>3.0</v>
      </c>
      <c r="X16" s="27">
        <v>3.0</v>
      </c>
      <c r="Y16" s="27">
        <v>5.0</v>
      </c>
      <c r="Z16" s="27">
        <v>3.0</v>
      </c>
      <c r="AA16" s="27">
        <v>4.0</v>
      </c>
      <c r="AB16" s="27">
        <v>3.0</v>
      </c>
      <c r="AC16" s="27">
        <v>3.0</v>
      </c>
      <c r="AD16" s="27">
        <v>3.0</v>
      </c>
      <c r="AE16" s="27">
        <v>2.0</v>
      </c>
      <c r="AF16" s="27">
        <v>4.0</v>
      </c>
      <c r="AG16" s="27">
        <v>3.0</v>
      </c>
      <c r="AH16" s="27">
        <v>4.0</v>
      </c>
      <c r="AI16" s="27">
        <v>3.0</v>
      </c>
      <c r="AJ16" s="27">
        <v>4.0</v>
      </c>
      <c r="AK16" s="27">
        <v>3.0</v>
      </c>
      <c r="AL16" s="27">
        <v>3.0</v>
      </c>
      <c r="AM16" s="27">
        <v>3.0</v>
      </c>
      <c r="AN16" s="27">
        <v>4.0</v>
      </c>
      <c r="AO16" s="27">
        <v>3.0</v>
      </c>
      <c r="AP16" s="27">
        <v>5.0</v>
      </c>
      <c r="AQ16" s="27">
        <v>3.0</v>
      </c>
      <c r="AR16" s="27">
        <v>4.0</v>
      </c>
      <c r="AS16" s="27">
        <v>3.0</v>
      </c>
      <c r="AT16" s="27">
        <v>3.0</v>
      </c>
      <c r="AU16" s="27">
        <v>3.0</v>
      </c>
      <c r="AV16" s="27">
        <v>3.0</v>
      </c>
      <c r="AW16" s="27">
        <v>5.0</v>
      </c>
      <c r="AX16" s="27">
        <v>4.0</v>
      </c>
      <c r="AY16" s="27">
        <v>3.0</v>
      </c>
      <c r="AZ16" s="27">
        <v>3.0</v>
      </c>
      <c r="BA16" s="27">
        <v>3.0</v>
      </c>
      <c r="BB16" s="27">
        <v>3.0</v>
      </c>
      <c r="BC16" s="27">
        <v>3.0</v>
      </c>
      <c r="BD16" s="27">
        <v>3.0</v>
      </c>
      <c r="BE16" s="27">
        <v>4.0</v>
      </c>
      <c r="BF16" s="27">
        <v>3.0</v>
      </c>
      <c r="BG16" s="27">
        <v>3.0</v>
      </c>
      <c r="BH16" s="27">
        <v>5.0</v>
      </c>
      <c r="BI16" s="27">
        <v>4.0</v>
      </c>
      <c r="BJ16" s="28">
        <f t="shared" si="1"/>
        <v>209</v>
      </c>
      <c r="BK16" s="29">
        <f t="shared" si="2"/>
        <v>0.05881847845</v>
      </c>
      <c r="BL16" s="27"/>
      <c r="BM16" s="27"/>
      <c r="BN16" s="27"/>
      <c r="BO16" s="27"/>
      <c r="BP16" s="27"/>
    </row>
    <row r="17">
      <c r="A17" s="22" t="s">
        <v>163</v>
      </c>
      <c r="B17" s="27">
        <v>3.0</v>
      </c>
      <c r="C17" s="27">
        <v>4.0</v>
      </c>
      <c r="D17" s="27">
        <v>5.0</v>
      </c>
      <c r="E17" s="27">
        <v>4.0</v>
      </c>
      <c r="F17" s="27">
        <v>4.0</v>
      </c>
      <c r="G17" s="27">
        <v>4.0</v>
      </c>
      <c r="H17" s="27">
        <v>4.0</v>
      </c>
      <c r="I17" s="27">
        <v>3.0</v>
      </c>
      <c r="J17" s="27">
        <v>4.0</v>
      </c>
      <c r="K17" s="27">
        <v>4.0</v>
      </c>
      <c r="L17" s="27">
        <v>4.0</v>
      </c>
      <c r="M17" s="27">
        <v>5.0</v>
      </c>
      <c r="N17" s="27">
        <v>5.0</v>
      </c>
      <c r="O17" s="27">
        <v>4.0</v>
      </c>
      <c r="P17" s="30">
        <v>1.0</v>
      </c>
      <c r="Q17" s="27">
        <v>4.0</v>
      </c>
      <c r="R17" s="27">
        <v>4.0</v>
      </c>
      <c r="S17" s="27">
        <v>4.0</v>
      </c>
      <c r="T17" s="27">
        <v>4.0</v>
      </c>
      <c r="U17" s="27">
        <v>4.0</v>
      </c>
      <c r="V17" s="27">
        <v>4.0</v>
      </c>
      <c r="W17" s="27">
        <v>4.0</v>
      </c>
      <c r="X17" s="27">
        <v>4.0</v>
      </c>
      <c r="Y17" s="27">
        <v>3.0</v>
      </c>
      <c r="Z17" s="27">
        <v>3.0</v>
      </c>
      <c r="AA17" s="27">
        <v>5.0</v>
      </c>
      <c r="AB17" s="27">
        <v>4.0</v>
      </c>
      <c r="AC17" s="27">
        <v>4.0</v>
      </c>
      <c r="AD17" s="27">
        <v>4.0</v>
      </c>
      <c r="AE17" s="27">
        <v>4.0</v>
      </c>
      <c r="AF17" s="27">
        <v>5.0</v>
      </c>
      <c r="AG17" s="27">
        <v>4.0</v>
      </c>
      <c r="AH17" s="27">
        <v>4.0</v>
      </c>
      <c r="AI17" s="27">
        <v>4.0</v>
      </c>
      <c r="AJ17" s="27">
        <v>4.0</v>
      </c>
      <c r="AK17" s="27">
        <v>4.0</v>
      </c>
      <c r="AL17" s="27">
        <v>4.0</v>
      </c>
      <c r="AM17" s="27">
        <v>3.0</v>
      </c>
      <c r="AN17" s="27">
        <v>5.0</v>
      </c>
      <c r="AO17" s="27">
        <v>3.0</v>
      </c>
      <c r="AP17" s="27">
        <v>5.0</v>
      </c>
      <c r="AQ17" s="27">
        <v>4.0</v>
      </c>
      <c r="AR17" s="27">
        <v>5.0</v>
      </c>
      <c r="AS17" s="27">
        <v>4.0</v>
      </c>
      <c r="AT17" s="27">
        <v>3.0</v>
      </c>
      <c r="AU17" s="27">
        <v>4.0</v>
      </c>
      <c r="AV17" s="27">
        <v>3.0</v>
      </c>
      <c r="AW17" s="27">
        <v>4.0</v>
      </c>
      <c r="AX17" s="27">
        <v>4.0</v>
      </c>
      <c r="AY17" s="27">
        <v>4.0</v>
      </c>
      <c r="AZ17" s="27">
        <v>4.0</v>
      </c>
      <c r="BA17" s="27">
        <v>3.0</v>
      </c>
      <c r="BB17" s="27">
        <v>4.0</v>
      </c>
      <c r="BC17" s="27">
        <v>5.0</v>
      </c>
      <c r="BD17" s="27">
        <v>4.0</v>
      </c>
      <c r="BE17" s="27">
        <v>4.0</v>
      </c>
      <c r="BF17" s="27">
        <v>3.0</v>
      </c>
      <c r="BG17" s="27">
        <v>4.0</v>
      </c>
      <c r="BH17" s="27">
        <v>5.0</v>
      </c>
      <c r="BI17" s="27">
        <v>4.0</v>
      </c>
      <c r="BJ17" s="28">
        <f t="shared" si="1"/>
        <v>237</v>
      </c>
      <c r="BK17" s="29">
        <f t="shared" si="2"/>
        <v>0.2006697579</v>
      </c>
      <c r="BL17" s="27"/>
      <c r="BM17" s="27"/>
      <c r="BN17" s="27"/>
      <c r="BO17" s="27"/>
      <c r="BP17" s="27"/>
    </row>
    <row r="18">
      <c r="A18" s="22" t="s">
        <v>164</v>
      </c>
      <c r="B18" s="27">
        <v>3.0</v>
      </c>
      <c r="C18" s="27">
        <v>4.0</v>
      </c>
      <c r="D18" s="27">
        <v>4.0</v>
      </c>
      <c r="E18" s="27">
        <v>3.0</v>
      </c>
      <c r="F18" s="27">
        <v>3.0</v>
      </c>
      <c r="G18" s="27">
        <v>3.0</v>
      </c>
      <c r="H18" s="27">
        <v>3.0</v>
      </c>
      <c r="I18" s="27">
        <v>3.0</v>
      </c>
      <c r="J18" s="27">
        <v>5.0</v>
      </c>
      <c r="K18" s="27">
        <v>3.0</v>
      </c>
      <c r="L18" s="27">
        <v>3.0</v>
      </c>
      <c r="M18" s="27">
        <v>3.0</v>
      </c>
      <c r="N18" s="27">
        <v>5.0</v>
      </c>
      <c r="O18" s="27">
        <v>3.0</v>
      </c>
      <c r="P18" s="27">
        <v>3.0</v>
      </c>
      <c r="Q18" s="30">
        <v>1.0</v>
      </c>
      <c r="R18" s="27">
        <v>2.0</v>
      </c>
      <c r="S18" s="27">
        <v>3.0</v>
      </c>
      <c r="T18" s="27">
        <v>3.0</v>
      </c>
      <c r="U18" s="27">
        <v>3.0</v>
      </c>
      <c r="V18" s="27">
        <v>3.0</v>
      </c>
      <c r="W18" s="27">
        <v>3.0</v>
      </c>
      <c r="X18" s="27">
        <v>3.0</v>
      </c>
      <c r="Y18" s="27">
        <v>3.0</v>
      </c>
      <c r="Z18" s="27">
        <v>3.0</v>
      </c>
      <c r="AA18" s="27">
        <v>3.0</v>
      </c>
      <c r="AB18" s="27">
        <v>3.0</v>
      </c>
      <c r="AC18" s="27">
        <v>3.0</v>
      </c>
      <c r="AD18" s="27">
        <v>2.0</v>
      </c>
      <c r="AE18" s="27">
        <v>3.0</v>
      </c>
      <c r="AF18" s="27">
        <v>3.0</v>
      </c>
      <c r="AG18" s="27">
        <v>3.0</v>
      </c>
      <c r="AH18" s="27">
        <v>3.0</v>
      </c>
      <c r="AI18" s="27">
        <v>3.0</v>
      </c>
      <c r="AJ18" s="27">
        <v>3.0</v>
      </c>
      <c r="AK18" s="27">
        <v>3.0</v>
      </c>
      <c r="AL18" s="27">
        <v>3.0</v>
      </c>
      <c r="AM18" s="27">
        <v>3.0</v>
      </c>
      <c r="AN18" s="27">
        <v>3.0</v>
      </c>
      <c r="AO18" s="27">
        <v>3.0</v>
      </c>
      <c r="AP18" s="27">
        <v>4.0</v>
      </c>
      <c r="AQ18" s="27">
        <v>3.0</v>
      </c>
      <c r="AR18" s="27">
        <v>5.0</v>
      </c>
      <c r="AS18" s="27">
        <v>4.0</v>
      </c>
      <c r="AT18" s="27">
        <v>3.0</v>
      </c>
      <c r="AU18" s="27">
        <v>3.0</v>
      </c>
      <c r="AV18" s="27">
        <v>3.0</v>
      </c>
      <c r="AW18" s="27">
        <v>3.0</v>
      </c>
      <c r="AX18" s="27">
        <v>4.0</v>
      </c>
      <c r="AY18" s="27">
        <v>3.0</v>
      </c>
      <c r="AZ18" s="27">
        <v>3.0</v>
      </c>
      <c r="BA18" s="27">
        <v>3.0</v>
      </c>
      <c r="BB18" s="27">
        <v>3.0</v>
      </c>
      <c r="BC18" s="27">
        <v>2.0</v>
      </c>
      <c r="BD18" s="27">
        <v>3.0</v>
      </c>
      <c r="BE18" s="27">
        <v>3.0</v>
      </c>
      <c r="BF18" s="27">
        <v>3.0</v>
      </c>
      <c r="BG18" s="27">
        <v>3.0</v>
      </c>
      <c r="BH18" s="27">
        <v>5.0</v>
      </c>
      <c r="BI18" s="27">
        <v>3.0</v>
      </c>
      <c r="BJ18" s="28">
        <f t="shared" si="1"/>
        <v>188</v>
      </c>
      <c r="BK18" s="29">
        <f t="shared" si="2"/>
        <v>-0.04756998111</v>
      </c>
      <c r="BL18" s="27"/>
      <c r="BM18" s="27"/>
      <c r="BN18" s="27"/>
      <c r="BO18" s="27"/>
      <c r="BP18" s="27"/>
    </row>
    <row r="19">
      <c r="A19" s="22" t="s">
        <v>165</v>
      </c>
      <c r="B19" s="27">
        <v>2.0</v>
      </c>
      <c r="C19" s="27">
        <v>3.0</v>
      </c>
      <c r="D19" s="27">
        <v>4.0</v>
      </c>
      <c r="E19" s="27">
        <v>4.0</v>
      </c>
      <c r="F19" s="27">
        <v>5.0</v>
      </c>
      <c r="G19" s="27">
        <v>5.0</v>
      </c>
      <c r="H19" s="27">
        <v>4.0</v>
      </c>
      <c r="I19" s="27">
        <v>3.0</v>
      </c>
      <c r="J19" s="27">
        <v>5.0</v>
      </c>
      <c r="K19" s="27">
        <v>3.0</v>
      </c>
      <c r="L19" s="27">
        <v>3.0</v>
      </c>
      <c r="M19" s="27">
        <v>5.0</v>
      </c>
      <c r="N19" s="27">
        <v>3.0</v>
      </c>
      <c r="O19" s="27">
        <v>3.0</v>
      </c>
      <c r="P19" s="27">
        <v>5.0</v>
      </c>
      <c r="Q19" s="27">
        <v>3.0</v>
      </c>
      <c r="R19" s="30">
        <v>1.0</v>
      </c>
      <c r="S19" s="27">
        <v>2.0</v>
      </c>
      <c r="T19" s="27">
        <v>3.0</v>
      </c>
      <c r="U19" s="27">
        <v>3.0</v>
      </c>
      <c r="V19" s="27">
        <v>4.0</v>
      </c>
      <c r="W19" s="27">
        <v>3.0</v>
      </c>
      <c r="X19" s="27">
        <v>2.0</v>
      </c>
      <c r="Y19" s="27">
        <v>4.0</v>
      </c>
      <c r="Z19" s="27">
        <v>4.0</v>
      </c>
      <c r="AA19" s="27">
        <v>5.0</v>
      </c>
      <c r="AB19" s="27">
        <v>3.0</v>
      </c>
      <c r="AC19" s="27">
        <v>3.0</v>
      </c>
      <c r="AD19" s="27">
        <v>3.0</v>
      </c>
      <c r="AE19" s="27">
        <v>3.0</v>
      </c>
      <c r="AF19" s="27">
        <v>4.0</v>
      </c>
      <c r="AG19" s="27">
        <v>5.0</v>
      </c>
      <c r="AH19" s="27">
        <v>3.0</v>
      </c>
      <c r="AI19" s="27">
        <v>5.0</v>
      </c>
      <c r="AJ19" s="27">
        <v>3.0</v>
      </c>
      <c r="AK19" s="27">
        <v>5.0</v>
      </c>
      <c r="AL19" s="27">
        <v>3.0</v>
      </c>
      <c r="AM19" s="27">
        <v>4.0</v>
      </c>
      <c r="AN19" s="27">
        <v>4.0</v>
      </c>
      <c r="AO19" s="27">
        <v>2.0</v>
      </c>
      <c r="AP19" s="27">
        <v>5.0</v>
      </c>
      <c r="AQ19" s="27">
        <v>3.0</v>
      </c>
      <c r="AR19" s="27">
        <v>4.0</v>
      </c>
      <c r="AS19" s="27">
        <v>5.0</v>
      </c>
      <c r="AT19" s="27">
        <v>4.0</v>
      </c>
      <c r="AU19" s="27">
        <v>3.0</v>
      </c>
      <c r="AV19" s="27">
        <v>4.0</v>
      </c>
      <c r="AW19" s="27">
        <v>5.0</v>
      </c>
      <c r="AX19" s="27">
        <v>4.0</v>
      </c>
      <c r="AY19" s="27">
        <v>3.0</v>
      </c>
      <c r="AZ19" s="27">
        <v>3.0</v>
      </c>
      <c r="BA19" s="27">
        <v>3.0</v>
      </c>
      <c r="BB19" s="27">
        <v>3.0</v>
      </c>
      <c r="BC19" s="27">
        <v>4.0</v>
      </c>
      <c r="BD19" s="27">
        <v>5.0</v>
      </c>
      <c r="BE19" s="27">
        <v>4.0</v>
      </c>
      <c r="BF19" s="27">
        <v>3.0</v>
      </c>
      <c r="BG19" s="27">
        <v>3.0</v>
      </c>
      <c r="BH19" s="27">
        <v>5.0</v>
      </c>
      <c r="BI19" s="27">
        <v>4.0</v>
      </c>
      <c r="BJ19" s="28">
        <f t="shared" si="1"/>
        <v>218</v>
      </c>
      <c r="BK19" s="29">
        <f t="shared" si="2"/>
        <v>0.1044135325</v>
      </c>
      <c r="BL19" s="27"/>
      <c r="BM19" s="27"/>
      <c r="BN19" s="27"/>
      <c r="BO19" s="27"/>
      <c r="BP19" s="27"/>
    </row>
    <row r="20">
      <c r="A20" s="22" t="s">
        <v>166</v>
      </c>
      <c r="B20" s="27">
        <v>2.0</v>
      </c>
      <c r="C20" s="27">
        <v>4.0</v>
      </c>
      <c r="D20" s="27">
        <v>4.0</v>
      </c>
      <c r="E20" s="27">
        <v>3.0</v>
      </c>
      <c r="F20" s="27">
        <v>5.0</v>
      </c>
      <c r="G20" s="27">
        <v>4.0</v>
      </c>
      <c r="H20" s="27">
        <v>4.0</v>
      </c>
      <c r="I20" s="27">
        <v>2.0</v>
      </c>
      <c r="J20" s="27">
        <v>5.0</v>
      </c>
      <c r="K20" s="27">
        <v>4.0</v>
      </c>
      <c r="L20" s="27">
        <v>2.0</v>
      </c>
      <c r="M20" s="27">
        <v>5.0</v>
      </c>
      <c r="N20" s="27">
        <v>4.0</v>
      </c>
      <c r="O20" s="27">
        <v>5.0</v>
      </c>
      <c r="P20" s="27">
        <v>5.0</v>
      </c>
      <c r="Q20" s="27">
        <v>3.0</v>
      </c>
      <c r="R20" s="27">
        <v>4.0</v>
      </c>
      <c r="S20" s="30">
        <v>1.0</v>
      </c>
      <c r="T20" s="27">
        <v>4.0</v>
      </c>
      <c r="U20" s="27">
        <v>4.0</v>
      </c>
      <c r="V20" s="27">
        <v>4.0</v>
      </c>
      <c r="W20" s="27">
        <v>3.0</v>
      </c>
      <c r="X20" s="27">
        <v>3.0</v>
      </c>
      <c r="Y20" s="27">
        <v>4.0</v>
      </c>
      <c r="Z20" s="27">
        <v>2.0</v>
      </c>
      <c r="AA20" s="27">
        <v>4.0</v>
      </c>
      <c r="AB20" s="27">
        <v>3.0</v>
      </c>
      <c r="AC20" s="27">
        <v>3.0</v>
      </c>
      <c r="AD20" s="27">
        <v>3.0</v>
      </c>
      <c r="AE20" s="27">
        <v>4.0</v>
      </c>
      <c r="AF20" s="27">
        <v>2.0</v>
      </c>
      <c r="AG20" s="27">
        <v>4.0</v>
      </c>
      <c r="AH20" s="27">
        <v>4.0</v>
      </c>
      <c r="AI20" s="27">
        <v>4.0</v>
      </c>
      <c r="AJ20" s="27">
        <v>4.0</v>
      </c>
      <c r="AK20" s="27">
        <v>2.0</v>
      </c>
      <c r="AL20" s="27">
        <v>4.0</v>
      </c>
      <c r="AM20" s="27">
        <v>3.0</v>
      </c>
      <c r="AN20" s="27">
        <v>5.0</v>
      </c>
      <c r="AO20" s="27">
        <v>3.0</v>
      </c>
      <c r="AP20" s="27">
        <v>5.0</v>
      </c>
      <c r="AQ20" s="27">
        <v>4.0</v>
      </c>
      <c r="AR20" s="27">
        <v>5.0</v>
      </c>
      <c r="AS20" s="27">
        <v>5.0</v>
      </c>
      <c r="AT20" s="27">
        <v>3.0</v>
      </c>
      <c r="AU20" s="27">
        <v>3.0</v>
      </c>
      <c r="AV20" s="27">
        <v>3.0</v>
      </c>
      <c r="AW20" s="27">
        <v>4.0</v>
      </c>
      <c r="AX20" s="27">
        <v>5.0</v>
      </c>
      <c r="AY20" s="27">
        <v>3.0</v>
      </c>
      <c r="AZ20" s="27">
        <v>2.0</v>
      </c>
      <c r="BA20" s="27">
        <v>3.0</v>
      </c>
      <c r="BB20" s="27">
        <v>3.0</v>
      </c>
      <c r="BC20" s="27">
        <v>5.0</v>
      </c>
      <c r="BD20" s="27">
        <v>4.0</v>
      </c>
      <c r="BE20" s="27">
        <v>4.0</v>
      </c>
      <c r="BF20" s="27">
        <v>4.0</v>
      </c>
      <c r="BG20" s="27">
        <v>5.0</v>
      </c>
      <c r="BH20" s="27">
        <v>5.0</v>
      </c>
      <c r="BI20" s="27">
        <v>4.0</v>
      </c>
      <c r="BJ20" s="28">
        <f t="shared" si="1"/>
        <v>221</v>
      </c>
      <c r="BK20" s="29">
        <f t="shared" si="2"/>
        <v>0.1196118839</v>
      </c>
      <c r="BL20" s="27"/>
      <c r="BM20" s="27"/>
      <c r="BN20" s="27"/>
      <c r="BO20" s="27"/>
      <c r="BP20" s="27"/>
    </row>
    <row r="21">
      <c r="A21" s="22" t="s">
        <v>167</v>
      </c>
      <c r="B21" s="27">
        <v>2.0</v>
      </c>
      <c r="C21" s="27">
        <v>4.0</v>
      </c>
      <c r="D21" s="27">
        <v>4.0</v>
      </c>
      <c r="E21" s="27">
        <v>3.0</v>
      </c>
      <c r="F21" s="27">
        <v>4.0</v>
      </c>
      <c r="G21" s="27">
        <v>3.0</v>
      </c>
      <c r="H21" s="27">
        <v>3.0</v>
      </c>
      <c r="I21" s="27">
        <v>2.0</v>
      </c>
      <c r="J21" s="27">
        <v>4.0</v>
      </c>
      <c r="K21" s="27">
        <v>4.0</v>
      </c>
      <c r="L21" s="27">
        <v>3.0</v>
      </c>
      <c r="M21" s="27">
        <v>5.0</v>
      </c>
      <c r="N21" s="27">
        <v>4.0</v>
      </c>
      <c r="O21" s="27">
        <v>4.0</v>
      </c>
      <c r="P21" s="27">
        <v>5.0</v>
      </c>
      <c r="Q21" s="27">
        <v>3.0</v>
      </c>
      <c r="R21" s="27">
        <v>5.0</v>
      </c>
      <c r="S21" s="27">
        <v>4.0</v>
      </c>
      <c r="T21" s="30">
        <v>1.0</v>
      </c>
      <c r="U21" s="27">
        <v>4.0</v>
      </c>
      <c r="V21" s="27">
        <v>4.0</v>
      </c>
      <c r="W21" s="27">
        <v>2.0</v>
      </c>
      <c r="X21" s="27">
        <v>3.0</v>
      </c>
      <c r="Y21" s="27">
        <v>3.0</v>
      </c>
      <c r="Z21" s="27">
        <v>3.0</v>
      </c>
      <c r="AA21" s="27">
        <v>3.0</v>
      </c>
      <c r="AB21" s="27">
        <v>5.0</v>
      </c>
      <c r="AC21" s="27">
        <v>3.0</v>
      </c>
      <c r="AD21" s="27">
        <v>2.0</v>
      </c>
      <c r="AE21" s="27">
        <v>3.0</v>
      </c>
      <c r="AF21" s="27">
        <v>4.0</v>
      </c>
      <c r="AG21" s="27">
        <v>3.0</v>
      </c>
      <c r="AH21" s="27">
        <v>4.0</v>
      </c>
      <c r="AI21" s="27">
        <v>4.0</v>
      </c>
      <c r="AJ21" s="27">
        <v>3.0</v>
      </c>
      <c r="AK21" s="27">
        <v>2.0</v>
      </c>
      <c r="AL21" s="27">
        <v>3.0</v>
      </c>
      <c r="AM21" s="27">
        <v>3.0</v>
      </c>
      <c r="AN21" s="27">
        <v>5.0</v>
      </c>
      <c r="AO21" s="27">
        <v>4.0</v>
      </c>
      <c r="AP21" s="27">
        <v>5.0</v>
      </c>
      <c r="AQ21" s="27">
        <v>4.0</v>
      </c>
      <c r="AR21" s="27">
        <v>3.0</v>
      </c>
      <c r="AS21" s="27">
        <v>4.0</v>
      </c>
      <c r="AT21" s="27">
        <v>2.0</v>
      </c>
      <c r="AU21" s="27">
        <v>2.0</v>
      </c>
      <c r="AV21" s="27">
        <v>3.0</v>
      </c>
      <c r="AW21" s="27">
        <v>4.0</v>
      </c>
      <c r="AX21" s="27">
        <v>4.0</v>
      </c>
      <c r="AY21" s="27">
        <v>3.0</v>
      </c>
      <c r="AZ21" s="27">
        <v>3.0</v>
      </c>
      <c r="BA21" s="27">
        <v>3.0</v>
      </c>
      <c r="BB21" s="27">
        <v>5.0</v>
      </c>
      <c r="BC21" s="27">
        <v>3.0</v>
      </c>
      <c r="BD21" s="27">
        <v>3.0</v>
      </c>
      <c r="BE21" s="27">
        <v>4.0</v>
      </c>
      <c r="BF21" s="27">
        <v>4.0</v>
      </c>
      <c r="BG21" s="27">
        <v>5.0</v>
      </c>
      <c r="BH21" s="27">
        <v>4.0</v>
      </c>
      <c r="BI21" s="27">
        <v>3.0</v>
      </c>
      <c r="BJ21" s="28">
        <f t="shared" si="1"/>
        <v>208</v>
      </c>
      <c r="BK21" s="29">
        <f t="shared" si="2"/>
        <v>0.05375236133</v>
      </c>
      <c r="BL21" s="27"/>
      <c r="BM21" s="27"/>
      <c r="BN21" s="27"/>
      <c r="BO21" s="27"/>
      <c r="BP21" s="27"/>
    </row>
    <row r="22">
      <c r="A22" s="22" t="s">
        <v>168</v>
      </c>
      <c r="B22" s="27">
        <v>3.0</v>
      </c>
      <c r="C22" s="27">
        <v>3.0</v>
      </c>
      <c r="D22" s="27">
        <v>4.0</v>
      </c>
      <c r="E22" s="27">
        <v>3.0</v>
      </c>
      <c r="F22" s="27">
        <v>4.0</v>
      </c>
      <c r="G22" s="27">
        <v>4.0</v>
      </c>
      <c r="H22" s="27">
        <v>4.0</v>
      </c>
      <c r="I22" s="27">
        <v>3.0</v>
      </c>
      <c r="J22" s="27">
        <v>4.0</v>
      </c>
      <c r="K22" s="27">
        <v>3.0</v>
      </c>
      <c r="L22" s="27">
        <v>3.0</v>
      </c>
      <c r="M22" s="27">
        <v>4.0</v>
      </c>
      <c r="N22" s="27">
        <v>4.0</v>
      </c>
      <c r="O22" s="27">
        <v>4.0</v>
      </c>
      <c r="P22" s="27">
        <v>5.0</v>
      </c>
      <c r="Q22" s="27">
        <v>3.0</v>
      </c>
      <c r="R22" s="27">
        <v>2.0</v>
      </c>
      <c r="S22" s="27">
        <v>4.0</v>
      </c>
      <c r="T22" s="27">
        <v>4.0</v>
      </c>
      <c r="U22" s="30">
        <v>1.0</v>
      </c>
      <c r="V22" s="27">
        <v>4.0</v>
      </c>
      <c r="W22" s="27">
        <v>3.0</v>
      </c>
      <c r="X22" s="27">
        <v>3.0</v>
      </c>
      <c r="Y22" s="27">
        <v>3.0</v>
      </c>
      <c r="Z22" s="27">
        <v>5.0</v>
      </c>
      <c r="AA22" s="27">
        <v>4.0</v>
      </c>
      <c r="AB22" s="27">
        <v>4.0</v>
      </c>
      <c r="AC22" s="27">
        <v>4.0</v>
      </c>
      <c r="AD22" s="27">
        <v>3.0</v>
      </c>
      <c r="AE22" s="27">
        <v>4.0</v>
      </c>
      <c r="AF22" s="27">
        <v>4.0</v>
      </c>
      <c r="AG22" s="27">
        <v>3.0</v>
      </c>
      <c r="AH22" s="27">
        <v>3.0</v>
      </c>
      <c r="AI22" s="27">
        <v>5.0</v>
      </c>
      <c r="AJ22" s="27">
        <v>4.0</v>
      </c>
      <c r="AK22" s="27">
        <v>2.0</v>
      </c>
      <c r="AL22" s="27">
        <v>3.0</v>
      </c>
      <c r="AM22" s="27">
        <v>3.0</v>
      </c>
      <c r="AN22" s="27">
        <v>3.0</v>
      </c>
      <c r="AO22" s="27">
        <v>3.0</v>
      </c>
      <c r="AP22" s="27">
        <v>5.0</v>
      </c>
      <c r="AQ22" s="27">
        <v>4.0</v>
      </c>
      <c r="AR22" s="27">
        <v>4.0</v>
      </c>
      <c r="AS22" s="27">
        <v>5.0</v>
      </c>
      <c r="AT22" s="27">
        <v>2.0</v>
      </c>
      <c r="AU22" s="27">
        <v>2.0</v>
      </c>
      <c r="AV22" s="27">
        <v>4.0</v>
      </c>
      <c r="AW22" s="27">
        <v>5.0</v>
      </c>
      <c r="AX22" s="27">
        <v>4.0</v>
      </c>
      <c r="AY22" s="27">
        <v>2.0</v>
      </c>
      <c r="AZ22" s="27">
        <v>4.0</v>
      </c>
      <c r="BA22" s="27">
        <v>2.0</v>
      </c>
      <c r="BB22" s="27">
        <v>3.0</v>
      </c>
      <c r="BC22" s="27">
        <v>4.0</v>
      </c>
      <c r="BD22" s="27">
        <v>3.0</v>
      </c>
      <c r="BE22" s="27">
        <v>3.0</v>
      </c>
      <c r="BF22" s="27">
        <v>3.0</v>
      </c>
      <c r="BG22" s="27">
        <v>4.0</v>
      </c>
      <c r="BH22" s="27">
        <v>4.0</v>
      </c>
      <c r="BI22" s="27">
        <v>4.0</v>
      </c>
      <c r="BJ22" s="28">
        <f t="shared" si="1"/>
        <v>210</v>
      </c>
      <c r="BK22" s="29">
        <f t="shared" si="2"/>
        <v>0.06388459557</v>
      </c>
      <c r="BL22" s="27"/>
      <c r="BM22" s="27"/>
      <c r="BN22" s="27"/>
      <c r="BO22" s="27"/>
      <c r="BP22" s="27"/>
    </row>
    <row r="23">
      <c r="A23" s="22" t="s">
        <v>169</v>
      </c>
      <c r="B23" s="27">
        <v>3.0</v>
      </c>
      <c r="C23" s="27">
        <v>4.0</v>
      </c>
      <c r="D23" s="27">
        <v>4.0</v>
      </c>
      <c r="E23" s="27">
        <v>4.0</v>
      </c>
      <c r="F23" s="27">
        <v>5.0</v>
      </c>
      <c r="G23" s="27">
        <v>2.0</v>
      </c>
      <c r="H23" s="27">
        <v>5.0</v>
      </c>
      <c r="I23" s="27">
        <v>2.0</v>
      </c>
      <c r="J23" s="27">
        <v>5.0</v>
      </c>
      <c r="K23" s="27">
        <v>2.0</v>
      </c>
      <c r="L23" s="27">
        <v>2.0</v>
      </c>
      <c r="M23" s="27">
        <v>2.0</v>
      </c>
      <c r="N23" s="27">
        <v>4.0</v>
      </c>
      <c r="O23" s="27">
        <v>5.0</v>
      </c>
      <c r="P23" s="27">
        <v>4.0</v>
      </c>
      <c r="Q23" s="27">
        <v>5.0</v>
      </c>
      <c r="R23" s="27">
        <v>3.0</v>
      </c>
      <c r="S23" s="27">
        <v>5.0</v>
      </c>
      <c r="T23" s="27">
        <v>4.0</v>
      </c>
      <c r="U23" s="27">
        <v>4.0</v>
      </c>
      <c r="V23" s="30">
        <v>1.0</v>
      </c>
      <c r="W23" s="27">
        <v>4.0</v>
      </c>
      <c r="X23" s="27">
        <v>3.0</v>
      </c>
      <c r="Y23" s="27">
        <v>4.0</v>
      </c>
      <c r="Z23" s="27">
        <v>2.0</v>
      </c>
      <c r="AA23" s="27">
        <v>4.0</v>
      </c>
      <c r="AB23" s="27">
        <v>5.0</v>
      </c>
      <c r="AC23" s="27">
        <v>4.0</v>
      </c>
      <c r="AD23" s="27">
        <v>4.0</v>
      </c>
      <c r="AE23" s="27">
        <v>4.0</v>
      </c>
      <c r="AF23" s="27">
        <v>4.0</v>
      </c>
      <c r="AG23" s="27">
        <v>3.0</v>
      </c>
      <c r="AH23" s="27">
        <v>2.0</v>
      </c>
      <c r="AI23" s="27">
        <v>3.0</v>
      </c>
      <c r="AJ23" s="27">
        <v>3.0</v>
      </c>
      <c r="AK23" s="27">
        <v>3.0</v>
      </c>
      <c r="AL23" s="27">
        <v>5.0</v>
      </c>
      <c r="AM23" s="27">
        <v>3.0</v>
      </c>
      <c r="AN23" s="27">
        <v>4.0</v>
      </c>
      <c r="AO23" s="27">
        <v>4.0</v>
      </c>
      <c r="AP23" s="27">
        <v>5.0</v>
      </c>
      <c r="AQ23" s="27">
        <v>4.0</v>
      </c>
      <c r="AR23" s="27">
        <v>5.0</v>
      </c>
      <c r="AS23" s="27">
        <v>3.0</v>
      </c>
      <c r="AT23" s="27">
        <v>3.0</v>
      </c>
      <c r="AU23" s="27">
        <v>3.0</v>
      </c>
      <c r="AV23" s="27">
        <v>2.0</v>
      </c>
      <c r="AW23" s="27">
        <v>4.0</v>
      </c>
      <c r="AX23" s="27">
        <v>5.0</v>
      </c>
      <c r="AY23" s="27">
        <v>2.0</v>
      </c>
      <c r="AZ23" s="27">
        <v>3.0</v>
      </c>
      <c r="BA23" s="27">
        <v>3.0</v>
      </c>
      <c r="BB23" s="27">
        <v>3.0</v>
      </c>
      <c r="BC23" s="27">
        <v>5.0</v>
      </c>
      <c r="BD23" s="27">
        <v>3.0</v>
      </c>
      <c r="BE23" s="27">
        <v>5.0</v>
      </c>
      <c r="BF23" s="27">
        <v>3.0</v>
      </c>
      <c r="BG23" s="27">
        <v>5.0</v>
      </c>
      <c r="BH23" s="27">
        <v>5.0</v>
      </c>
      <c r="BI23" s="27">
        <v>2.0</v>
      </c>
      <c r="BJ23" s="28">
        <f t="shared" si="1"/>
        <v>216</v>
      </c>
      <c r="BK23" s="29">
        <f t="shared" si="2"/>
        <v>0.0942812983</v>
      </c>
      <c r="BL23" s="27"/>
      <c r="BM23" s="27"/>
      <c r="BN23" s="27"/>
      <c r="BO23" s="27"/>
      <c r="BP23" s="27"/>
    </row>
    <row r="24">
      <c r="A24" s="22" t="s">
        <v>170</v>
      </c>
      <c r="B24" s="27">
        <v>2.0</v>
      </c>
      <c r="C24" s="27">
        <v>2.0</v>
      </c>
      <c r="D24" s="27">
        <v>3.0</v>
      </c>
      <c r="E24" s="27">
        <v>3.0</v>
      </c>
      <c r="F24" s="27">
        <v>3.0</v>
      </c>
      <c r="G24" s="27">
        <v>1.0</v>
      </c>
      <c r="H24" s="27">
        <v>3.0</v>
      </c>
      <c r="I24" s="27">
        <v>2.0</v>
      </c>
      <c r="J24" s="27">
        <v>4.0</v>
      </c>
      <c r="K24" s="27">
        <v>3.0</v>
      </c>
      <c r="L24" s="27">
        <v>4.0</v>
      </c>
      <c r="M24" s="27">
        <v>3.0</v>
      </c>
      <c r="N24" s="27">
        <v>1.0</v>
      </c>
      <c r="O24" s="27">
        <v>5.0</v>
      </c>
      <c r="P24" s="27">
        <v>1.0</v>
      </c>
      <c r="Q24" s="27">
        <v>5.0</v>
      </c>
      <c r="R24" s="27">
        <v>1.0</v>
      </c>
      <c r="S24" s="27">
        <v>2.0</v>
      </c>
      <c r="T24" s="27">
        <v>1.0</v>
      </c>
      <c r="U24" s="27">
        <v>3.0</v>
      </c>
      <c r="V24" s="27">
        <v>5.0</v>
      </c>
      <c r="W24" s="30">
        <v>1.0</v>
      </c>
      <c r="X24" s="27">
        <v>3.0</v>
      </c>
      <c r="Y24" s="27">
        <v>4.0</v>
      </c>
      <c r="Z24" s="27">
        <v>2.0</v>
      </c>
      <c r="AA24" s="27">
        <v>4.0</v>
      </c>
      <c r="AB24" s="27">
        <v>2.0</v>
      </c>
      <c r="AC24" s="27">
        <v>5.0</v>
      </c>
      <c r="AD24" s="27">
        <v>2.0</v>
      </c>
      <c r="AE24" s="27">
        <v>3.0</v>
      </c>
      <c r="AF24" s="27">
        <v>2.0</v>
      </c>
      <c r="AG24" s="27">
        <v>3.0</v>
      </c>
      <c r="AH24" s="27">
        <v>1.0</v>
      </c>
      <c r="AI24" s="27">
        <v>1.0</v>
      </c>
      <c r="AJ24" s="27">
        <v>1.0</v>
      </c>
      <c r="AK24" s="27">
        <v>3.0</v>
      </c>
      <c r="AL24" s="27">
        <v>5.0</v>
      </c>
      <c r="AM24" s="27">
        <v>2.0</v>
      </c>
      <c r="AN24" s="27">
        <v>2.0</v>
      </c>
      <c r="AO24" s="27">
        <v>2.0</v>
      </c>
      <c r="AP24" s="27">
        <v>4.0</v>
      </c>
      <c r="AQ24" s="27">
        <v>3.0</v>
      </c>
      <c r="AR24" s="27">
        <v>3.0</v>
      </c>
      <c r="AS24" s="27">
        <v>2.0</v>
      </c>
      <c r="AT24" s="27">
        <v>5.0</v>
      </c>
      <c r="AU24" s="27">
        <v>5.0</v>
      </c>
      <c r="AV24" s="27">
        <v>1.0</v>
      </c>
      <c r="AW24" s="27">
        <v>3.0</v>
      </c>
      <c r="AX24" s="27">
        <v>4.0</v>
      </c>
      <c r="AY24" s="27">
        <v>3.0</v>
      </c>
      <c r="AZ24" s="27">
        <v>4.0</v>
      </c>
      <c r="BA24" s="27">
        <v>2.0</v>
      </c>
      <c r="BB24" s="27">
        <v>1.0</v>
      </c>
      <c r="BC24" s="27">
        <v>1.0</v>
      </c>
      <c r="BD24" s="27">
        <v>2.0</v>
      </c>
      <c r="BE24" s="27">
        <v>4.0</v>
      </c>
      <c r="BF24" s="27">
        <v>3.0</v>
      </c>
      <c r="BG24" s="27">
        <v>4.0</v>
      </c>
      <c r="BH24" s="27">
        <v>4.0</v>
      </c>
      <c r="BI24" s="27">
        <v>5.0</v>
      </c>
      <c r="BJ24" s="28">
        <f t="shared" si="1"/>
        <v>168</v>
      </c>
      <c r="BK24" s="29">
        <f t="shared" si="2"/>
        <v>-0.1488923235</v>
      </c>
      <c r="BL24" s="27"/>
      <c r="BM24" s="27"/>
      <c r="BN24" s="27"/>
      <c r="BO24" s="27"/>
      <c r="BP24" s="27"/>
    </row>
    <row r="25">
      <c r="A25" s="22" t="s">
        <v>171</v>
      </c>
      <c r="B25" s="27">
        <v>3.0</v>
      </c>
      <c r="C25" s="27">
        <v>3.0</v>
      </c>
      <c r="D25" s="27">
        <v>4.0</v>
      </c>
      <c r="E25" s="27">
        <v>3.0</v>
      </c>
      <c r="F25" s="27">
        <v>3.0</v>
      </c>
      <c r="G25" s="27">
        <v>3.0</v>
      </c>
      <c r="H25" s="27">
        <v>4.0</v>
      </c>
      <c r="I25" s="27">
        <v>4.0</v>
      </c>
      <c r="J25" s="27">
        <v>4.0</v>
      </c>
      <c r="K25" s="27">
        <v>3.0</v>
      </c>
      <c r="L25" s="27">
        <v>3.0</v>
      </c>
      <c r="M25" s="27">
        <v>4.0</v>
      </c>
      <c r="N25" s="27">
        <v>4.0</v>
      </c>
      <c r="O25" s="27">
        <v>5.0</v>
      </c>
      <c r="P25" s="27">
        <v>5.0</v>
      </c>
      <c r="Q25" s="27">
        <v>3.0</v>
      </c>
      <c r="R25" s="27">
        <v>3.0</v>
      </c>
      <c r="S25" s="27">
        <v>4.0</v>
      </c>
      <c r="T25" s="27">
        <v>3.0</v>
      </c>
      <c r="U25" s="27">
        <v>3.0</v>
      </c>
      <c r="V25" s="27">
        <v>3.0</v>
      </c>
      <c r="W25" s="27">
        <v>3.0</v>
      </c>
      <c r="X25" s="30">
        <v>1.0</v>
      </c>
      <c r="Y25" s="27">
        <v>4.0</v>
      </c>
      <c r="Z25" s="27">
        <v>4.0</v>
      </c>
      <c r="AA25" s="27">
        <v>4.0</v>
      </c>
      <c r="AB25" s="27">
        <v>3.0</v>
      </c>
      <c r="AC25" s="27">
        <v>3.0</v>
      </c>
      <c r="AD25" s="27">
        <v>3.0</v>
      </c>
      <c r="AE25" s="27">
        <v>3.0</v>
      </c>
      <c r="AF25" s="27">
        <v>3.0</v>
      </c>
      <c r="AG25" s="27">
        <v>3.0</v>
      </c>
      <c r="AH25" s="27">
        <v>4.0</v>
      </c>
      <c r="AI25" s="27">
        <v>3.0</v>
      </c>
      <c r="AJ25" s="27">
        <v>3.0</v>
      </c>
      <c r="AK25" s="27">
        <v>3.0</v>
      </c>
      <c r="AL25" s="27">
        <v>5.0</v>
      </c>
      <c r="AM25" s="27">
        <v>3.0</v>
      </c>
      <c r="AN25" s="27">
        <v>4.0</v>
      </c>
      <c r="AO25" s="27">
        <v>3.0</v>
      </c>
      <c r="AP25" s="27">
        <v>3.0</v>
      </c>
      <c r="AQ25" s="27">
        <v>4.0</v>
      </c>
      <c r="AR25" s="27">
        <v>5.0</v>
      </c>
      <c r="AS25" s="27">
        <v>4.0</v>
      </c>
      <c r="AT25" s="27">
        <v>3.0</v>
      </c>
      <c r="AU25" s="27">
        <v>3.0</v>
      </c>
      <c r="AV25" s="27">
        <v>3.0</v>
      </c>
      <c r="AW25" s="27">
        <v>5.0</v>
      </c>
      <c r="AX25" s="27">
        <v>4.0</v>
      </c>
      <c r="AY25" s="27">
        <v>3.0</v>
      </c>
      <c r="AZ25" s="27">
        <v>4.0</v>
      </c>
      <c r="BA25" s="27">
        <v>4.0</v>
      </c>
      <c r="BB25" s="27">
        <v>3.0</v>
      </c>
      <c r="BC25" s="27">
        <v>3.0</v>
      </c>
      <c r="BD25" s="27">
        <v>3.0</v>
      </c>
      <c r="BE25" s="27">
        <v>4.0</v>
      </c>
      <c r="BF25" s="27">
        <v>3.0</v>
      </c>
      <c r="BG25" s="27">
        <v>3.0</v>
      </c>
      <c r="BH25" s="27">
        <v>4.0</v>
      </c>
      <c r="BI25" s="27">
        <v>3.0</v>
      </c>
      <c r="BJ25" s="28">
        <f t="shared" si="1"/>
        <v>207</v>
      </c>
      <c r="BK25" s="29">
        <f t="shared" si="2"/>
        <v>0.0486862442</v>
      </c>
      <c r="BL25" s="27"/>
      <c r="BM25" s="27"/>
      <c r="BN25" s="27"/>
      <c r="BO25" s="27"/>
      <c r="BP25" s="27"/>
    </row>
    <row r="26">
      <c r="A26" s="22" t="s">
        <v>172</v>
      </c>
      <c r="B26" s="27">
        <v>4.0</v>
      </c>
      <c r="C26" s="27">
        <v>3.0</v>
      </c>
      <c r="D26" s="27">
        <v>5.0</v>
      </c>
      <c r="E26" s="27">
        <v>3.0</v>
      </c>
      <c r="F26" s="27">
        <v>4.0</v>
      </c>
      <c r="G26" s="27">
        <v>4.0</v>
      </c>
      <c r="H26" s="27">
        <v>3.0</v>
      </c>
      <c r="I26" s="27">
        <v>3.0</v>
      </c>
      <c r="J26" s="27">
        <v>5.0</v>
      </c>
      <c r="K26" s="27">
        <v>5.0</v>
      </c>
      <c r="L26" s="27">
        <v>4.0</v>
      </c>
      <c r="M26" s="27">
        <v>4.0</v>
      </c>
      <c r="N26" s="27">
        <v>4.0</v>
      </c>
      <c r="O26" s="27">
        <v>4.0</v>
      </c>
      <c r="P26" s="27">
        <v>5.0</v>
      </c>
      <c r="Q26" s="27">
        <v>4.0</v>
      </c>
      <c r="R26" s="27">
        <v>5.0</v>
      </c>
      <c r="S26" s="27">
        <v>4.0</v>
      </c>
      <c r="T26" s="27">
        <v>4.0</v>
      </c>
      <c r="U26" s="27">
        <v>4.0</v>
      </c>
      <c r="V26" s="27">
        <v>3.0</v>
      </c>
      <c r="W26" s="27">
        <v>3.0</v>
      </c>
      <c r="X26" s="27">
        <v>4.0</v>
      </c>
      <c r="Y26" s="30">
        <v>1.0</v>
      </c>
      <c r="Z26" s="27">
        <v>3.0</v>
      </c>
      <c r="AA26" s="27">
        <v>3.0</v>
      </c>
      <c r="AB26" s="27">
        <v>5.0</v>
      </c>
      <c r="AC26" s="27">
        <v>3.0</v>
      </c>
      <c r="AD26" s="27">
        <v>3.0</v>
      </c>
      <c r="AE26" s="27">
        <v>4.0</v>
      </c>
      <c r="AF26" s="27">
        <v>3.0</v>
      </c>
      <c r="AG26" s="27">
        <v>5.0</v>
      </c>
      <c r="AH26" s="27">
        <v>5.0</v>
      </c>
      <c r="AI26" s="27">
        <v>3.0</v>
      </c>
      <c r="AJ26" s="27">
        <v>4.0</v>
      </c>
      <c r="AK26" s="27">
        <v>3.0</v>
      </c>
      <c r="AL26" s="27">
        <v>3.0</v>
      </c>
      <c r="AM26" s="27">
        <v>3.0</v>
      </c>
      <c r="AN26" s="27">
        <v>4.0</v>
      </c>
      <c r="AO26" s="27">
        <v>3.0</v>
      </c>
      <c r="AP26" s="27">
        <v>4.0</v>
      </c>
      <c r="AQ26" s="27">
        <v>4.0</v>
      </c>
      <c r="AR26" s="27">
        <v>4.0</v>
      </c>
      <c r="AS26" s="27">
        <v>4.0</v>
      </c>
      <c r="AT26" s="27">
        <v>3.0</v>
      </c>
      <c r="AU26" s="27">
        <v>3.0</v>
      </c>
      <c r="AV26" s="27">
        <v>3.0</v>
      </c>
      <c r="AW26" s="27">
        <v>4.0</v>
      </c>
      <c r="AX26" s="27">
        <v>4.0</v>
      </c>
      <c r="AY26" s="27">
        <v>4.0</v>
      </c>
      <c r="AZ26" s="27">
        <v>3.0</v>
      </c>
      <c r="BA26" s="27">
        <v>3.0</v>
      </c>
      <c r="BB26" s="27">
        <v>4.0</v>
      </c>
      <c r="BC26" s="27">
        <v>5.0</v>
      </c>
      <c r="BD26" s="27">
        <v>5.0</v>
      </c>
      <c r="BE26" s="27">
        <v>5.0</v>
      </c>
      <c r="BF26" s="27">
        <v>3.0</v>
      </c>
      <c r="BG26" s="27">
        <v>3.0</v>
      </c>
      <c r="BH26" s="27">
        <v>5.0</v>
      </c>
      <c r="BI26" s="27">
        <v>3.0</v>
      </c>
      <c r="BJ26" s="28">
        <f t="shared" si="1"/>
        <v>225</v>
      </c>
      <c r="BK26" s="29">
        <f t="shared" si="2"/>
        <v>0.1398763524</v>
      </c>
      <c r="BL26" s="27"/>
      <c r="BM26" s="27"/>
      <c r="BN26" s="27"/>
      <c r="BO26" s="27"/>
      <c r="BP26" s="27"/>
    </row>
    <row r="27">
      <c r="A27" s="22" t="s">
        <v>173</v>
      </c>
      <c r="B27" s="27">
        <v>2.0</v>
      </c>
      <c r="C27" s="27">
        <v>3.0</v>
      </c>
      <c r="D27" s="27">
        <v>5.0</v>
      </c>
      <c r="E27" s="27">
        <v>2.0</v>
      </c>
      <c r="F27" s="27">
        <v>3.0</v>
      </c>
      <c r="G27" s="27">
        <v>3.0</v>
      </c>
      <c r="H27" s="27">
        <v>2.0</v>
      </c>
      <c r="I27" s="27">
        <v>2.0</v>
      </c>
      <c r="J27" s="27">
        <v>3.0</v>
      </c>
      <c r="K27" s="27">
        <v>3.0</v>
      </c>
      <c r="L27" s="27">
        <v>2.0</v>
      </c>
      <c r="M27" s="27">
        <v>4.0</v>
      </c>
      <c r="N27" s="27">
        <v>3.0</v>
      </c>
      <c r="O27" s="27">
        <v>3.0</v>
      </c>
      <c r="P27" s="27">
        <v>3.0</v>
      </c>
      <c r="Q27" s="27">
        <v>3.0</v>
      </c>
      <c r="R27" s="27">
        <v>1.0</v>
      </c>
      <c r="S27" s="27">
        <v>3.0</v>
      </c>
      <c r="T27" s="27">
        <v>4.0</v>
      </c>
      <c r="U27" s="27">
        <v>3.0</v>
      </c>
      <c r="V27" s="27">
        <v>2.0</v>
      </c>
      <c r="W27" s="27">
        <v>2.0</v>
      </c>
      <c r="X27" s="27">
        <v>4.0</v>
      </c>
      <c r="Y27" s="27">
        <v>2.0</v>
      </c>
      <c r="Z27" s="30">
        <v>1.0</v>
      </c>
      <c r="AA27" s="27">
        <v>5.0</v>
      </c>
      <c r="AB27" s="27">
        <v>3.0</v>
      </c>
      <c r="AC27" s="27">
        <v>3.0</v>
      </c>
      <c r="AD27" s="27">
        <v>2.0</v>
      </c>
      <c r="AE27" s="27">
        <v>2.0</v>
      </c>
      <c r="AF27" s="27">
        <v>3.0</v>
      </c>
      <c r="AG27" s="27">
        <v>2.0</v>
      </c>
      <c r="AH27" s="27">
        <v>2.0</v>
      </c>
      <c r="AI27" s="27">
        <v>4.0</v>
      </c>
      <c r="AJ27" s="27">
        <v>1.0</v>
      </c>
      <c r="AK27" s="27">
        <v>2.0</v>
      </c>
      <c r="AL27" s="27">
        <v>2.0</v>
      </c>
      <c r="AM27" s="27">
        <v>4.0</v>
      </c>
      <c r="AN27" s="27">
        <v>2.0</v>
      </c>
      <c r="AO27" s="27">
        <v>2.0</v>
      </c>
      <c r="AP27" s="27">
        <v>4.0</v>
      </c>
      <c r="AQ27" s="27">
        <v>2.0</v>
      </c>
      <c r="AR27" s="27">
        <v>4.0</v>
      </c>
      <c r="AS27" s="27">
        <v>4.0</v>
      </c>
      <c r="AT27" s="27">
        <v>3.0</v>
      </c>
      <c r="AU27" s="27">
        <v>2.0</v>
      </c>
      <c r="AV27" s="27">
        <v>1.0</v>
      </c>
      <c r="AW27" s="27">
        <v>3.0</v>
      </c>
      <c r="AX27" s="27">
        <v>3.0</v>
      </c>
      <c r="AY27" s="27">
        <v>3.0</v>
      </c>
      <c r="AZ27" s="27">
        <v>3.0</v>
      </c>
      <c r="BA27" s="27">
        <v>3.0</v>
      </c>
      <c r="BB27" s="27">
        <v>2.0</v>
      </c>
      <c r="BC27" s="27">
        <v>2.0</v>
      </c>
      <c r="BD27" s="27">
        <v>2.0</v>
      </c>
      <c r="BE27" s="27">
        <v>2.0</v>
      </c>
      <c r="BF27" s="27">
        <v>2.0</v>
      </c>
      <c r="BG27" s="27">
        <v>3.0</v>
      </c>
      <c r="BH27" s="27">
        <v>4.0</v>
      </c>
      <c r="BI27" s="27">
        <v>2.0</v>
      </c>
      <c r="BJ27" s="28">
        <f t="shared" si="1"/>
        <v>161</v>
      </c>
      <c r="BK27" s="29">
        <f t="shared" si="2"/>
        <v>-0.1843551434</v>
      </c>
      <c r="BL27" s="27"/>
      <c r="BM27" s="27"/>
      <c r="BN27" s="27"/>
      <c r="BO27" s="27"/>
      <c r="BP27" s="27"/>
    </row>
    <row r="28">
      <c r="A28" s="22" t="s">
        <v>174</v>
      </c>
      <c r="B28" s="27">
        <v>2.0</v>
      </c>
      <c r="C28" s="27">
        <v>4.0</v>
      </c>
      <c r="D28" s="27">
        <v>5.0</v>
      </c>
      <c r="E28" s="27">
        <v>4.0</v>
      </c>
      <c r="F28" s="27">
        <v>3.0</v>
      </c>
      <c r="G28" s="27">
        <v>4.0</v>
      </c>
      <c r="H28" s="27">
        <v>4.0</v>
      </c>
      <c r="I28" s="27">
        <v>3.0</v>
      </c>
      <c r="J28" s="27">
        <v>4.0</v>
      </c>
      <c r="K28" s="27">
        <v>4.0</v>
      </c>
      <c r="L28" s="27">
        <v>3.0</v>
      </c>
      <c r="M28" s="27">
        <v>4.0</v>
      </c>
      <c r="N28" s="27">
        <v>4.0</v>
      </c>
      <c r="O28" s="27">
        <v>4.0</v>
      </c>
      <c r="P28" s="27">
        <v>4.0</v>
      </c>
      <c r="Q28" s="27">
        <v>4.0</v>
      </c>
      <c r="R28" s="27">
        <v>3.0</v>
      </c>
      <c r="S28" s="27">
        <v>3.0</v>
      </c>
      <c r="T28" s="27">
        <v>3.0</v>
      </c>
      <c r="U28" s="27">
        <v>3.0</v>
      </c>
      <c r="V28" s="27">
        <v>3.0</v>
      </c>
      <c r="W28" s="27">
        <v>3.0</v>
      </c>
      <c r="X28" s="27">
        <v>3.0</v>
      </c>
      <c r="Y28" s="27">
        <v>4.0</v>
      </c>
      <c r="Z28" s="27">
        <v>3.0</v>
      </c>
      <c r="AA28" s="30">
        <v>1.0</v>
      </c>
      <c r="AB28" s="27">
        <v>3.0</v>
      </c>
      <c r="AC28" s="27">
        <v>4.0</v>
      </c>
      <c r="AD28" s="27">
        <v>3.0</v>
      </c>
      <c r="AE28" s="27">
        <v>3.0</v>
      </c>
      <c r="AF28" s="27">
        <v>3.0</v>
      </c>
      <c r="AG28" s="27">
        <v>3.0</v>
      </c>
      <c r="AH28" s="27">
        <v>3.0</v>
      </c>
      <c r="AI28" s="27">
        <v>4.0</v>
      </c>
      <c r="AJ28" s="27">
        <v>3.0</v>
      </c>
      <c r="AK28" s="27">
        <v>3.0</v>
      </c>
      <c r="AL28" s="27">
        <v>4.0</v>
      </c>
      <c r="AM28" s="27">
        <v>4.0</v>
      </c>
      <c r="AN28" s="27">
        <v>4.0</v>
      </c>
      <c r="AO28" s="27">
        <v>4.0</v>
      </c>
      <c r="AP28" s="27">
        <v>3.0</v>
      </c>
      <c r="AQ28" s="27">
        <v>4.0</v>
      </c>
      <c r="AR28" s="27">
        <v>5.0</v>
      </c>
      <c r="AS28" s="27">
        <v>4.0</v>
      </c>
      <c r="AT28" s="27">
        <v>3.0</v>
      </c>
      <c r="AU28" s="27">
        <v>3.0</v>
      </c>
      <c r="AV28" s="27">
        <v>3.0</v>
      </c>
      <c r="AW28" s="27">
        <v>3.0</v>
      </c>
      <c r="AX28" s="27">
        <v>4.0</v>
      </c>
      <c r="AY28" s="27">
        <v>3.0</v>
      </c>
      <c r="AZ28" s="27">
        <v>3.0</v>
      </c>
      <c r="BA28" s="27">
        <v>3.0</v>
      </c>
      <c r="BB28" s="27">
        <v>3.0</v>
      </c>
      <c r="BC28" s="27">
        <v>3.0</v>
      </c>
      <c r="BD28" s="27">
        <v>3.0</v>
      </c>
      <c r="BE28" s="27">
        <v>4.0</v>
      </c>
      <c r="BF28" s="27">
        <v>3.0</v>
      </c>
      <c r="BG28" s="27">
        <v>3.0</v>
      </c>
      <c r="BH28" s="27">
        <v>4.0</v>
      </c>
      <c r="BI28" s="27">
        <v>3.0</v>
      </c>
      <c r="BJ28" s="28">
        <f t="shared" si="1"/>
        <v>204</v>
      </c>
      <c r="BK28" s="29">
        <f t="shared" si="2"/>
        <v>0.03348789284</v>
      </c>
      <c r="BL28" s="27"/>
      <c r="BM28" s="27"/>
      <c r="BN28" s="27"/>
      <c r="BO28" s="27"/>
      <c r="BP28" s="27"/>
    </row>
    <row r="29">
      <c r="A29" s="22" t="s">
        <v>175</v>
      </c>
      <c r="B29" s="27">
        <v>3.0</v>
      </c>
      <c r="C29" s="27">
        <v>4.0</v>
      </c>
      <c r="D29" s="27">
        <v>5.0</v>
      </c>
      <c r="E29" s="27">
        <v>4.0</v>
      </c>
      <c r="F29" s="27">
        <v>3.0</v>
      </c>
      <c r="G29" s="27">
        <v>4.0</v>
      </c>
      <c r="H29" s="27">
        <v>4.0</v>
      </c>
      <c r="I29" s="27">
        <v>3.0</v>
      </c>
      <c r="J29" s="27">
        <v>4.0</v>
      </c>
      <c r="K29" s="27">
        <v>5.0</v>
      </c>
      <c r="L29" s="27">
        <v>4.0</v>
      </c>
      <c r="M29" s="27">
        <v>5.0</v>
      </c>
      <c r="N29" s="27">
        <v>4.0</v>
      </c>
      <c r="O29" s="27">
        <v>3.0</v>
      </c>
      <c r="P29" s="27">
        <v>4.0</v>
      </c>
      <c r="Q29" s="27">
        <v>4.0</v>
      </c>
      <c r="R29" s="27">
        <v>3.0</v>
      </c>
      <c r="S29" s="27">
        <v>4.0</v>
      </c>
      <c r="T29" s="27">
        <v>4.0</v>
      </c>
      <c r="U29" s="27">
        <v>3.0</v>
      </c>
      <c r="V29" s="27">
        <v>5.0</v>
      </c>
      <c r="W29" s="27">
        <v>4.0</v>
      </c>
      <c r="X29" s="27">
        <v>3.0</v>
      </c>
      <c r="Y29" s="27">
        <v>5.0</v>
      </c>
      <c r="Z29" s="27">
        <v>3.0</v>
      </c>
      <c r="AA29" s="27">
        <v>5.0</v>
      </c>
      <c r="AB29" s="30">
        <v>1.0</v>
      </c>
      <c r="AC29" s="27">
        <v>4.0</v>
      </c>
      <c r="AD29" s="27">
        <v>3.0</v>
      </c>
      <c r="AE29" s="27">
        <v>3.0</v>
      </c>
      <c r="AF29" s="27">
        <v>4.0</v>
      </c>
      <c r="AG29" s="27">
        <v>4.0</v>
      </c>
      <c r="AH29" s="27">
        <v>3.0</v>
      </c>
      <c r="AI29" s="27">
        <v>3.0</v>
      </c>
      <c r="AJ29" s="27">
        <v>4.0</v>
      </c>
      <c r="AK29" s="27">
        <v>3.0</v>
      </c>
      <c r="AL29" s="27">
        <v>4.0</v>
      </c>
      <c r="AM29" s="27">
        <v>3.0</v>
      </c>
      <c r="AN29" s="27">
        <v>4.0</v>
      </c>
      <c r="AO29" s="27">
        <v>4.0</v>
      </c>
      <c r="AP29" s="27">
        <v>4.0</v>
      </c>
      <c r="AQ29" s="27">
        <v>4.0</v>
      </c>
      <c r="AR29" s="27">
        <v>4.0</v>
      </c>
      <c r="AS29" s="27">
        <v>4.0</v>
      </c>
      <c r="AT29" s="27">
        <v>3.0</v>
      </c>
      <c r="AU29" s="27">
        <v>4.0</v>
      </c>
      <c r="AV29" s="27">
        <v>4.0</v>
      </c>
      <c r="AW29" s="27">
        <v>5.0</v>
      </c>
      <c r="AX29" s="27">
        <v>4.0</v>
      </c>
      <c r="AY29" s="27">
        <v>3.0</v>
      </c>
      <c r="AZ29" s="27">
        <v>4.0</v>
      </c>
      <c r="BA29" s="27">
        <v>3.0</v>
      </c>
      <c r="BB29" s="27">
        <v>3.0</v>
      </c>
      <c r="BC29" s="27">
        <v>5.0</v>
      </c>
      <c r="BD29" s="27">
        <v>3.0</v>
      </c>
      <c r="BE29" s="27">
        <v>5.0</v>
      </c>
      <c r="BF29" s="27">
        <v>4.0</v>
      </c>
      <c r="BG29" s="27">
        <v>3.0</v>
      </c>
      <c r="BH29" s="27">
        <v>4.0</v>
      </c>
      <c r="BI29" s="27">
        <v>3.0</v>
      </c>
      <c r="BJ29" s="28">
        <f t="shared" si="1"/>
        <v>225</v>
      </c>
      <c r="BK29" s="29">
        <f t="shared" si="2"/>
        <v>0.1398763524</v>
      </c>
      <c r="BL29" s="27"/>
      <c r="BM29" s="27"/>
      <c r="BN29" s="27"/>
      <c r="BO29" s="27"/>
      <c r="BP29" s="27"/>
    </row>
    <row r="30">
      <c r="A30" s="22" t="s">
        <v>176</v>
      </c>
      <c r="B30" s="27">
        <v>2.0</v>
      </c>
      <c r="C30" s="27">
        <v>4.0</v>
      </c>
      <c r="D30" s="27">
        <v>5.0</v>
      </c>
      <c r="E30" s="27">
        <v>4.0</v>
      </c>
      <c r="F30" s="27">
        <v>3.0</v>
      </c>
      <c r="G30" s="27">
        <v>4.0</v>
      </c>
      <c r="H30" s="27">
        <v>4.0</v>
      </c>
      <c r="I30" s="27">
        <v>3.0</v>
      </c>
      <c r="J30" s="27">
        <v>4.0</v>
      </c>
      <c r="K30" s="27">
        <v>4.0</v>
      </c>
      <c r="L30" s="27">
        <v>4.0</v>
      </c>
      <c r="M30" s="27">
        <v>5.0</v>
      </c>
      <c r="N30" s="27">
        <v>4.0</v>
      </c>
      <c r="O30" s="27">
        <v>4.0</v>
      </c>
      <c r="P30" s="27">
        <v>4.0</v>
      </c>
      <c r="Q30" s="27">
        <v>4.0</v>
      </c>
      <c r="R30" s="27">
        <v>3.0</v>
      </c>
      <c r="S30" s="27">
        <v>3.0</v>
      </c>
      <c r="T30" s="27">
        <v>4.0</v>
      </c>
      <c r="U30" s="27">
        <v>4.0</v>
      </c>
      <c r="V30" s="27">
        <v>4.0</v>
      </c>
      <c r="W30" s="27">
        <v>3.0</v>
      </c>
      <c r="X30" s="27">
        <v>4.0</v>
      </c>
      <c r="Y30" s="27">
        <v>4.0</v>
      </c>
      <c r="Z30" s="27">
        <v>4.0</v>
      </c>
      <c r="AA30" s="27">
        <v>4.0</v>
      </c>
      <c r="AB30" s="27">
        <v>3.0</v>
      </c>
      <c r="AC30" s="30">
        <v>1.0</v>
      </c>
      <c r="AD30" s="27">
        <v>3.0</v>
      </c>
      <c r="AE30" s="27">
        <v>2.0</v>
      </c>
      <c r="AF30" s="27">
        <v>3.0</v>
      </c>
      <c r="AG30" s="27">
        <v>2.0</v>
      </c>
      <c r="AH30" s="27">
        <v>4.0</v>
      </c>
      <c r="AI30" s="27">
        <v>3.0</v>
      </c>
      <c r="AJ30" s="27">
        <v>4.0</v>
      </c>
      <c r="AK30" s="27">
        <v>4.0</v>
      </c>
      <c r="AL30" s="27">
        <v>5.0</v>
      </c>
      <c r="AM30" s="27">
        <v>3.0</v>
      </c>
      <c r="AN30" s="27">
        <v>4.0</v>
      </c>
      <c r="AO30" s="27">
        <v>4.0</v>
      </c>
      <c r="AP30" s="27">
        <v>5.0</v>
      </c>
      <c r="AQ30" s="27">
        <v>3.0</v>
      </c>
      <c r="AR30" s="27">
        <v>5.0</v>
      </c>
      <c r="AS30" s="27">
        <v>5.0</v>
      </c>
      <c r="AT30" s="27">
        <v>3.0</v>
      </c>
      <c r="AU30" s="27">
        <v>3.0</v>
      </c>
      <c r="AV30" s="27">
        <v>3.0</v>
      </c>
      <c r="AW30" s="27">
        <v>5.0</v>
      </c>
      <c r="AX30" s="27">
        <v>5.0</v>
      </c>
      <c r="AY30" s="27">
        <v>4.0</v>
      </c>
      <c r="AZ30" s="27">
        <v>4.0</v>
      </c>
      <c r="BA30" s="27">
        <v>4.0</v>
      </c>
      <c r="BB30" s="27">
        <v>4.0</v>
      </c>
      <c r="BC30" s="27">
        <v>3.0</v>
      </c>
      <c r="BD30" s="27">
        <v>3.0</v>
      </c>
      <c r="BE30" s="27">
        <v>5.0</v>
      </c>
      <c r="BF30" s="27">
        <v>3.0</v>
      </c>
      <c r="BG30" s="27">
        <v>3.0</v>
      </c>
      <c r="BH30" s="27">
        <v>5.0</v>
      </c>
      <c r="BI30" s="27">
        <v>4.0</v>
      </c>
      <c r="BJ30" s="28">
        <f t="shared" si="1"/>
        <v>223</v>
      </c>
      <c r="BK30" s="29">
        <f t="shared" si="2"/>
        <v>0.1297441182</v>
      </c>
      <c r="BL30" s="27"/>
      <c r="BM30" s="27"/>
      <c r="BN30" s="27"/>
      <c r="BO30" s="27"/>
      <c r="BP30" s="27"/>
    </row>
    <row r="31">
      <c r="A31" s="22" t="s">
        <v>177</v>
      </c>
      <c r="B31" s="27">
        <v>2.0</v>
      </c>
      <c r="C31" s="27">
        <v>3.0</v>
      </c>
      <c r="D31" s="27">
        <v>5.0</v>
      </c>
      <c r="E31" s="27">
        <v>3.0</v>
      </c>
      <c r="F31" s="27">
        <v>3.0</v>
      </c>
      <c r="G31" s="27">
        <v>3.0</v>
      </c>
      <c r="H31" s="27">
        <v>3.0</v>
      </c>
      <c r="I31" s="27">
        <v>3.0</v>
      </c>
      <c r="J31" s="27">
        <v>3.0</v>
      </c>
      <c r="K31" s="27">
        <v>4.0</v>
      </c>
      <c r="L31" s="27">
        <v>4.0</v>
      </c>
      <c r="M31" s="27">
        <v>3.0</v>
      </c>
      <c r="N31" s="27">
        <v>5.0</v>
      </c>
      <c r="O31" s="27">
        <v>4.0</v>
      </c>
      <c r="P31" s="27">
        <v>3.0</v>
      </c>
      <c r="Q31" s="27">
        <v>3.0</v>
      </c>
      <c r="R31" s="27">
        <v>3.0</v>
      </c>
      <c r="S31" s="27">
        <v>4.0</v>
      </c>
      <c r="T31" s="27">
        <v>3.0</v>
      </c>
      <c r="U31" s="27">
        <v>3.0</v>
      </c>
      <c r="V31" s="27">
        <v>3.0</v>
      </c>
      <c r="W31" s="27">
        <v>2.0</v>
      </c>
      <c r="X31" s="27">
        <v>3.0</v>
      </c>
      <c r="Y31" s="27">
        <v>3.0</v>
      </c>
      <c r="Z31" s="27">
        <v>4.0</v>
      </c>
      <c r="AA31" s="27">
        <v>4.0</v>
      </c>
      <c r="AB31" s="27">
        <v>4.0</v>
      </c>
      <c r="AC31" s="27">
        <v>3.0</v>
      </c>
      <c r="AD31" s="30">
        <v>1.0</v>
      </c>
      <c r="AE31" s="27">
        <v>3.0</v>
      </c>
      <c r="AF31" s="27">
        <v>3.0</v>
      </c>
      <c r="AG31" s="27">
        <v>3.0</v>
      </c>
      <c r="AH31" s="27">
        <v>3.0</v>
      </c>
      <c r="AI31" s="27">
        <v>2.0</v>
      </c>
      <c r="AJ31" s="27">
        <v>3.0</v>
      </c>
      <c r="AK31" s="27">
        <v>3.0</v>
      </c>
      <c r="AL31" s="27">
        <v>5.0</v>
      </c>
      <c r="AM31" s="27">
        <v>3.0</v>
      </c>
      <c r="AN31" s="27">
        <v>3.0</v>
      </c>
      <c r="AO31" s="27">
        <v>3.0</v>
      </c>
      <c r="AP31" s="27">
        <v>4.0</v>
      </c>
      <c r="AQ31" s="27">
        <v>3.0</v>
      </c>
      <c r="AR31" s="27">
        <v>4.0</v>
      </c>
      <c r="AS31" s="27">
        <v>5.0</v>
      </c>
      <c r="AT31" s="27">
        <v>2.0</v>
      </c>
      <c r="AU31" s="27">
        <v>3.0</v>
      </c>
      <c r="AV31" s="27">
        <v>2.0</v>
      </c>
      <c r="AW31" s="27">
        <v>4.0</v>
      </c>
      <c r="AX31" s="27">
        <v>5.0</v>
      </c>
      <c r="AY31" s="27">
        <v>3.0</v>
      </c>
      <c r="AZ31" s="27">
        <v>4.0</v>
      </c>
      <c r="BA31" s="27">
        <v>4.0</v>
      </c>
      <c r="BB31" s="27">
        <v>2.0</v>
      </c>
      <c r="BC31" s="27">
        <v>4.0</v>
      </c>
      <c r="BD31" s="27">
        <v>3.0</v>
      </c>
      <c r="BE31" s="27">
        <v>3.0</v>
      </c>
      <c r="BF31" s="27">
        <v>3.0</v>
      </c>
      <c r="BG31" s="27">
        <v>3.0</v>
      </c>
      <c r="BH31" s="27">
        <v>5.0</v>
      </c>
      <c r="BI31" s="27">
        <v>2.0</v>
      </c>
      <c r="BJ31" s="28">
        <f t="shared" si="1"/>
        <v>196</v>
      </c>
      <c r="BK31" s="29">
        <f t="shared" si="2"/>
        <v>-0.007041044135</v>
      </c>
      <c r="BL31" s="27"/>
      <c r="BM31" s="27"/>
      <c r="BN31" s="27"/>
      <c r="BO31" s="27"/>
      <c r="BP31" s="27"/>
    </row>
    <row r="32">
      <c r="A32" s="22" t="s">
        <v>178</v>
      </c>
      <c r="B32" s="27">
        <v>3.0</v>
      </c>
      <c r="C32" s="27">
        <v>5.0</v>
      </c>
      <c r="D32" s="27">
        <v>3.0</v>
      </c>
      <c r="E32" s="27">
        <v>3.0</v>
      </c>
      <c r="F32" s="27">
        <v>5.0</v>
      </c>
      <c r="G32" s="27">
        <v>3.0</v>
      </c>
      <c r="H32" s="27">
        <v>3.0</v>
      </c>
      <c r="I32" s="27">
        <v>4.0</v>
      </c>
      <c r="J32" s="27">
        <v>4.0</v>
      </c>
      <c r="K32" s="27">
        <v>3.0</v>
      </c>
      <c r="L32" s="27">
        <v>4.0</v>
      </c>
      <c r="M32" s="27">
        <v>5.0</v>
      </c>
      <c r="N32" s="27">
        <v>5.0</v>
      </c>
      <c r="O32" s="27">
        <v>4.0</v>
      </c>
      <c r="P32" s="27">
        <v>5.0</v>
      </c>
      <c r="Q32" s="27">
        <v>5.0</v>
      </c>
      <c r="R32" s="27">
        <v>3.0</v>
      </c>
      <c r="S32" s="27">
        <v>4.0</v>
      </c>
      <c r="T32" s="27">
        <v>2.0</v>
      </c>
      <c r="U32" s="27">
        <v>4.0</v>
      </c>
      <c r="V32" s="27">
        <v>4.0</v>
      </c>
      <c r="W32" s="27">
        <v>4.0</v>
      </c>
      <c r="X32" s="27">
        <v>3.0</v>
      </c>
      <c r="Y32" s="27">
        <v>4.0</v>
      </c>
      <c r="Z32" s="27">
        <v>3.0</v>
      </c>
      <c r="AA32" s="27">
        <v>3.0</v>
      </c>
      <c r="AB32" s="27">
        <v>3.0</v>
      </c>
      <c r="AC32" s="27">
        <v>4.0</v>
      </c>
      <c r="AD32" s="27">
        <v>5.0</v>
      </c>
      <c r="AE32" s="30">
        <v>1.0</v>
      </c>
      <c r="AF32" s="27">
        <v>4.0</v>
      </c>
      <c r="AG32" s="27">
        <v>4.0</v>
      </c>
      <c r="AH32" s="27">
        <v>3.0</v>
      </c>
      <c r="AI32" s="27">
        <v>3.0</v>
      </c>
      <c r="AJ32" s="27">
        <v>4.0</v>
      </c>
      <c r="AK32" s="27">
        <v>3.0</v>
      </c>
      <c r="AL32" s="27">
        <v>4.0</v>
      </c>
      <c r="AM32" s="27">
        <v>4.0</v>
      </c>
      <c r="AN32" s="27">
        <v>5.0</v>
      </c>
      <c r="AO32" s="27">
        <v>5.0</v>
      </c>
      <c r="AP32" s="27">
        <v>5.0</v>
      </c>
      <c r="AQ32" s="27">
        <v>4.0</v>
      </c>
      <c r="AR32" s="27">
        <v>4.0</v>
      </c>
      <c r="AS32" s="27">
        <v>4.0</v>
      </c>
      <c r="AT32" s="27">
        <v>3.0</v>
      </c>
      <c r="AU32" s="27">
        <v>3.0</v>
      </c>
      <c r="AV32" s="27">
        <v>4.0</v>
      </c>
      <c r="AW32" s="27">
        <v>4.0</v>
      </c>
      <c r="AX32" s="27">
        <v>3.0</v>
      </c>
      <c r="AY32" s="27">
        <v>4.0</v>
      </c>
      <c r="AZ32" s="27">
        <v>5.0</v>
      </c>
      <c r="BA32" s="27">
        <v>3.0</v>
      </c>
      <c r="BB32" s="27">
        <v>2.0</v>
      </c>
      <c r="BC32" s="27">
        <v>5.0</v>
      </c>
      <c r="BD32" s="27">
        <v>3.0</v>
      </c>
      <c r="BE32" s="27">
        <v>4.0</v>
      </c>
      <c r="BF32" s="27">
        <v>2.0</v>
      </c>
      <c r="BG32" s="27">
        <v>5.0</v>
      </c>
      <c r="BH32" s="27">
        <v>5.0</v>
      </c>
      <c r="BI32" s="27">
        <v>4.0</v>
      </c>
      <c r="BJ32" s="28">
        <f t="shared" si="1"/>
        <v>226</v>
      </c>
      <c r="BK32" s="29">
        <f t="shared" si="2"/>
        <v>0.1449424695</v>
      </c>
      <c r="BL32" s="27"/>
      <c r="BM32" s="27"/>
      <c r="BN32" s="27"/>
      <c r="BO32" s="27"/>
      <c r="BP32" s="27"/>
    </row>
    <row r="33">
      <c r="A33" s="22" t="s">
        <v>179</v>
      </c>
      <c r="B33" s="27">
        <v>3.0</v>
      </c>
      <c r="C33" s="27">
        <v>4.0</v>
      </c>
      <c r="D33" s="27">
        <v>4.0</v>
      </c>
      <c r="E33" s="27">
        <v>4.0</v>
      </c>
      <c r="F33" s="27">
        <v>3.0</v>
      </c>
      <c r="G33" s="27">
        <v>4.0</v>
      </c>
      <c r="H33" s="27">
        <v>3.0</v>
      </c>
      <c r="I33" s="27">
        <v>3.0</v>
      </c>
      <c r="J33" s="27">
        <v>4.0</v>
      </c>
      <c r="K33" s="27">
        <v>3.0</v>
      </c>
      <c r="L33" s="27">
        <v>4.0</v>
      </c>
      <c r="M33" s="27">
        <v>5.0</v>
      </c>
      <c r="N33" s="27">
        <v>4.0</v>
      </c>
      <c r="O33" s="27">
        <v>5.0</v>
      </c>
      <c r="P33" s="27">
        <v>5.0</v>
      </c>
      <c r="Q33" s="27">
        <v>3.0</v>
      </c>
      <c r="R33" s="27">
        <v>4.0</v>
      </c>
      <c r="S33" s="27">
        <v>3.0</v>
      </c>
      <c r="T33" s="27">
        <v>5.0</v>
      </c>
      <c r="U33" s="27">
        <v>4.0</v>
      </c>
      <c r="V33" s="27">
        <v>4.0</v>
      </c>
      <c r="W33" s="27">
        <v>3.0</v>
      </c>
      <c r="X33" s="27">
        <v>4.0</v>
      </c>
      <c r="Y33" s="27">
        <v>4.0</v>
      </c>
      <c r="Z33" s="27">
        <v>3.0</v>
      </c>
      <c r="AA33" s="27">
        <v>4.0</v>
      </c>
      <c r="AB33" s="27">
        <v>4.0</v>
      </c>
      <c r="AC33" s="27">
        <v>4.0</v>
      </c>
      <c r="AD33" s="27">
        <v>2.0</v>
      </c>
      <c r="AE33" s="27">
        <v>2.0</v>
      </c>
      <c r="AF33" s="30">
        <v>1.0</v>
      </c>
      <c r="AG33" s="27">
        <v>4.0</v>
      </c>
      <c r="AH33" s="27">
        <v>3.0</v>
      </c>
      <c r="AI33" s="27">
        <v>4.0</v>
      </c>
      <c r="AJ33" s="27">
        <v>4.0</v>
      </c>
      <c r="AK33" s="27">
        <v>3.0</v>
      </c>
      <c r="AL33" s="27">
        <v>4.0</v>
      </c>
      <c r="AM33" s="27">
        <v>3.0</v>
      </c>
      <c r="AN33" s="27">
        <v>3.0</v>
      </c>
      <c r="AO33" s="27">
        <v>3.0</v>
      </c>
      <c r="AP33" s="27">
        <v>5.0</v>
      </c>
      <c r="AQ33" s="27">
        <v>4.0</v>
      </c>
      <c r="AR33" s="27">
        <v>5.0</v>
      </c>
      <c r="AS33" s="27">
        <v>5.0</v>
      </c>
      <c r="AT33" s="27">
        <v>3.0</v>
      </c>
      <c r="AU33" s="27">
        <v>3.0</v>
      </c>
      <c r="AV33" s="27">
        <v>3.0</v>
      </c>
      <c r="AW33" s="27">
        <v>5.0</v>
      </c>
      <c r="AX33" s="27">
        <v>4.0</v>
      </c>
      <c r="AY33" s="27">
        <v>4.0</v>
      </c>
      <c r="AZ33" s="27">
        <v>3.0</v>
      </c>
      <c r="BA33" s="27">
        <v>3.0</v>
      </c>
      <c r="BB33" s="27">
        <v>4.0</v>
      </c>
      <c r="BC33" s="27">
        <v>5.0</v>
      </c>
      <c r="BD33" s="27">
        <v>3.0</v>
      </c>
      <c r="BE33" s="27">
        <v>5.0</v>
      </c>
      <c r="BF33" s="27">
        <v>3.0</v>
      </c>
      <c r="BG33" s="27">
        <v>3.0</v>
      </c>
      <c r="BH33" s="27">
        <v>4.0</v>
      </c>
      <c r="BI33" s="27">
        <v>3.0</v>
      </c>
      <c r="BJ33" s="28">
        <f t="shared" si="1"/>
        <v>220</v>
      </c>
      <c r="BK33" s="29">
        <f t="shared" si="2"/>
        <v>0.1145457668</v>
      </c>
      <c r="BL33" s="27"/>
      <c r="BM33" s="27"/>
      <c r="BN33" s="27"/>
      <c r="BO33" s="27"/>
      <c r="BP33" s="27"/>
    </row>
    <row r="34">
      <c r="A34" s="22" t="s">
        <v>180</v>
      </c>
      <c r="B34" s="27">
        <v>3.0</v>
      </c>
      <c r="C34" s="27">
        <v>5.0</v>
      </c>
      <c r="D34" s="27">
        <v>4.0</v>
      </c>
      <c r="E34" s="27">
        <v>4.0</v>
      </c>
      <c r="F34" s="27">
        <v>5.0</v>
      </c>
      <c r="G34" s="27">
        <v>3.0</v>
      </c>
      <c r="H34" s="27">
        <v>3.0</v>
      </c>
      <c r="I34" s="27">
        <v>3.0</v>
      </c>
      <c r="J34" s="27">
        <v>4.0</v>
      </c>
      <c r="K34" s="27">
        <v>5.0</v>
      </c>
      <c r="L34" s="27">
        <v>5.0</v>
      </c>
      <c r="M34" s="27">
        <v>3.0</v>
      </c>
      <c r="N34" s="27">
        <v>4.0</v>
      </c>
      <c r="O34" s="27">
        <v>3.0</v>
      </c>
      <c r="P34" s="27">
        <v>4.0</v>
      </c>
      <c r="Q34" s="27">
        <v>5.0</v>
      </c>
      <c r="R34" s="27">
        <v>3.0</v>
      </c>
      <c r="S34" s="27">
        <v>3.0</v>
      </c>
      <c r="T34" s="27">
        <v>3.0</v>
      </c>
      <c r="U34" s="27">
        <v>4.0</v>
      </c>
      <c r="V34" s="27">
        <v>5.0</v>
      </c>
      <c r="W34" s="27">
        <v>4.0</v>
      </c>
      <c r="X34" s="27">
        <v>4.0</v>
      </c>
      <c r="Y34" s="27">
        <v>3.0</v>
      </c>
      <c r="Z34" s="27">
        <v>5.0</v>
      </c>
      <c r="AA34" s="27">
        <v>1.0</v>
      </c>
      <c r="AB34" s="27">
        <v>3.0</v>
      </c>
      <c r="AC34" s="27">
        <v>3.0</v>
      </c>
      <c r="AD34" s="27">
        <v>3.0</v>
      </c>
      <c r="AE34" s="27">
        <v>2.0</v>
      </c>
      <c r="AF34" s="27">
        <v>4.0</v>
      </c>
      <c r="AG34" s="30">
        <v>1.0</v>
      </c>
      <c r="AH34" s="27">
        <v>4.0</v>
      </c>
      <c r="AI34" s="27">
        <v>4.0</v>
      </c>
      <c r="AJ34" s="27">
        <v>3.0</v>
      </c>
      <c r="AK34" s="27">
        <v>4.0</v>
      </c>
      <c r="AL34" s="27">
        <v>4.0</v>
      </c>
      <c r="AM34" s="27">
        <v>4.0</v>
      </c>
      <c r="AN34" s="27">
        <v>3.0</v>
      </c>
      <c r="AO34" s="27">
        <v>4.0</v>
      </c>
      <c r="AP34" s="27">
        <v>5.0</v>
      </c>
      <c r="AQ34" s="27">
        <v>5.0</v>
      </c>
      <c r="AR34" s="27">
        <v>5.0</v>
      </c>
      <c r="AS34" s="27">
        <v>4.0</v>
      </c>
      <c r="AT34" s="27">
        <v>3.0</v>
      </c>
      <c r="AU34" s="27">
        <v>3.0</v>
      </c>
      <c r="AV34" s="27">
        <v>4.0</v>
      </c>
      <c r="AW34" s="27">
        <v>4.0</v>
      </c>
      <c r="AX34" s="27">
        <v>4.0</v>
      </c>
      <c r="AY34" s="27">
        <v>4.0</v>
      </c>
      <c r="AZ34" s="27">
        <v>4.0</v>
      </c>
      <c r="BA34" s="27">
        <v>4.0</v>
      </c>
      <c r="BB34" s="27">
        <v>3.0</v>
      </c>
      <c r="BC34" s="27">
        <v>3.0</v>
      </c>
      <c r="BD34" s="27">
        <v>2.0</v>
      </c>
      <c r="BE34" s="27">
        <v>3.0</v>
      </c>
      <c r="BF34" s="27">
        <v>3.0</v>
      </c>
      <c r="BG34" s="27">
        <v>3.0</v>
      </c>
      <c r="BH34" s="27">
        <v>3.0</v>
      </c>
      <c r="BI34" s="27">
        <v>4.0</v>
      </c>
      <c r="BJ34" s="28">
        <f t="shared" si="1"/>
        <v>217</v>
      </c>
      <c r="BK34" s="29">
        <f t="shared" si="2"/>
        <v>0.09934741542</v>
      </c>
      <c r="BL34" s="27"/>
      <c r="BM34" s="27"/>
      <c r="BN34" s="27"/>
      <c r="BO34" s="27"/>
      <c r="BP34" s="27"/>
    </row>
    <row r="35">
      <c r="A35" s="22" t="s">
        <v>181</v>
      </c>
      <c r="B35" s="27">
        <v>3.0</v>
      </c>
      <c r="C35" s="27">
        <v>3.0</v>
      </c>
      <c r="D35" s="27">
        <v>3.0</v>
      </c>
      <c r="E35" s="27">
        <v>4.0</v>
      </c>
      <c r="F35" s="27">
        <v>4.0</v>
      </c>
      <c r="G35" s="27">
        <v>3.0</v>
      </c>
      <c r="H35" s="27">
        <v>2.0</v>
      </c>
      <c r="I35" s="27">
        <v>3.0</v>
      </c>
      <c r="J35" s="27">
        <v>5.0</v>
      </c>
      <c r="K35" s="27">
        <v>2.0</v>
      </c>
      <c r="L35" s="27">
        <v>4.0</v>
      </c>
      <c r="M35" s="27">
        <v>3.0</v>
      </c>
      <c r="N35" s="27">
        <v>3.0</v>
      </c>
      <c r="O35" s="27">
        <v>4.0</v>
      </c>
      <c r="P35" s="27">
        <v>4.0</v>
      </c>
      <c r="Q35" s="27">
        <v>2.0</v>
      </c>
      <c r="R35" s="27">
        <v>3.0</v>
      </c>
      <c r="S35" s="27">
        <v>5.0</v>
      </c>
      <c r="T35" s="27">
        <v>3.0</v>
      </c>
      <c r="U35" s="27">
        <v>3.0</v>
      </c>
      <c r="V35" s="27">
        <v>4.0</v>
      </c>
      <c r="W35" s="27">
        <v>3.0</v>
      </c>
      <c r="X35" s="27">
        <v>2.0</v>
      </c>
      <c r="Y35" s="27">
        <v>3.0</v>
      </c>
      <c r="Z35" s="27">
        <v>4.0</v>
      </c>
      <c r="AA35" s="27">
        <v>2.0</v>
      </c>
      <c r="AB35" s="27">
        <v>4.0</v>
      </c>
      <c r="AC35" s="27">
        <v>3.0</v>
      </c>
      <c r="AD35" s="27">
        <v>2.0</v>
      </c>
      <c r="AE35" s="27">
        <v>5.0</v>
      </c>
      <c r="AF35" s="27">
        <v>2.0</v>
      </c>
      <c r="AG35" s="27">
        <v>3.0</v>
      </c>
      <c r="AH35" s="30">
        <v>1.0</v>
      </c>
      <c r="AI35" s="27">
        <v>4.0</v>
      </c>
      <c r="AJ35" s="27">
        <v>4.0</v>
      </c>
      <c r="AK35" s="27">
        <v>2.0</v>
      </c>
      <c r="AL35" s="27">
        <v>3.0</v>
      </c>
      <c r="AM35" s="27">
        <v>2.0</v>
      </c>
      <c r="AN35" s="27">
        <v>2.0</v>
      </c>
      <c r="AO35" s="27">
        <v>3.0</v>
      </c>
      <c r="AP35" s="27">
        <v>3.0</v>
      </c>
      <c r="AQ35" s="27">
        <v>3.0</v>
      </c>
      <c r="AR35" s="27">
        <v>3.0</v>
      </c>
      <c r="AS35" s="27">
        <v>3.0</v>
      </c>
      <c r="AT35" s="27">
        <v>2.0</v>
      </c>
      <c r="AU35" s="27">
        <v>3.0</v>
      </c>
      <c r="AV35" s="27">
        <v>4.0</v>
      </c>
      <c r="AW35" s="27">
        <v>3.0</v>
      </c>
      <c r="AX35" s="27">
        <v>5.0</v>
      </c>
      <c r="AY35" s="27">
        <v>2.0</v>
      </c>
      <c r="AZ35" s="27">
        <v>3.0</v>
      </c>
      <c r="BA35" s="27">
        <v>3.0</v>
      </c>
      <c r="BB35" s="27">
        <v>3.0</v>
      </c>
      <c r="BC35" s="27">
        <v>3.0</v>
      </c>
      <c r="BD35" s="27">
        <v>4.0</v>
      </c>
      <c r="BE35" s="27">
        <v>4.0</v>
      </c>
      <c r="BF35" s="27">
        <v>2.0</v>
      </c>
      <c r="BG35" s="27">
        <v>2.0</v>
      </c>
      <c r="BH35" s="27">
        <v>4.0</v>
      </c>
      <c r="BI35" s="27">
        <v>2.0</v>
      </c>
      <c r="BJ35" s="28">
        <f t="shared" si="1"/>
        <v>185</v>
      </c>
      <c r="BK35" s="29">
        <f t="shared" si="2"/>
        <v>-0.06276833247</v>
      </c>
      <c r="BL35" s="27"/>
      <c r="BM35" s="27"/>
      <c r="BN35" s="27"/>
      <c r="BO35" s="27"/>
      <c r="BP35" s="27"/>
    </row>
    <row r="36">
      <c r="A36" s="26" t="s">
        <v>182</v>
      </c>
      <c r="B36" s="27">
        <v>3.0</v>
      </c>
      <c r="C36" s="27">
        <v>4.0</v>
      </c>
      <c r="D36" s="27">
        <v>5.0</v>
      </c>
      <c r="E36" s="27">
        <v>3.0</v>
      </c>
      <c r="F36" s="27">
        <v>3.0</v>
      </c>
      <c r="G36" s="27">
        <v>4.0</v>
      </c>
      <c r="H36" s="27">
        <v>4.0</v>
      </c>
      <c r="I36" s="27">
        <v>3.0</v>
      </c>
      <c r="J36" s="27">
        <v>4.0</v>
      </c>
      <c r="K36" s="27">
        <v>4.0</v>
      </c>
      <c r="L36" s="27">
        <v>3.0</v>
      </c>
      <c r="M36" s="27">
        <v>4.0</v>
      </c>
      <c r="N36" s="27">
        <v>3.0</v>
      </c>
      <c r="O36" s="27">
        <v>4.0</v>
      </c>
      <c r="P36" s="27">
        <v>5.0</v>
      </c>
      <c r="Q36" s="27">
        <v>3.0</v>
      </c>
      <c r="R36" s="27">
        <v>3.0</v>
      </c>
      <c r="S36" s="27">
        <v>3.0</v>
      </c>
      <c r="T36" s="27">
        <v>3.0</v>
      </c>
      <c r="U36" s="27">
        <v>3.0</v>
      </c>
      <c r="V36" s="27">
        <v>3.0</v>
      </c>
      <c r="W36" s="27">
        <v>3.0</v>
      </c>
      <c r="X36" s="27">
        <v>3.0</v>
      </c>
      <c r="Y36" s="27">
        <v>4.0</v>
      </c>
      <c r="Z36" s="27">
        <v>3.0</v>
      </c>
      <c r="AA36" s="27">
        <v>4.0</v>
      </c>
      <c r="AB36" s="27">
        <v>4.0</v>
      </c>
      <c r="AC36" s="27">
        <v>3.0</v>
      </c>
      <c r="AD36" s="27">
        <v>3.0</v>
      </c>
      <c r="AE36" s="27">
        <v>3.0</v>
      </c>
      <c r="AF36" s="27">
        <v>3.0</v>
      </c>
      <c r="AG36" s="27">
        <v>3.0</v>
      </c>
      <c r="AH36" s="27">
        <v>3.0</v>
      </c>
      <c r="AI36" s="27">
        <v>5.0</v>
      </c>
      <c r="AJ36" s="27">
        <v>3.0</v>
      </c>
      <c r="AK36" s="27">
        <v>3.0</v>
      </c>
      <c r="AL36" s="27">
        <v>4.0</v>
      </c>
      <c r="AM36" s="27">
        <v>4.0</v>
      </c>
      <c r="AN36" s="27">
        <v>4.0</v>
      </c>
      <c r="AO36" s="27">
        <v>3.0</v>
      </c>
      <c r="AP36" s="27">
        <v>4.0</v>
      </c>
      <c r="AQ36" s="27">
        <v>3.0</v>
      </c>
      <c r="AR36" s="27">
        <v>4.0</v>
      </c>
      <c r="AS36" s="27">
        <v>4.0</v>
      </c>
      <c r="AT36" s="27">
        <v>3.0</v>
      </c>
      <c r="AU36" s="27">
        <v>3.0</v>
      </c>
      <c r="AV36" s="27">
        <v>3.0</v>
      </c>
      <c r="AW36" s="27">
        <v>4.0</v>
      </c>
      <c r="AX36" s="27">
        <v>4.0</v>
      </c>
      <c r="AY36" s="27">
        <v>3.0</v>
      </c>
      <c r="AZ36" s="27">
        <v>3.0</v>
      </c>
      <c r="BA36" s="27">
        <v>3.0</v>
      </c>
      <c r="BB36" s="27">
        <v>4.0</v>
      </c>
      <c r="BC36" s="27">
        <v>4.0</v>
      </c>
      <c r="BD36" s="27">
        <v>4.0</v>
      </c>
      <c r="BE36" s="27">
        <v>3.0</v>
      </c>
      <c r="BF36" s="27">
        <v>3.0</v>
      </c>
      <c r="BG36" s="27">
        <v>3.0</v>
      </c>
      <c r="BH36" s="27">
        <v>4.0</v>
      </c>
      <c r="BI36" s="27">
        <v>3.0</v>
      </c>
      <c r="BJ36" s="28">
        <f t="shared" si="1"/>
        <v>208</v>
      </c>
      <c r="BK36" s="29">
        <f t="shared" si="2"/>
        <v>0.05375236133</v>
      </c>
      <c r="BL36" s="27"/>
      <c r="BM36" s="27"/>
      <c r="BN36" s="27"/>
      <c r="BO36" s="27"/>
      <c r="BP36" s="27"/>
    </row>
    <row r="37">
      <c r="A37" s="22" t="s">
        <v>183</v>
      </c>
      <c r="B37" s="27">
        <v>2.0</v>
      </c>
      <c r="C37" s="27">
        <v>3.0</v>
      </c>
      <c r="D37" s="27">
        <v>4.0</v>
      </c>
      <c r="E37" s="27">
        <v>4.0</v>
      </c>
      <c r="F37" s="27">
        <v>3.0</v>
      </c>
      <c r="G37" s="27">
        <v>3.0</v>
      </c>
      <c r="H37" s="27">
        <v>4.0</v>
      </c>
      <c r="I37" s="27">
        <v>2.0</v>
      </c>
      <c r="J37" s="27">
        <v>4.0</v>
      </c>
      <c r="K37" s="27">
        <v>4.0</v>
      </c>
      <c r="L37" s="27">
        <v>3.0</v>
      </c>
      <c r="M37" s="27">
        <v>5.0</v>
      </c>
      <c r="N37" s="27">
        <v>5.0</v>
      </c>
      <c r="O37" s="27">
        <v>3.0</v>
      </c>
      <c r="P37" s="27">
        <v>4.0</v>
      </c>
      <c r="Q37" s="27">
        <v>4.0</v>
      </c>
      <c r="R37" s="27">
        <v>3.0</v>
      </c>
      <c r="S37" s="27">
        <v>5.0</v>
      </c>
      <c r="T37" s="27">
        <v>4.0</v>
      </c>
      <c r="U37" s="27">
        <v>3.0</v>
      </c>
      <c r="V37" s="27">
        <v>4.0</v>
      </c>
      <c r="W37" s="27">
        <v>2.0</v>
      </c>
      <c r="X37" s="27">
        <v>3.0</v>
      </c>
      <c r="Y37" s="27">
        <v>4.0</v>
      </c>
      <c r="Z37" s="27">
        <v>2.0</v>
      </c>
      <c r="AA37" s="27">
        <v>4.0</v>
      </c>
      <c r="AB37" s="27">
        <v>3.0</v>
      </c>
      <c r="AC37" s="27">
        <v>3.0</v>
      </c>
      <c r="AD37" s="27">
        <v>3.0</v>
      </c>
      <c r="AE37" s="27">
        <v>3.0</v>
      </c>
      <c r="AF37" s="27">
        <v>3.0</v>
      </c>
      <c r="AG37" s="27">
        <v>4.0</v>
      </c>
      <c r="AH37" s="27">
        <v>3.0</v>
      </c>
      <c r="AI37" s="27">
        <v>4.0</v>
      </c>
      <c r="AJ37" s="30">
        <v>1.0</v>
      </c>
      <c r="AK37" s="27">
        <v>3.0</v>
      </c>
      <c r="AL37" s="27">
        <v>4.0</v>
      </c>
      <c r="AM37" s="27">
        <v>3.0</v>
      </c>
      <c r="AN37" s="27">
        <v>3.0</v>
      </c>
      <c r="AO37" s="27">
        <v>3.0</v>
      </c>
      <c r="AP37" s="27">
        <v>4.0</v>
      </c>
      <c r="AQ37" s="27">
        <v>4.0</v>
      </c>
      <c r="AR37" s="27">
        <v>4.0</v>
      </c>
      <c r="AS37" s="27">
        <v>4.0</v>
      </c>
      <c r="AT37" s="27">
        <v>3.0</v>
      </c>
      <c r="AU37" s="27">
        <v>3.0</v>
      </c>
      <c r="AV37" s="27">
        <v>2.0</v>
      </c>
      <c r="AW37" s="27">
        <v>3.0</v>
      </c>
      <c r="AX37" s="27">
        <v>5.0</v>
      </c>
      <c r="AY37" s="27">
        <v>3.0</v>
      </c>
      <c r="AZ37" s="27">
        <v>3.0</v>
      </c>
      <c r="BA37" s="27">
        <v>2.0</v>
      </c>
      <c r="BB37" s="27">
        <v>3.0</v>
      </c>
      <c r="BC37" s="27">
        <v>5.0</v>
      </c>
      <c r="BD37" s="27">
        <v>3.0</v>
      </c>
      <c r="BE37" s="27">
        <v>4.0</v>
      </c>
      <c r="BF37" s="27">
        <v>2.0</v>
      </c>
      <c r="BG37" s="27">
        <v>3.0</v>
      </c>
      <c r="BH37" s="27">
        <v>5.0</v>
      </c>
      <c r="BI37" s="27">
        <v>2.0</v>
      </c>
      <c r="BJ37" s="28">
        <f t="shared" si="1"/>
        <v>201</v>
      </c>
      <c r="BK37" s="29">
        <f t="shared" si="2"/>
        <v>0.01828954147</v>
      </c>
      <c r="BL37" s="27"/>
      <c r="BM37" s="27"/>
      <c r="BN37" s="27"/>
      <c r="BO37" s="27"/>
      <c r="BP37" s="27"/>
    </row>
    <row r="38">
      <c r="A38" s="22" t="s">
        <v>184</v>
      </c>
      <c r="B38" s="27">
        <v>3.0</v>
      </c>
      <c r="C38" s="27">
        <v>4.0</v>
      </c>
      <c r="D38" s="27">
        <v>4.0</v>
      </c>
      <c r="E38" s="27">
        <v>4.0</v>
      </c>
      <c r="F38" s="27">
        <v>3.0</v>
      </c>
      <c r="G38" s="27">
        <v>3.0</v>
      </c>
      <c r="H38" s="27">
        <v>3.0</v>
      </c>
      <c r="I38" s="27">
        <v>3.0</v>
      </c>
      <c r="J38" s="27">
        <v>3.0</v>
      </c>
      <c r="K38" s="27">
        <v>4.0</v>
      </c>
      <c r="L38" s="27">
        <v>3.0</v>
      </c>
      <c r="M38" s="27">
        <v>3.0</v>
      </c>
      <c r="N38" s="27">
        <v>4.0</v>
      </c>
      <c r="O38" s="27">
        <v>4.0</v>
      </c>
      <c r="P38" s="27">
        <v>4.0</v>
      </c>
      <c r="Q38" s="27">
        <v>3.0</v>
      </c>
      <c r="R38" s="27">
        <v>3.0</v>
      </c>
      <c r="S38" s="27">
        <v>3.0</v>
      </c>
      <c r="T38" s="27">
        <v>3.0</v>
      </c>
      <c r="U38" s="27">
        <v>3.0</v>
      </c>
      <c r="V38" s="27">
        <v>4.0</v>
      </c>
      <c r="W38" s="27">
        <v>4.0</v>
      </c>
      <c r="X38" s="27">
        <v>4.0</v>
      </c>
      <c r="Y38" s="27">
        <v>3.0</v>
      </c>
      <c r="Z38" s="27">
        <v>3.0</v>
      </c>
      <c r="AA38" s="27">
        <v>4.0</v>
      </c>
      <c r="AB38" s="27">
        <v>4.0</v>
      </c>
      <c r="AC38" s="27">
        <v>4.0</v>
      </c>
      <c r="AD38" s="27">
        <v>2.0</v>
      </c>
      <c r="AE38" s="27">
        <v>3.0</v>
      </c>
      <c r="AF38" s="27">
        <v>3.0</v>
      </c>
      <c r="AG38" s="27">
        <v>3.0</v>
      </c>
      <c r="AH38" s="27">
        <v>3.0</v>
      </c>
      <c r="AI38" s="27">
        <v>3.0</v>
      </c>
      <c r="AJ38" s="27">
        <v>3.0</v>
      </c>
      <c r="AK38" s="30">
        <v>1.0</v>
      </c>
      <c r="AL38" s="27">
        <v>5.0</v>
      </c>
      <c r="AM38" s="27">
        <v>3.0</v>
      </c>
      <c r="AN38" s="27">
        <v>3.0</v>
      </c>
      <c r="AO38" s="27">
        <v>4.0</v>
      </c>
      <c r="AP38" s="27">
        <v>4.0</v>
      </c>
      <c r="AQ38" s="27">
        <v>3.0</v>
      </c>
      <c r="AR38" s="27">
        <v>4.0</v>
      </c>
      <c r="AS38" s="27">
        <v>4.0</v>
      </c>
      <c r="AT38" s="27">
        <v>3.0</v>
      </c>
      <c r="AU38" s="27">
        <v>3.0</v>
      </c>
      <c r="AV38" s="27">
        <v>3.0</v>
      </c>
      <c r="AW38" s="27">
        <v>3.0</v>
      </c>
      <c r="AX38" s="27">
        <v>4.0</v>
      </c>
      <c r="AY38" s="27">
        <v>3.0</v>
      </c>
      <c r="AZ38" s="27">
        <v>3.0</v>
      </c>
      <c r="BA38" s="27">
        <v>3.0</v>
      </c>
      <c r="BB38" s="27">
        <v>3.0</v>
      </c>
      <c r="BC38" s="27">
        <v>2.0</v>
      </c>
      <c r="BD38" s="27">
        <v>3.0</v>
      </c>
      <c r="BE38" s="27">
        <v>4.0</v>
      </c>
      <c r="BF38" s="27">
        <v>2.0</v>
      </c>
      <c r="BG38" s="27">
        <v>3.0</v>
      </c>
      <c r="BH38" s="27">
        <v>4.0</v>
      </c>
      <c r="BI38" s="27">
        <v>3.0</v>
      </c>
      <c r="BJ38" s="28">
        <f t="shared" si="1"/>
        <v>197</v>
      </c>
      <c r="BK38" s="29">
        <f t="shared" si="2"/>
        <v>-0.001974927014</v>
      </c>
      <c r="BL38" s="27"/>
      <c r="BM38" s="27"/>
      <c r="BN38" s="27"/>
      <c r="BO38" s="27"/>
      <c r="BP38" s="27"/>
    </row>
    <row r="39">
      <c r="A39" s="22" t="s">
        <v>185</v>
      </c>
      <c r="B39" s="27">
        <v>1.0</v>
      </c>
      <c r="C39" s="27">
        <v>5.0</v>
      </c>
      <c r="D39" s="27">
        <v>5.0</v>
      </c>
      <c r="E39" s="27">
        <v>3.0</v>
      </c>
      <c r="F39" s="27">
        <v>4.0</v>
      </c>
      <c r="G39" s="27">
        <v>5.0</v>
      </c>
      <c r="H39" s="27">
        <v>3.0</v>
      </c>
      <c r="I39" s="27">
        <v>3.0</v>
      </c>
      <c r="J39" s="27">
        <v>5.0</v>
      </c>
      <c r="K39" s="27">
        <v>4.0</v>
      </c>
      <c r="L39" s="27">
        <v>3.0</v>
      </c>
      <c r="M39" s="27">
        <v>5.0</v>
      </c>
      <c r="N39" s="27">
        <v>5.0</v>
      </c>
      <c r="O39" s="27">
        <v>4.0</v>
      </c>
      <c r="P39" s="27">
        <v>5.0</v>
      </c>
      <c r="Q39" s="27">
        <v>4.0</v>
      </c>
      <c r="R39" s="27">
        <v>1.0</v>
      </c>
      <c r="S39" s="27">
        <v>5.0</v>
      </c>
      <c r="T39" s="27">
        <v>4.0</v>
      </c>
      <c r="U39" s="27">
        <v>4.0</v>
      </c>
      <c r="V39" s="27">
        <v>3.0</v>
      </c>
      <c r="W39" s="27">
        <v>1.0</v>
      </c>
      <c r="X39" s="27">
        <v>3.0</v>
      </c>
      <c r="Y39" s="27">
        <v>5.0</v>
      </c>
      <c r="Z39" s="27">
        <v>3.0</v>
      </c>
      <c r="AA39" s="27">
        <v>3.0</v>
      </c>
      <c r="AB39" s="27">
        <v>4.0</v>
      </c>
      <c r="AC39" s="27">
        <v>1.0</v>
      </c>
      <c r="AD39" s="27">
        <v>2.0</v>
      </c>
      <c r="AE39" s="27">
        <v>3.0</v>
      </c>
      <c r="AF39" s="27">
        <v>1.0</v>
      </c>
      <c r="AG39" s="27">
        <v>4.0</v>
      </c>
      <c r="AH39" s="27">
        <v>3.0</v>
      </c>
      <c r="AI39" s="27">
        <v>2.0</v>
      </c>
      <c r="AJ39" s="27">
        <v>1.0</v>
      </c>
      <c r="AK39" s="27">
        <v>1.0</v>
      </c>
      <c r="AL39" s="30">
        <v>1.0</v>
      </c>
      <c r="AM39" s="27">
        <v>1.0</v>
      </c>
      <c r="AN39" s="27">
        <v>2.0</v>
      </c>
      <c r="AO39" s="27">
        <v>2.0</v>
      </c>
      <c r="AP39" s="27">
        <v>3.0</v>
      </c>
      <c r="AQ39" s="27">
        <v>1.0</v>
      </c>
      <c r="AR39" s="27">
        <v>5.0</v>
      </c>
      <c r="AS39" s="27">
        <v>4.0</v>
      </c>
      <c r="AT39" s="27">
        <v>1.0</v>
      </c>
      <c r="AU39" s="27">
        <v>3.0</v>
      </c>
      <c r="AV39" s="27">
        <v>2.0</v>
      </c>
      <c r="AW39" s="27">
        <v>1.0</v>
      </c>
      <c r="AX39" s="27">
        <v>5.0</v>
      </c>
      <c r="AY39" s="27">
        <v>4.0</v>
      </c>
      <c r="AZ39" s="27">
        <v>2.0</v>
      </c>
      <c r="BA39" s="27">
        <v>1.0</v>
      </c>
      <c r="BB39" s="27">
        <v>1.0</v>
      </c>
      <c r="BC39" s="27">
        <v>4.0</v>
      </c>
      <c r="BD39" s="27">
        <v>4.0</v>
      </c>
      <c r="BE39" s="27">
        <v>5.0</v>
      </c>
      <c r="BF39" s="27">
        <v>1.0</v>
      </c>
      <c r="BG39" s="27">
        <v>4.0</v>
      </c>
      <c r="BH39" s="27">
        <v>4.0</v>
      </c>
      <c r="BI39" s="27">
        <v>2.0</v>
      </c>
      <c r="BJ39" s="28">
        <f t="shared" si="1"/>
        <v>181</v>
      </c>
      <c r="BK39" s="29">
        <f t="shared" si="2"/>
        <v>-0.08303280096</v>
      </c>
      <c r="BL39" s="27"/>
      <c r="BM39" s="27"/>
      <c r="BN39" s="27"/>
      <c r="BO39" s="27"/>
      <c r="BP39" s="27"/>
    </row>
    <row r="40">
      <c r="A40" s="22" t="s">
        <v>186</v>
      </c>
      <c r="B40" s="27">
        <v>1.0</v>
      </c>
      <c r="C40" s="27">
        <v>2.0</v>
      </c>
      <c r="D40" s="27">
        <v>5.0</v>
      </c>
      <c r="E40" s="27">
        <v>3.0</v>
      </c>
      <c r="F40" s="27">
        <v>2.0</v>
      </c>
      <c r="G40" s="27">
        <v>3.0</v>
      </c>
      <c r="H40" s="27">
        <v>2.0</v>
      </c>
      <c r="I40" s="27">
        <v>1.0</v>
      </c>
      <c r="J40" s="27">
        <v>2.0</v>
      </c>
      <c r="K40" s="27">
        <v>3.0</v>
      </c>
      <c r="L40" s="27">
        <v>1.0</v>
      </c>
      <c r="M40" s="27">
        <v>3.0</v>
      </c>
      <c r="N40" s="27">
        <v>3.0</v>
      </c>
      <c r="O40" s="27">
        <v>3.0</v>
      </c>
      <c r="P40" s="27">
        <v>3.0</v>
      </c>
      <c r="Q40" s="27">
        <v>3.0</v>
      </c>
      <c r="R40" s="27">
        <v>1.0</v>
      </c>
      <c r="S40" s="27">
        <v>1.0</v>
      </c>
      <c r="T40" s="27">
        <v>2.0</v>
      </c>
      <c r="U40" s="27">
        <v>3.0</v>
      </c>
      <c r="V40" s="27">
        <v>2.0</v>
      </c>
      <c r="W40" s="27">
        <v>2.0</v>
      </c>
      <c r="X40" s="27">
        <v>3.0</v>
      </c>
      <c r="Y40" s="27">
        <v>4.0</v>
      </c>
      <c r="Z40" s="27">
        <v>3.0</v>
      </c>
      <c r="AA40" s="27">
        <v>4.0</v>
      </c>
      <c r="AB40" s="27">
        <v>3.0</v>
      </c>
      <c r="AC40" s="27">
        <v>2.0</v>
      </c>
      <c r="AD40" s="27">
        <v>2.0</v>
      </c>
      <c r="AE40" s="27">
        <v>2.0</v>
      </c>
      <c r="AF40" s="27">
        <v>2.0</v>
      </c>
      <c r="AG40" s="27">
        <v>3.0</v>
      </c>
      <c r="AH40" s="27">
        <v>2.0</v>
      </c>
      <c r="AI40" s="27">
        <v>2.0</v>
      </c>
      <c r="AJ40" s="27">
        <v>2.0</v>
      </c>
      <c r="AK40" s="27">
        <v>3.0</v>
      </c>
      <c r="AL40" s="27">
        <v>4.0</v>
      </c>
      <c r="AM40" s="30">
        <v>1.0</v>
      </c>
      <c r="AN40" s="27">
        <v>3.0</v>
      </c>
      <c r="AO40" s="27">
        <v>1.0</v>
      </c>
      <c r="AP40" s="27">
        <v>2.0</v>
      </c>
      <c r="AQ40" s="27">
        <v>3.0</v>
      </c>
      <c r="AR40" s="27">
        <v>3.0</v>
      </c>
      <c r="AS40" s="27">
        <v>3.0</v>
      </c>
      <c r="AT40" s="27">
        <v>2.0</v>
      </c>
      <c r="AU40" s="27">
        <v>3.0</v>
      </c>
      <c r="AV40" s="27">
        <v>2.0</v>
      </c>
      <c r="AW40" s="27">
        <v>3.0</v>
      </c>
      <c r="AX40" s="27">
        <v>3.0</v>
      </c>
      <c r="AY40" s="27">
        <v>3.0</v>
      </c>
      <c r="AZ40" s="27">
        <v>2.0</v>
      </c>
      <c r="BA40" s="27">
        <v>2.0</v>
      </c>
      <c r="BB40" s="27">
        <v>3.0</v>
      </c>
      <c r="BC40" s="27">
        <v>1.0</v>
      </c>
      <c r="BD40" s="27">
        <v>4.0</v>
      </c>
      <c r="BE40" s="27">
        <v>3.0</v>
      </c>
      <c r="BF40" s="27">
        <v>2.0</v>
      </c>
      <c r="BG40" s="27">
        <v>2.0</v>
      </c>
      <c r="BH40" s="27">
        <v>1.0</v>
      </c>
      <c r="BI40" s="27">
        <v>3.0</v>
      </c>
      <c r="BJ40" s="28">
        <f t="shared" si="1"/>
        <v>147</v>
      </c>
      <c r="BK40" s="29">
        <f t="shared" si="2"/>
        <v>-0.2552807831</v>
      </c>
      <c r="BL40" s="27"/>
      <c r="BM40" s="27"/>
      <c r="BN40" s="27"/>
      <c r="BO40" s="27"/>
      <c r="BP40" s="27"/>
    </row>
    <row r="41">
      <c r="A41" s="22" t="s">
        <v>187</v>
      </c>
      <c r="B41" s="27">
        <v>2.0</v>
      </c>
      <c r="C41" s="27">
        <v>4.0</v>
      </c>
      <c r="D41" s="27">
        <v>5.0</v>
      </c>
      <c r="E41" s="27">
        <v>4.0</v>
      </c>
      <c r="F41" s="27">
        <v>4.0</v>
      </c>
      <c r="G41" s="27">
        <v>4.0</v>
      </c>
      <c r="H41" s="27">
        <v>4.0</v>
      </c>
      <c r="I41" s="27">
        <v>3.0</v>
      </c>
      <c r="J41" s="27">
        <v>5.0</v>
      </c>
      <c r="K41" s="27">
        <v>3.0</v>
      </c>
      <c r="L41" s="27">
        <v>4.0</v>
      </c>
      <c r="M41" s="27">
        <v>5.0</v>
      </c>
      <c r="N41" s="27">
        <v>4.0</v>
      </c>
      <c r="O41" s="27">
        <v>5.0</v>
      </c>
      <c r="P41" s="27">
        <v>5.0</v>
      </c>
      <c r="Q41" s="27">
        <v>4.0</v>
      </c>
      <c r="R41" s="27">
        <v>4.0</v>
      </c>
      <c r="S41" s="27">
        <v>4.0</v>
      </c>
      <c r="T41" s="27">
        <v>4.0</v>
      </c>
      <c r="U41" s="27">
        <v>4.0</v>
      </c>
      <c r="V41" s="27">
        <v>5.0</v>
      </c>
      <c r="W41" s="27">
        <v>4.0</v>
      </c>
      <c r="X41" s="27">
        <v>3.0</v>
      </c>
      <c r="Y41" s="27">
        <v>4.0</v>
      </c>
      <c r="Z41" s="27">
        <v>4.0</v>
      </c>
      <c r="AA41" s="27">
        <v>4.0</v>
      </c>
      <c r="AB41" s="27">
        <v>3.0</v>
      </c>
      <c r="AC41" s="27">
        <v>5.0</v>
      </c>
      <c r="AD41" s="27">
        <v>3.0</v>
      </c>
      <c r="AE41" s="27">
        <v>4.0</v>
      </c>
      <c r="AF41" s="27">
        <v>3.0</v>
      </c>
      <c r="AG41" s="27">
        <v>3.0</v>
      </c>
      <c r="AH41" s="27">
        <v>5.0</v>
      </c>
      <c r="AI41" s="27">
        <v>4.0</v>
      </c>
      <c r="AJ41" s="27">
        <v>4.0</v>
      </c>
      <c r="AK41" s="27">
        <v>4.0</v>
      </c>
      <c r="AL41" s="27">
        <v>4.0</v>
      </c>
      <c r="AM41" s="27">
        <v>4.0</v>
      </c>
      <c r="AN41" s="30">
        <v>1.0</v>
      </c>
      <c r="AO41" s="27">
        <v>2.0</v>
      </c>
      <c r="AP41" s="27">
        <v>5.0</v>
      </c>
      <c r="AQ41" s="27">
        <v>4.0</v>
      </c>
      <c r="AR41" s="27">
        <v>4.0</v>
      </c>
      <c r="AS41" s="27">
        <v>4.0</v>
      </c>
      <c r="AT41" s="27">
        <v>2.0</v>
      </c>
      <c r="AU41" s="27">
        <v>3.0</v>
      </c>
      <c r="AV41" s="27">
        <v>2.0</v>
      </c>
      <c r="AW41" s="27">
        <v>5.0</v>
      </c>
      <c r="AX41" s="27">
        <v>5.0</v>
      </c>
      <c r="AY41" s="27">
        <v>3.0</v>
      </c>
      <c r="AZ41" s="27">
        <v>3.0</v>
      </c>
      <c r="BA41" s="27">
        <v>3.0</v>
      </c>
      <c r="BB41" s="27">
        <v>4.0</v>
      </c>
      <c r="BC41" s="27">
        <v>3.0</v>
      </c>
      <c r="BD41" s="27">
        <v>4.0</v>
      </c>
      <c r="BE41" s="27">
        <v>5.0</v>
      </c>
      <c r="BF41" s="27">
        <v>3.0</v>
      </c>
      <c r="BG41" s="27">
        <v>3.0</v>
      </c>
      <c r="BH41" s="27">
        <v>5.0</v>
      </c>
      <c r="BI41" s="27">
        <v>3.0</v>
      </c>
      <c r="BJ41" s="28">
        <f t="shared" si="1"/>
        <v>227</v>
      </c>
      <c r="BK41" s="29">
        <f t="shared" si="2"/>
        <v>0.1500085866</v>
      </c>
      <c r="BL41" s="27"/>
      <c r="BM41" s="27"/>
      <c r="BN41" s="27"/>
      <c r="BO41" s="27"/>
      <c r="BP41" s="27"/>
    </row>
    <row r="42">
      <c r="A42" s="22" t="s">
        <v>188</v>
      </c>
      <c r="B42" s="27">
        <v>2.0</v>
      </c>
      <c r="C42" s="27">
        <v>4.0</v>
      </c>
      <c r="D42" s="27">
        <v>4.0</v>
      </c>
      <c r="E42" s="27">
        <v>4.0</v>
      </c>
      <c r="F42" s="27">
        <v>3.0</v>
      </c>
      <c r="G42" s="27">
        <v>4.0</v>
      </c>
      <c r="H42" s="27">
        <v>3.0</v>
      </c>
      <c r="I42" s="27">
        <v>2.0</v>
      </c>
      <c r="J42" s="27">
        <v>5.0</v>
      </c>
      <c r="K42" s="27">
        <v>3.0</v>
      </c>
      <c r="L42" s="27">
        <v>3.0</v>
      </c>
      <c r="M42" s="27">
        <v>5.0</v>
      </c>
      <c r="N42" s="27">
        <v>4.0</v>
      </c>
      <c r="O42" s="27">
        <v>5.0</v>
      </c>
      <c r="P42" s="27">
        <v>5.0</v>
      </c>
      <c r="Q42" s="27">
        <v>3.0</v>
      </c>
      <c r="R42" s="27">
        <v>3.0</v>
      </c>
      <c r="S42" s="27">
        <v>3.0</v>
      </c>
      <c r="T42" s="27">
        <v>5.0</v>
      </c>
      <c r="U42" s="27">
        <v>4.0</v>
      </c>
      <c r="V42" s="27">
        <v>3.0</v>
      </c>
      <c r="W42" s="27">
        <v>2.0</v>
      </c>
      <c r="X42" s="27">
        <v>3.0</v>
      </c>
      <c r="Y42" s="27">
        <v>3.0</v>
      </c>
      <c r="Z42" s="27">
        <v>1.0</v>
      </c>
      <c r="AA42" s="27">
        <v>4.0</v>
      </c>
      <c r="AB42" s="27">
        <v>3.0</v>
      </c>
      <c r="AC42" s="27">
        <v>3.0</v>
      </c>
      <c r="AD42" s="27">
        <v>1.0</v>
      </c>
      <c r="AE42" s="27">
        <v>5.0</v>
      </c>
      <c r="AF42" s="27">
        <v>4.0</v>
      </c>
      <c r="AG42" s="27">
        <v>4.0</v>
      </c>
      <c r="AH42" s="27">
        <v>4.0</v>
      </c>
      <c r="AI42" s="27">
        <v>3.0</v>
      </c>
      <c r="AJ42" s="27">
        <v>3.0</v>
      </c>
      <c r="AK42" s="27">
        <v>4.0</v>
      </c>
      <c r="AL42" s="27">
        <v>4.0</v>
      </c>
      <c r="AM42" s="27">
        <v>3.0</v>
      </c>
      <c r="AN42" s="27">
        <v>2.0</v>
      </c>
      <c r="AO42" s="30">
        <v>1.0</v>
      </c>
      <c r="AP42" s="27">
        <v>4.0</v>
      </c>
      <c r="AQ42" s="27">
        <v>4.0</v>
      </c>
      <c r="AR42" s="27">
        <v>3.0</v>
      </c>
      <c r="AS42" s="27">
        <v>4.0</v>
      </c>
      <c r="AT42" s="27">
        <v>2.0</v>
      </c>
      <c r="AU42" s="27">
        <v>1.0</v>
      </c>
      <c r="AV42" s="27">
        <v>4.0</v>
      </c>
      <c r="AW42" s="27">
        <v>4.0</v>
      </c>
      <c r="AX42" s="27">
        <v>2.0</v>
      </c>
      <c r="AY42" s="27">
        <v>4.0</v>
      </c>
      <c r="AZ42" s="27">
        <v>3.0</v>
      </c>
      <c r="BA42" s="27">
        <v>1.0</v>
      </c>
      <c r="BB42" s="27">
        <v>2.0</v>
      </c>
      <c r="BC42" s="27">
        <v>3.0</v>
      </c>
      <c r="BD42" s="27">
        <v>4.0</v>
      </c>
      <c r="BE42" s="27">
        <v>4.0</v>
      </c>
      <c r="BF42" s="27">
        <v>3.0</v>
      </c>
      <c r="BG42" s="27">
        <v>3.0</v>
      </c>
      <c r="BH42" s="27">
        <v>4.0</v>
      </c>
      <c r="BI42" s="27">
        <v>2.0</v>
      </c>
      <c r="BJ42" s="28">
        <f t="shared" si="1"/>
        <v>195</v>
      </c>
      <c r="BK42" s="29">
        <f t="shared" si="2"/>
        <v>-0.01210716126</v>
      </c>
      <c r="BL42" s="27"/>
      <c r="BM42" s="27"/>
      <c r="BN42" s="27"/>
      <c r="BO42" s="27"/>
      <c r="BP42" s="27"/>
    </row>
    <row r="43">
      <c r="A43" s="22" t="s">
        <v>189</v>
      </c>
      <c r="B43" s="27">
        <v>3.0</v>
      </c>
      <c r="C43" s="27">
        <v>4.0</v>
      </c>
      <c r="D43" s="27">
        <v>5.0</v>
      </c>
      <c r="E43" s="27">
        <v>3.0</v>
      </c>
      <c r="F43" s="27">
        <v>4.0</v>
      </c>
      <c r="G43" s="27">
        <v>3.0</v>
      </c>
      <c r="H43" s="27">
        <v>4.0</v>
      </c>
      <c r="I43" s="27">
        <v>3.0</v>
      </c>
      <c r="J43" s="27">
        <v>5.0</v>
      </c>
      <c r="K43" s="27">
        <v>3.0</v>
      </c>
      <c r="L43" s="27">
        <v>4.0</v>
      </c>
      <c r="M43" s="27">
        <v>5.0</v>
      </c>
      <c r="N43" s="27">
        <v>4.0</v>
      </c>
      <c r="O43" s="27">
        <v>5.0</v>
      </c>
      <c r="P43" s="27">
        <v>4.0</v>
      </c>
      <c r="Q43" s="27">
        <v>3.0</v>
      </c>
      <c r="R43" s="27">
        <v>5.0</v>
      </c>
      <c r="S43" s="27">
        <v>5.0</v>
      </c>
      <c r="T43" s="27">
        <v>5.0</v>
      </c>
      <c r="U43" s="27">
        <v>5.0</v>
      </c>
      <c r="V43" s="27">
        <v>4.0</v>
      </c>
      <c r="W43" s="27">
        <v>3.0</v>
      </c>
      <c r="X43" s="27">
        <v>3.0</v>
      </c>
      <c r="Y43" s="27">
        <v>4.0</v>
      </c>
      <c r="Z43" s="27">
        <v>3.0</v>
      </c>
      <c r="AA43" s="27">
        <v>4.0</v>
      </c>
      <c r="AB43" s="27">
        <v>3.0</v>
      </c>
      <c r="AC43" s="27">
        <v>5.0</v>
      </c>
      <c r="AD43" s="27">
        <v>3.0</v>
      </c>
      <c r="AE43" s="27">
        <v>3.0</v>
      </c>
      <c r="AF43" s="27">
        <v>4.0</v>
      </c>
      <c r="AG43" s="27">
        <v>4.0</v>
      </c>
      <c r="AH43" s="27">
        <v>4.0</v>
      </c>
      <c r="AI43" s="27">
        <v>4.0</v>
      </c>
      <c r="AJ43" s="27">
        <v>3.0</v>
      </c>
      <c r="AK43" s="27">
        <v>4.0</v>
      </c>
      <c r="AL43" s="27">
        <v>4.0</v>
      </c>
      <c r="AM43" s="27">
        <v>3.0</v>
      </c>
      <c r="AN43" s="27">
        <v>5.0</v>
      </c>
      <c r="AO43" s="27">
        <v>3.0</v>
      </c>
      <c r="AP43" s="30">
        <v>1.0</v>
      </c>
      <c r="AQ43" s="27">
        <v>4.0</v>
      </c>
      <c r="AR43" s="27">
        <v>4.0</v>
      </c>
      <c r="AS43" s="27">
        <v>4.0</v>
      </c>
      <c r="AT43" s="27">
        <v>3.0</v>
      </c>
      <c r="AU43" s="27">
        <v>3.0</v>
      </c>
      <c r="AV43" s="27">
        <v>3.0</v>
      </c>
      <c r="AW43" s="27">
        <v>5.0</v>
      </c>
      <c r="AX43" s="27">
        <v>4.0</v>
      </c>
      <c r="AY43" s="27">
        <v>3.0</v>
      </c>
      <c r="AZ43" s="27">
        <v>4.0</v>
      </c>
      <c r="BA43" s="27">
        <v>3.0</v>
      </c>
      <c r="BB43" s="27">
        <v>4.0</v>
      </c>
      <c r="BC43" s="27">
        <v>4.0</v>
      </c>
      <c r="BD43" s="27">
        <v>5.0</v>
      </c>
      <c r="BE43" s="27">
        <v>4.0</v>
      </c>
      <c r="BF43" s="27">
        <v>4.0</v>
      </c>
      <c r="BG43" s="27">
        <v>3.0</v>
      </c>
      <c r="BH43" s="27">
        <v>5.0</v>
      </c>
      <c r="BI43" s="27">
        <v>3.0</v>
      </c>
      <c r="BJ43" s="28">
        <f t="shared" si="1"/>
        <v>228</v>
      </c>
      <c r="BK43" s="29">
        <f t="shared" si="2"/>
        <v>0.1550747038</v>
      </c>
      <c r="BL43" s="27"/>
      <c r="BM43" s="27"/>
      <c r="BN43" s="27"/>
      <c r="BO43" s="27"/>
      <c r="BP43" s="27"/>
    </row>
    <row r="44">
      <c r="A44" s="22" t="s">
        <v>190</v>
      </c>
      <c r="B44" s="27">
        <v>3.0</v>
      </c>
      <c r="C44" s="27">
        <v>3.0</v>
      </c>
      <c r="D44" s="27">
        <v>5.0</v>
      </c>
      <c r="E44" s="27">
        <v>3.0</v>
      </c>
      <c r="F44" s="27">
        <v>4.0</v>
      </c>
      <c r="G44" s="27">
        <v>3.0</v>
      </c>
      <c r="H44" s="27">
        <v>3.0</v>
      </c>
      <c r="I44" s="27">
        <v>2.0</v>
      </c>
      <c r="J44" s="27">
        <v>5.0</v>
      </c>
      <c r="K44" s="27">
        <v>3.0</v>
      </c>
      <c r="L44" s="27">
        <v>3.0</v>
      </c>
      <c r="M44" s="27">
        <v>3.0</v>
      </c>
      <c r="N44" s="27">
        <v>3.0</v>
      </c>
      <c r="O44" s="27">
        <v>5.0</v>
      </c>
      <c r="P44" s="27">
        <v>5.0</v>
      </c>
      <c r="Q44" s="27">
        <v>3.0</v>
      </c>
      <c r="R44" s="27">
        <v>4.0</v>
      </c>
      <c r="S44" s="27">
        <v>4.0</v>
      </c>
      <c r="T44" s="27">
        <v>5.0</v>
      </c>
      <c r="U44" s="27">
        <v>4.0</v>
      </c>
      <c r="V44" s="27">
        <v>4.0</v>
      </c>
      <c r="W44" s="27">
        <v>3.0</v>
      </c>
      <c r="X44" s="27">
        <v>4.0</v>
      </c>
      <c r="Y44" s="27">
        <v>4.0</v>
      </c>
      <c r="Z44" s="27">
        <v>3.0</v>
      </c>
      <c r="AA44" s="27">
        <v>3.0</v>
      </c>
      <c r="AB44" s="27">
        <v>2.0</v>
      </c>
      <c r="AC44" s="27">
        <v>4.0</v>
      </c>
      <c r="AD44" s="27">
        <v>2.0</v>
      </c>
      <c r="AE44" s="27">
        <v>3.0</v>
      </c>
      <c r="AF44" s="27">
        <v>3.0</v>
      </c>
      <c r="AG44" s="27">
        <v>3.0</v>
      </c>
      <c r="AH44" s="27">
        <v>4.0</v>
      </c>
      <c r="AI44" s="27">
        <v>4.0</v>
      </c>
      <c r="AJ44" s="27">
        <v>5.0</v>
      </c>
      <c r="AK44" s="27">
        <v>3.0</v>
      </c>
      <c r="AL44" s="27">
        <v>3.0</v>
      </c>
      <c r="AM44" s="27">
        <v>2.0</v>
      </c>
      <c r="AN44" s="27">
        <v>5.0</v>
      </c>
      <c r="AO44" s="27">
        <v>4.0</v>
      </c>
      <c r="AP44" s="27">
        <v>5.0</v>
      </c>
      <c r="AQ44" s="30">
        <v>1.0</v>
      </c>
      <c r="AR44" s="27">
        <v>4.0</v>
      </c>
      <c r="AS44" s="27">
        <v>4.0</v>
      </c>
      <c r="AT44" s="27">
        <v>2.0</v>
      </c>
      <c r="AU44" s="27">
        <v>2.0</v>
      </c>
      <c r="AV44" s="27">
        <v>4.0</v>
      </c>
      <c r="AW44" s="27">
        <v>4.0</v>
      </c>
      <c r="AX44" s="27">
        <v>4.0</v>
      </c>
      <c r="AY44" s="27">
        <v>3.0</v>
      </c>
      <c r="AZ44" s="27">
        <v>3.0</v>
      </c>
      <c r="BA44" s="27">
        <v>3.0</v>
      </c>
      <c r="BB44" s="27">
        <v>5.0</v>
      </c>
      <c r="BC44" s="27">
        <v>5.0</v>
      </c>
      <c r="BD44" s="27">
        <v>3.0</v>
      </c>
      <c r="BE44" s="27">
        <v>4.0</v>
      </c>
      <c r="BF44" s="27">
        <v>3.0</v>
      </c>
      <c r="BG44" s="27">
        <v>4.0</v>
      </c>
      <c r="BH44" s="27">
        <v>4.0</v>
      </c>
      <c r="BI44" s="27">
        <v>2.0</v>
      </c>
      <c r="BJ44" s="28">
        <f t="shared" si="1"/>
        <v>210</v>
      </c>
      <c r="BK44" s="29">
        <f t="shared" si="2"/>
        <v>0.06388459557</v>
      </c>
      <c r="BL44" s="27"/>
      <c r="BM44" s="27"/>
      <c r="BN44" s="27"/>
      <c r="BO44" s="27"/>
      <c r="BP44" s="27"/>
    </row>
    <row r="45">
      <c r="A45" s="22" t="s">
        <v>191</v>
      </c>
      <c r="B45" s="27">
        <v>1.0</v>
      </c>
      <c r="C45" s="27">
        <v>2.0</v>
      </c>
      <c r="D45" s="27">
        <v>1.0</v>
      </c>
      <c r="E45" s="27">
        <v>2.0</v>
      </c>
      <c r="F45" s="27">
        <v>2.0</v>
      </c>
      <c r="G45" s="27">
        <v>1.0</v>
      </c>
      <c r="H45" s="27">
        <v>2.0</v>
      </c>
      <c r="I45" s="27">
        <v>3.0</v>
      </c>
      <c r="J45" s="27">
        <v>2.0</v>
      </c>
      <c r="K45" s="27">
        <v>5.0</v>
      </c>
      <c r="L45" s="27">
        <v>2.0</v>
      </c>
      <c r="M45" s="27">
        <v>1.0</v>
      </c>
      <c r="N45" s="27">
        <v>3.0</v>
      </c>
      <c r="O45" s="27">
        <v>2.0</v>
      </c>
      <c r="P45" s="27">
        <v>1.0</v>
      </c>
      <c r="Q45" s="27">
        <v>4.0</v>
      </c>
      <c r="R45" s="27">
        <v>1.0</v>
      </c>
      <c r="S45" s="27">
        <v>4.0</v>
      </c>
      <c r="T45" s="27">
        <v>1.0</v>
      </c>
      <c r="U45" s="27">
        <v>1.0</v>
      </c>
      <c r="V45" s="27">
        <v>2.0</v>
      </c>
      <c r="W45" s="27">
        <v>1.0</v>
      </c>
      <c r="X45" s="27">
        <v>1.0</v>
      </c>
      <c r="Y45" s="27">
        <v>1.0</v>
      </c>
      <c r="Z45" s="27">
        <v>1.0</v>
      </c>
      <c r="AA45" s="27">
        <v>1.0</v>
      </c>
      <c r="AB45" s="27">
        <v>1.0</v>
      </c>
      <c r="AC45" s="27">
        <v>1.0</v>
      </c>
      <c r="AD45" s="27">
        <v>1.0</v>
      </c>
      <c r="AE45" s="27">
        <v>1.0</v>
      </c>
      <c r="AF45" s="27">
        <v>1.0</v>
      </c>
      <c r="AG45" s="27">
        <v>1.0</v>
      </c>
      <c r="AH45" s="27">
        <v>1.0</v>
      </c>
      <c r="AI45" s="27">
        <v>1.0</v>
      </c>
      <c r="AJ45" s="27">
        <v>1.0</v>
      </c>
      <c r="AK45" s="27">
        <v>1.0</v>
      </c>
      <c r="AL45" s="27">
        <v>5.0</v>
      </c>
      <c r="AM45" s="27">
        <v>2.0</v>
      </c>
      <c r="AN45" s="27">
        <v>2.0</v>
      </c>
      <c r="AO45" s="27">
        <v>1.0</v>
      </c>
      <c r="AP45" s="27">
        <v>2.0</v>
      </c>
      <c r="AQ45" s="27">
        <v>2.0</v>
      </c>
      <c r="AR45" s="30">
        <v>1.0</v>
      </c>
      <c r="AS45" s="27">
        <v>2.0</v>
      </c>
      <c r="AT45" s="27">
        <v>3.0</v>
      </c>
      <c r="AU45" s="27">
        <v>2.0</v>
      </c>
      <c r="AV45" s="27">
        <v>1.0</v>
      </c>
      <c r="AW45" s="27">
        <v>1.0</v>
      </c>
      <c r="AX45" s="27">
        <v>2.0</v>
      </c>
      <c r="AY45" s="27">
        <v>5.0</v>
      </c>
      <c r="AZ45" s="27">
        <v>2.0</v>
      </c>
      <c r="BA45" s="27">
        <v>1.0</v>
      </c>
      <c r="BB45" s="27">
        <v>1.0</v>
      </c>
      <c r="BC45" s="27">
        <v>1.0</v>
      </c>
      <c r="BD45" s="27">
        <v>2.0</v>
      </c>
      <c r="BE45" s="27">
        <v>1.0</v>
      </c>
      <c r="BF45" s="27">
        <v>1.0</v>
      </c>
      <c r="BG45" s="27">
        <v>3.0</v>
      </c>
      <c r="BH45" s="27">
        <v>3.0</v>
      </c>
      <c r="BI45" s="27">
        <v>1.0</v>
      </c>
      <c r="BJ45" s="28">
        <f t="shared" si="1"/>
        <v>105</v>
      </c>
      <c r="BK45" s="29">
        <f t="shared" si="2"/>
        <v>-0.4680577022</v>
      </c>
      <c r="BL45" s="27"/>
      <c r="BM45" s="27"/>
      <c r="BN45" s="27"/>
      <c r="BO45" s="27"/>
      <c r="BP45" s="27"/>
    </row>
    <row r="46">
      <c r="A46" s="22" t="s">
        <v>192</v>
      </c>
      <c r="B46" s="27">
        <v>3.0</v>
      </c>
      <c r="C46" s="27">
        <v>3.0</v>
      </c>
      <c r="D46" s="27">
        <v>5.0</v>
      </c>
      <c r="E46" s="27">
        <v>2.0</v>
      </c>
      <c r="F46" s="27">
        <v>2.0</v>
      </c>
      <c r="G46" s="27">
        <v>4.0</v>
      </c>
      <c r="H46" s="27">
        <v>4.0</v>
      </c>
      <c r="I46" s="27">
        <v>2.0</v>
      </c>
      <c r="J46" s="27">
        <v>3.0</v>
      </c>
      <c r="K46" s="27">
        <v>4.0</v>
      </c>
      <c r="L46" s="27">
        <v>4.0</v>
      </c>
      <c r="M46" s="27">
        <v>3.0</v>
      </c>
      <c r="N46" s="27">
        <v>4.0</v>
      </c>
      <c r="O46" s="27">
        <v>4.0</v>
      </c>
      <c r="P46" s="27">
        <v>3.0</v>
      </c>
      <c r="Q46" s="27">
        <v>2.0</v>
      </c>
      <c r="R46" s="27">
        <v>3.0</v>
      </c>
      <c r="S46" s="27">
        <v>3.0</v>
      </c>
      <c r="T46" s="27">
        <v>2.0</v>
      </c>
      <c r="U46" s="27">
        <v>3.0</v>
      </c>
      <c r="V46" s="27">
        <v>4.0</v>
      </c>
      <c r="W46" s="27">
        <v>2.0</v>
      </c>
      <c r="X46" s="27">
        <v>3.0</v>
      </c>
      <c r="Y46" s="27">
        <v>2.0</v>
      </c>
      <c r="Z46" s="27">
        <v>4.0</v>
      </c>
      <c r="AA46" s="27">
        <v>5.0</v>
      </c>
      <c r="AB46" s="27">
        <v>2.0</v>
      </c>
      <c r="AC46" s="27">
        <v>2.0</v>
      </c>
      <c r="AD46" s="27">
        <v>4.0</v>
      </c>
      <c r="AE46" s="27">
        <v>2.0</v>
      </c>
      <c r="AF46" s="27">
        <v>3.0</v>
      </c>
      <c r="AG46" s="27">
        <v>4.0</v>
      </c>
      <c r="AH46" s="27">
        <v>2.0</v>
      </c>
      <c r="AI46" s="27">
        <v>2.0</v>
      </c>
      <c r="AJ46" s="27">
        <v>2.0</v>
      </c>
      <c r="AK46" s="27">
        <v>3.0</v>
      </c>
      <c r="AL46" s="27">
        <v>3.0</v>
      </c>
      <c r="AM46" s="27">
        <v>2.0</v>
      </c>
      <c r="AN46" s="27">
        <v>3.0</v>
      </c>
      <c r="AO46" s="27">
        <v>2.0</v>
      </c>
      <c r="AP46" s="27">
        <v>4.0</v>
      </c>
      <c r="AQ46" s="27">
        <v>3.0</v>
      </c>
      <c r="AR46" s="27">
        <v>3.0</v>
      </c>
      <c r="AS46" s="30">
        <v>1.0</v>
      </c>
      <c r="AT46" s="27">
        <v>3.0</v>
      </c>
      <c r="AU46" s="27">
        <v>4.0</v>
      </c>
      <c r="AV46" s="27">
        <v>2.0</v>
      </c>
      <c r="AW46" s="27">
        <v>3.0</v>
      </c>
      <c r="AX46" s="27">
        <v>4.0</v>
      </c>
      <c r="AY46" s="27">
        <v>3.0</v>
      </c>
      <c r="AZ46" s="27">
        <v>2.0</v>
      </c>
      <c r="BA46" s="27">
        <v>3.0</v>
      </c>
      <c r="BB46" s="27">
        <v>2.0</v>
      </c>
      <c r="BC46" s="27">
        <v>2.0</v>
      </c>
      <c r="BD46" s="27">
        <v>4.0</v>
      </c>
      <c r="BE46" s="27">
        <v>3.0</v>
      </c>
      <c r="BF46" s="27">
        <v>3.0</v>
      </c>
      <c r="BG46" s="27">
        <v>3.0</v>
      </c>
      <c r="BH46" s="27">
        <v>3.0</v>
      </c>
      <c r="BI46" s="27">
        <v>4.0</v>
      </c>
      <c r="BJ46" s="28">
        <f t="shared" si="1"/>
        <v>178</v>
      </c>
      <c r="BK46" s="29">
        <f t="shared" si="2"/>
        <v>-0.09823115233</v>
      </c>
      <c r="BL46" s="27"/>
      <c r="BM46" s="27"/>
      <c r="BN46" s="27"/>
      <c r="BO46" s="27"/>
      <c r="BP46" s="27"/>
    </row>
    <row r="47">
      <c r="A47" s="22" t="s">
        <v>193</v>
      </c>
      <c r="B47" s="27">
        <v>2.0</v>
      </c>
      <c r="C47" s="27">
        <v>3.0</v>
      </c>
      <c r="D47" s="27">
        <v>4.0</v>
      </c>
      <c r="E47" s="27">
        <v>3.0</v>
      </c>
      <c r="F47" s="27">
        <v>4.0</v>
      </c>
      <c r="G47" s="27">
        <v>2.0</v>
      </c>
      <c r="H47" s="27">
        <v>4.0</v>
      </c>
      <c r="I47" s="27">
        <v>3.0</v>
      </c>
      <c r="J47" s="27">
        <v>2.0</v>
      </c>
      <c r="K47" s="27">
        <v>4.0</v>
      </c>
      <c r="L47" s="27">
        <v>4.0</v>
      </c>
      <c r="M47" s="27">
        <v>3.0</v>
      </c>
      <c r="N47" s="27">
        <v>3.0</v>
      </c>
      <c r="O47" s="27">
        <v>5.0</v>
      </c>
      <c r="P47" s="27">
        <v>3.0</v>
      </c>
      <c r="Q47" s="27">
        <v>3.0</v>
      </c>
      <c r="R47" s="27">
        <v>2.0</v>
      </c>
      <c r="S47" s="27">
        <v>2.0</v>
      </c>
      <c r="T47" s="27">
        <v>3.0</v>
      </c>
      <c r="U47" s="27">
        <v>3.0</v>
      </c>
      <c r="V47" s="27">
        <v>3.0</v>
      </c>
      <c r="W47" s="27">
        <v>2.0</v>
      </c>
      <c r="X47" s="27">
        <v>3.0</v>
      </c>
      <c r="Y47" s="27">
        <v>5.0</v>
      </c>
      <c r="Z47" s="27">
        <v>3.0</v>
      </c>
      <c r="AA47" s="27">
        <v>4.0</v>
      </c>
      <c r="AB47" s="27">
        <v>3.0</v>
      </c>
      <c r="AC47" s="27">
        <v>2.0</v>
      </c>
      <c r="AD47" s="27">
        <v>4.0</v>
      </c>
      <c r="AE47" s="27">
        <v>2.0</v>
      </c>
      <c r="AF47" s="27">
        <v>4.0</v>
      </c>
      <c r="AG47" s="27">
        <v>4.0</v>
      </c>
      <c r="AH47" s="27">
        <v>3.0</v>
      </c>
      <c r="AI47" s="27">
        <v>2.0</v>
      </c>
      <c r="AJ47" s="27">
        <v>3.0</v>
      </c>
      <c r="AK47" s="27">
        <v>3.0</v>
      </c>
      <c r="AL47" s="27">
        <v>4.0</v>
      </c>
      <c r="AM47" s="27">
        <v>2.0</v>
      </c>
      <c r="AN47" s="27">
        <v>3.0</v>
      </c>
      <c r="AO47" s="27">
        <v>3.0</v>
      </c>
      <c r="AP47" s="27">
        <v>3.0</v>
      </c>
      <c r="AQ47" s="27">
        <v>4.0</v>
      </c>
      <c r="AR47" s="27">
        <v>4.0</v>
      </c>
      <c r="AS47" s="27">
        <v>2.0</v>
      </c>
      <c r="AT47" s="27">
        <v>3.0</v>
      </c>
      <c r="AU47" s="30">
        <v>1.0</v>
      </c>
      <c r="AV47" s="27">
        <v>2.0</v>
      </c>
      <c r="AW47" s="27">
        <v>3.0</v>
      </c>
      <c r="AX47" s="27">
        <v>3.0</v>
      </c>
      <c r="AY47" s="27">
        <v>3.0</v>
      </c>
      <c r="AZ47" s="27">
        <v>2.0</v>
      </c>
      <c r="BA47" s="27">
        <v>2.0</v>
      </c>
      <c r="BB47" s="27">
        <v>2.0</v>
      </c>
      <c r="BC47" s="27">
        <v>2.0</v>
      </c>
      <c r="BD47" s="27">
        <v>3.0</v>
      </c>
      <c r="BE47" s="27">
        <v>4.0</v>
      </c>
      <c r="BF47" s="27">
        <v>2.0</v>
      </c>
      <c r="BG47" s="27">
        <v>3.0</v>
      </c>
      <c r="BH47" s="27">
        <v>5.0</v>
      </c>
      <c r="BI47" s="27">
        <v>3.0</v>
      </c>
      <c r="BJ47" s="28">
        <f t="shared" si="1"/>
        <v>180</v>
      </c>
      <c r="BK47" s="29">
        <f t="shared" si="2"/>
        <v>-0.08809891808</v>
      </c>
      <c r="BL47" s="27"/>
      <c r="BM47" s="27"/>
      <c r="BN47" s="27"/>
      <c r="BO47" s="27"/>
      <c r="BP47" s="27"/>
    </row>
    <row r="48">
      <c r="A48" s="22" t="s">
        <v>194</v>
      </c>
      <c r="B48" s="27">
        <v>3.0</v>
      </c>
      <c r="C48" s="27">
        <v>4.0</v>
      </c>
      <c r="D48" s="27">
        <v>3.0</v>
      </c>
      <c r="E48" s="27">
        <v>3.0</v>
      </c>
      <c r="F48" s="27">
        <v>3.0</v>
      </c>
      <c r="G48" s="27">
        <v>3.0</v>
      </c>
      <c r="H48" s="27">
        <v>4.0</v>
      </c>
      <c r="I48" s="27">
        <v>3.0</v>
      </c>
      <c r="J48" s="27">
        <v>4.0</v>
      </c>
      <c r="K48" s="27">
        <v>2.0</v>
      </c>
      <c r="L48" s="27">
        <v>3.0</v>
      </c>
      <c r="M48" s="27">
        <v>4.0</v>
      </c>
      <c r="N48" s="27">
        <v>3.0</v>
      </c>
      <c r="O48" s="27">
        <v>5.0</v>
      </c>
      <c r="P48" s="27">
        <v>4.0</v>
      </c>
      <c r="Q48" s="27">
        <v>5.0</v>
      </c>
      <c r="R48" s="27">
        <v>3.0</v>
      </c>
      <c r="S48" s="27">
        <v>4.0</v>
      </c>
      <c r="T48" s="27">
        <v>4.0</v>
      </c>
      <c r="U48" s="27">
        <v>4.0</v>
      </c>
      <c r="V48" s="27">
        <v>4.0</v>
      </c>
      <c r="W48" s="27">
        <v>2.0</v>
      </c>
      <c r="X48" s="27">
        <v>2.0</v>
      </c>
      <c r="Y48" s="27">
        <v>4.0</v>
      </c>
      <c r="Z48" s="27">
        <v>2.0</v>
      </c>
      <c r="AA48" s="27">
        <v>2.0</v>
      </c>
      <c r="AB48" s="27">
        <v>4.0</v>
      </c>
      <c r="AC48" s="27">
        <v>4.0</v>
      </c>
      <c r="AD48" s="27">
        <v>3.0</v>
      </c>
      <c r="AE48" s="27">
        <v>2.0</v>
      </c>
      <c r="AF48" s="27">
        <v>5.0</v>
      </c>
      <c r="AG48" s="27">
        <v>3.0</v>
      </c>
      <c r="AH48" s="27">
        <v>3.0</v>
      </c>
      <c r="AI48" s="27">
        <v>3.0</v>
      </c>
      <c r="AJ48" s="27">
        <v>3.0</v>
      </c>
      <c r="AK48" s="27">
        <v>3.0</v>
      </c>
      <c r="AL48" s="27">
        <v>3.0</v>
      </c>
      <c r="AM48" s="27">
        <v>2.0</v>
      </c>
      <c r="AN48" s="27">
        <v>3.0</v>
      </c>
      <c r="AO48" s="27">
        <v>5.0</v>
      </c>
      <c r="AP48" s="27">
        <v>5.0</v>
      </c>
      <c r="AQ48" s="27">
        <v>4.0</v>
      </c>
      <c r="AR48" s="27">
        <v>4.0</v>
      </c>
      <c r="AS48" s="27">
        <v>3.0</v>
      </c>
      <c r="AT48" s="27">
        <v>2.0</v>
      </c>
      <c r="AU48" s="27">
        <v>2.0</v>
      </c>
      <c r="AV48" s="27">
        <v>5.0</v>
      </c>
      <c r="AW48" s="30">
        <v>1.0</v>
      </c>
      <c r="AX48" s="27">
        <v>4.0</v>
      </c>
      <c r="AY48" s="27">
        <v>3.0</v>
      </c>
      <c r="AZ48" s="27">
        <v>3.0</v>
      </c>
      <c r="BA48" s="27">
        <v>2.0</v>
      </c>
      <c r="BB48" s="27">
        <v>2.0</v>
      </c>
      <c r="BC48" s="27">
        <v>4.0</v>
      </c>
      <c r="BD48" s="27">
        <v>2.0</v>
      </c>
      <c r="BE48" s="27">
        <v>4.0</v>
      </c>
      <c r="BF48" s="27">
        <v>3.0</v>
      </c>
      <c r="BG48" s="27">
        <v>5.0</v>
      </c>
      <c r="BH48" s="27">
        <v>5.0</v>
      </c>
      <c r="BI48" s="27">
        <v>2.0</v>
      </c>
      <c r="BJ48" s="28">
        <f t="shared" si="1"/>
        <v>198</v>
      </c>
      <c r="BK48" s="29">
        <f t="shared" si="2"/>
        <v>0.003091190108</v>
      </c>
      <c r="BL48" s="27"/>
      <c r="BM48" s="27"/>
      <c r="BN48" s="27"/>
      <c r="BO48" s="27"/>
      <c r="BP48" s="27"/>
    </row>
    <row r="49">
      <c r="A49" s="22" t="s">
        <v>195</v>
      </c>
      <c r="B49" s="27">
        <v>3.0</v>
      </c>
      <c r="C49" s="27">
        <v>4.0</v>
      </c>
      <c r="D49" s="27">
        <v>5.0</v>
      </c>
      <c r="E49" s="27">
        <v>3.0</v>
      </c>
      <c r="F49" s="27">
        <v>4.0</v>
      </c>
      <c r="G49" s="27">
        <v>3.0</v>
      </c>
      <c r="H49" s="27">
        <v>4.0</v>
      </c>
      <c r="I49" s="27">
        <v>4.0</v>
      </c>
      <c r="J49" s="27">
        <v>4.0</v>
      </c>
      <c r="K49" s="27">
        <v>4.0</v>
      </c>
      <c r="L49" s="27">
        <v>3.0</v>
      </c>
      <c r="M49" s="27">
        <v>4.0</v>
      </c>
      <c r="N49" s="27">
        <v>4.0</v>
      </c>
      <c r="O49" s="27">
        <v>4.0</v>
      </c>
      <c r="P49" s="27">
        <v>4.0</v>
      </c>
      <c r="Q49" s="27">
        <v>3.0</v>
      </c>
      <c r="R49" s="27">
        <v>4.0</v>
      </c>
      <c r="S49" s="27">
        <v>4.0</v>
      </c>
      <c r="T49" s="27">
        <v>4.0</v>
      </c>
      <c r="U49" s="27">
        <v>3.0</v>
      </c>
      <c r="V49" s="27">
        <v>3.0</v>
      </c>
      <c r="W49" s="27">
        <v>3.0</v>
      </c>
      <c r="X49" s="27">
        <v>4.0</v>
      </c>
      <c r="Y49" s="27">
        <v>4.0</v>
      </c>
      <c r="Z49" s="27">
        <v>4.0</v>
      </c>
      <c r="AA49" s="27">
        <v>4.0</v>
      </c>
      <c r="AB49" s="27">
        <v>3.0</v>
      </c>
      <c r="AC49" s="27">
        <v>4.0</v>
      </c>
      <c r="AD49" s="27">
        <v>3.0</v>
      </c>
      <c r="AE49" s="27">
        <v>3.0</v>
      </c>
      <c r="AF49" s="27">
        <v>4.0</v>
      </c>
      <c r="AG49" s="27">
        <v>4.0</v>
      </c>
      <c r="AH49" s="27">
        <v>3.0</v>
      </c>
      <c r="AI49" s="27">
        <v>5.0</v>
      </c>
      <c r="AJ49" s="27">
        <v>3.0</v>
      </c>
      <c r="AK49" s="27">
        <v>4.0</v>
      </c>
      <c r="AL49" s="27">
        <v>3.0</v>
      </c>
      <c r="AM49" s="27">
        <v>3.0</v>
      </c>
      <c r="AN49" s="27">
        <v>5.0</v>
      </c>
      <c r="AO49" s="27">
        <v>3.0</v>
      </c>
      <c r="AP49" s="27">
        <v>4.0</v>
      </c>
      <c r="AQ49" s="27">
        <v>4.0</v>
      </c>
      <c r="AR49" s="27">
        <v>4.0</v>
      </c>
      <c r="AS49" s="27">
        <v>4.0</v>
      </c>
      <c r="AT49" s="27">
        <v>3.0</v>
      </c>
      <c r="AU49" s="27">
        <v>4.0</v>
      </c>
      <c r="AV49" s="27">
        <v>4.0</v>
      </c>
      <c r="AW49" s="27">
        <v>4.0</v>
      </c>
      <c r="AX49" s="30">
        <v>1.0</v>
      </c>
      <c r="AY49" s="27">
        <v>4.0</v>
      </c>
      <c r="AZ49" s="27">
        <v>3.0</v>
      </c>
      <c r="BA49" s="27">
        <v>4.0</v>
      </c>
      <c r="BB49" s="27">
        <v>4.0</v>
      </c>
      <c r="BC49" s="27">
        <v>3.0</v>
      </c>
      <c r="BD49" s="27">
        <v>3.0</v>
      </c>
      <c r="BE49" s="27">
        <v>4.0</v>
      </c>
      <c r="BF49" s="27">
        <v>3.0</v>
      </c>
      <c r="BG49" s="27">
        <v>4.0</v>
      </c>
      <c r="BH49" s="27">
        <v>5.0</v>
      </c>
      <c r="BI49" s="27">
        <v>3.0</v>
      </c>
      <c r="BJ49" s="28">
        <f t="shared" si="1"/>
        <v>219</v>
      </c>
      <c r="BK49" s="29">
        <f t="shared" si="2"/>
        <v>0.1094796497</v>
      </c>
      <c r="BL49" s="27"/>
      <c r="BM49" s="27"/>
      <c r="BN49" s="27"/>
      <c r="BO49" s="27"/>
      <c r="BP49" s="27"/>
    </row>
    <row r="50">
      <c r="A50" s="22" t="s">
        <v>196</v>
      </c>
      <c r="B50" s="27">
        <v>1.0</v>
      </c>
      <c r="C50" s="27">
        <v>3.0</v>
      </c>
      <c r="D50" s="27">
        <v>5.0</v>
      </c>
      <c r="E50" s="27">
        <v>3.0</v>
      </c>
      <c r="F50" s="27">
        <v>2.0</v>
      </c>
      <c r="G50" s="27">
        <v>3.0</v>
      </c>
      <c r="H50" s="27">
        <v>3.0</v>
      </c>
      <c r="I50" s="27">
        <v>2.0</v>
      </c>
      <c r="J50" s="27">
        <v>4.0</v>
      </c>
      <c r="K50" s="27">
        <v>5.0</v>
      </c>
      <c r="L50" s="27">
        <v>1.0</v>
      </c>
      <c r="M50" s="27">
        <v>3.0</v>
      </c>
      <c r="N50" s="27">
        <v>3.0</v>
      </c>
      <c r="O50" s="27">
        <v>4.0</v>
      </c>
      <c r="P50" s="27">
        <v>2.0</v>
      </c>
      <c r="Q50" s="27">
        <v>2.0</v>
      </c>
      <c r="R50" s="27">
        <v>1.0</v>
      </c>
      <c r="S50" s="27">
        <v>3.0</v>
      </c>
      <c r="T50" s="27">
        <v>2.0</v>
      </c>
      <c r="U50" s="27">
        <v>1.0</v>
      </c>
      <c r="V50" s="27">
        <v>3.0</v>
      </c>
      <c r="W50" s="27">
        <v>3.0</v>
      </c>
      <c r="X50" s="27">
        <v>2.0</v>
      </c>
      <c r="Y50" s="27">
        <v>4.0</v>
      </c>
      <c r="Z50" s="27">
        <v>2.0</v>
      </c>
      <c r="AA50" s="27">
        <v>2.0</v>
      </c>
      <c r="AB50" s="27">
        <v>2.0</v>
      </c>
      <c r="AC50" s="27">
        <v>1.0</v>
      </c>
      <c r="AD50" s="27">
        <v>1.0</v>
      </c>
      <c r="AE50" s="27">
        <v>3.0</v>
      </c>
      <c r="AF50" s="27">
        <v>4.0</v>
      </c>
      <c r="AG50" s="27">
        <v>2.0</v>
      </c>
      <c r="AH50" s="27">
        <v>2.0</v>
      </c>
      <c r="AI50" s="27">
        <v>1.0</v>
      </c>
      <c r="AJ50" s="27">
        <v>1.0</v>
      </c>
      <c r="AK50" s="27">
        <v>2.0</v>
      </c>
      <c r="AL50" s="27">
        <v>5.0</v>
      </c>
      <c r="AM50" s="27">
        <v>1.0</v>
      </c>
      <c r="AN50" s="27">
        <v>2.0</v>
      </c>
      <c r="AO50" s="27">
        <v>4.0</v>
      </c>
      <c r="AP50" s="27">
        <v>5.0</v>
      </c>
      <c r="AQ50" s="27">
        <v>2.0</v>
      </c>
      <c r="AR50" s="27">
        <v>5.0</v>
      </c>
      <c r="AS50" s="27">
        <v>4.0</v>
      </c>
      <c r="AT50" s="27">
        <v>1.0</v>
      </c>
      <c r="AU50" s="27">
        <v>2.0</v>
      </c>
      <c r="AV50" s="27">
        <v>2.0</v>
      </c>
      <c r="AW50" s="27">
        <v>3.0</v>
      </c>
      <c r="AX50" s="27">
        <v>2.0</v>
      </c>
      <c r="AY50" s="30">
        <v>1.0</v>
      </c>
      <c r="AZ50" s="27">
        <v>3.0</v>
      </c>
      <c r="BA50" s="27">
        <v>1.0</v>
      </c>
      <c r="BB50" s="27">
        <v>2.0</v>
      </c>
      <c r="BC50" s="27">
        <v>2.0</v>
      </c>
      <c r="BD50" s="27">
        <v>3.0</v>
      </c>
      <c r="BE50" s="27">
        <v>4.0</v>
      </c>
      <c r="BF50" s="27">
        <v>2.0</v>
      </c>
      <c r="BG50" s="27">
        <v>2.0</v>
      </c>
      <c r="BH50" s="27">
        <v>3.0</v>
      </c>
      <c r="BI50" s="27">
        <v>2.0</v>
      </c>
      <c r="BJ50" s="28">
        <f t="shared" si="1"/>
        <v>151</v>
      </c>
      <c r="BK50" s="29">
        <f t="shared" si="2"/>
        <v>-0.2350163146</v>
      </c>
      <c r="BL50" s="27"/>
      <c r="BM50" s="27"/>
      <c r="BN50" s="27"/>
      <c r="BO50" s="27"/>
      <c r="BP50" s="27"/>
    </row>
    <row r="51">
      <c r="A51" s="22" t="s">
        <v>197</v>
      </c>
      <c r="B51" s="27">
        <v>2.0</v>
      </c>
      <c r="C51" s="27">
        <v>5.0</v>
      </c>
      <c r="D51" s="27">
        <v>5.0</v>
      </c>
      <c r="E51" s="27">
        <v>4.0</v>
      </c>
      <c r="F51" s="27">
        <v>4.0</v>
      </c>
      <c r="G51" s="27">
        <v>4.0</v>
      </c>
      <c r="H51" s="27">
        <v>3.0</v>
      </c>
      <c r="I51" s="27">
        <v>2.0</v>
      </c>
      <c r="J51" s="27">
        <v>3.0</v>
      </c>
      <c r="K51" s="27">
        <v>3.0</v>
      </c>
      <c r="L51" s="27">
        <v>4.0</v>
      </c>
      <c r="M51" s="27">
        <v>3.0</v>
      </c>
      <c r="N51" s="27">
        <v>3.0</v>
      </c>
      <c r="O51" s="27">
        <v>4.0</v>
      </c>
      <c r="P51" s="27">
        <v>3.0</v>
      </c>
      <c r="Q51" s="27">
        <v>3.0</v>
      </c>
      <c r="R51" s="27">
        <v>2.0</v>
      </c>
      <c r="S51" s="27">
        <v>3.0</v>
      </c>
      <c r="T51" s="27">
        <v>4.0</v>
      </c>
      <c r="U51" s="27">
        <v>3.0</v>
      </c>
      <c r="V51" s="27">
        <v>3.0</v>
      </c>
      <c r="W51" s="27">
        <v>3.0</v>
      </c>
      <c r="X51" s="27">
        <v>3.0</v>
      </c>
      <c r="Y51" s="27">
        <v>3.0</v>
      </c>
      <c r="Z51" s="27">
        <v>3.0</v>
      </c>
      <c r="AA51" s="27">
        <v>4.0</v>
      </c>
      <c r="AB51" s="27">
        <v>4.0</v>
      </c>
      <c r="AC51" s="27">
        <v>4.0</v>
      </c>
      <c r="AD51" s="27">
        <v>2.0</v>
      </c>
      <c r="AE51" s="27">
        <v>4.0</v>
      </c>
      <c r="AF51" s="27">
        <v>3.0</v>
      </c>
      <c r="AG51" s="27">
        <v>3.0</v>
      </c>
      <c r="AH51" s="27">
        <v>3.0</v>
      </c>
      <c r="AI51" s="27">
        <v>2.0</v>
      </c>
      <c r="AJ51" s="27">
        <v>3.0</v>
      </c>
      <c r="AK51" s="27">
        <v>2.0</v>
      </c>
      <c r="AL51" s="27">
        <v>4.0</v>
      </c>
      <c r="AM51" s="27">
        <v>3.0</v>
      </c>
      <c r="AN51" s="27">
        <v>4.0</v>
      </c>
      <c r="AO51" s="27">
        <v>3.0</v>
      </c>
      <c r="AP51" s="27">
        <v>4.0</v>
      </c>
      <c r="AQ51" s="27">
        <v>3.0</v>
      </c>
      <c r="AR51" s="27">
        <v>4.0</v>
      </c>
      <c r="AS51" s="27">
        <v>5.0</v>
      </c>
      <c r="AT51" s="27">
        <v>3.0</v>
      </c>
      <c r="AU51" s="27">
        <v>3.0</v>
      </c>
      <c r="AV51" s="27">
        <v>3.0</v>
      </c>
      <c r="AW51" s="27">
        <v>5.0</v>
      </c>
      <c r="AX51" s="27">
        <v>3.0</v>
      </c>
      <c r="AY51" s="27">
        <v>3.0</v>
      </c>
      <c r="AZ51" s="30">
        <v>1.0</v>
      </c>
      <c r="BA51" s="27">
        <v>4.0</v>
      </c>
      <c r="BB51" s="27">
        <v>2.0</v>
      </c>
      <c r="BC51" s="27">
        <v>3.0</v>
      </c>
      <c r="BD51" s="27">
        <v>3.0</v>
      </c>
      <c r="BE51" s="27">
        <v>3.0</v>
      </c>
      <c r="BF51" s="27">
        <v>5.0</v>
      </c>
      <c r="BG51" s="27">
        <v>2.0</v>
      </c>
      <c r="BH51" s="27">
        <v>3.0</v>
      </c>
      <c r="BI51" s="27">
        <v>3.0</v>
      </c>
      <c r="BJ51" s="28">
        <f t="shared" si="1"/>
        <v>195</v>
      </c>
      <c r="BK51" s="29">
        <f t="shared" si="2"/>
        <v>-0.01210716126</v>
      </c>
      <c r="BL51" s="27"/>
      <c r="BM51" s="27"/>
      <c r="BN51" s="27"/>
      <c r="BO51" s="27"/>
      <c r="BP51" s="27"/>
    </row>
    <row r="52">
      <c r="A52" s="22" t="s">
        <v>198</v>
      </c>
      <c r="B52" s="27">
        <v>2.0</v>
      </c>
      <c r="C52" s="27">
        <v>4.0</v>
      </c>
      <c r="D52" s="27">
        <v>4.0</v>
      </c>
      <c r="E52" s="27">
        <v>3.0</v>
      </c>
      <c r="F52" s="27">
        <v>4.0</v>
      </c>
      <c r="G52" s="27">
        <v>4.0</v>
      </c>
      <c r="H52" s="27">
        <v>5.0</v>
      </c>
      <c r="I52" s="27">
        <v>4.0</v>
      </c>
      <c r="J52" s="27">
        <v>4.0</v>
      </c>
      <c r="K52" s="27">
        <v>5.0</v>
      </c>
      <c r="L52" s="27">
        <v>4.0</v>
      </c>
      <c r="M52" s="27">
        <v>4.0</v>
      </c>
      <c r="N52" s="27">
        <v>3.0</v>
      </c>
      <c r="O52" s="27">
        <v>4.0</v>
      </c>
      <c r="P52" s="27">
        <v>5.0</v>
      </c>
      <c r="Q52" s="27">
        <v>3.0</v>
      </c>
      <c r="R52" s="27">
        <v>3.0</v>
      </c>
      <c r="S52" s="27">
        <v>3.0</v>
      </c>
      <c r="T52" s="27">
        <v>4.0</v>
      </c>
      <c r="U52" s="27">
        <v>3.0</v>
      </c>
      <c r="V52" s="27">
        <v>4.0</v>
      </c>
      <c r="W52" s="27">
        <v>3.0</v>
      </c>
      <c r="X52" s="27">
        <v>5.0</v>
      </c>
      <c r="Y52" s="27">
        <v>3.0</v>
      </c>
      <c r="Z52" s="27">
        <v>3.0</v>
      </c>
      <c r="AA52" s="27">
        <v>4.0</v>
      </c>
      <c r="AB52" s="27">
        <v>4.0</v>
      </c>
      <c r="AC52" s="27">
        <v>5.0</v>
      </c>
      <c r="AD52" s="27">
        <v>3.0</v>
      </c>
      <c r="AE52" s="27">
        <v>3.0</v>
      </c>
      <c r="AF52" s="27">
        <v>5.0</v>
      </c>
      <c r="AG52" s="27">
        <v>3.0</v>
      </c>
      <c r="AH52" s="27">
        <v>4.0</v>
      </c>
      <c r="AI52" s="27">
        <v>3.0</v>
      </c>
      <c r="AJ52" s="27">
        <v>3.0</v>
      </c>
      <c r="AK52" s="27">
        <v>3.0</v>
      </c>
      <c r="AL52" s="27">
        <v>4.0</v>
      </c>
      <c r="AM52" s="27">
        <v>3.0</v>
      </c>
      <c r="AN52" s="27">
        <v>4.0</v>
      </c>
      <c r="AO52" s="27">
        <v>3.0</v>
      </c>
      <c r="AP52" s="27">
        <v>3.0</v>
      </c>
      <c r="AQ52" s="27">
        <v>3.0</v>
      </c>
      <c r="AR52" s="27">
        <v>5.0</v>
      </c>
      <c r="AS52" s="27">
        <v>5.0</v>
      </c>
      <c r="AT52" s="27">
        <v>4.0</v>
      </c>
      <c r="AU52" s="27">
        <v>5.0</v>
      </c>
      <c r="AV52" s="27">
        <v>3.0</v>
      </c>
      <c r="AW52" s="27">
        <v>5.0</v>
      </c>
      <c r="AX52" s="27">
        <v>5.0</v>
      </c>
      <c r="AY52" s="27">
        <v>5.0</v>
      </c>
      <c r="AZ52" s="27">
        <v>3.0</v>
      </c>
      <c r="BA52" s="30">
        <v>1.0</v>
      </c>
      <c r="BB52" s="27">
        <v>2.0</v>
      </c>
      <c r="BC52" s="27">
        <v>4.0</v>
      </c>
      <c r="BD52" s="27">
        <v>5.0</v>
      </c>
      <c r="BE52" s="27">
        <v>5.0</v>
      </c>
      <c r="BF52" s="27">
        <v>3.0</v>
      </c>
      <c r="BG52" s="27">
        <v>4.0</v>
      </c>
      <c r="BH52" s="27">
        <v>4.0</v>
      </c>
      <c r="BI52" s="27">
        <v>3.0</v>
      </c>
      <c r="BJ52" s="28">
        <f t="shared" si="1"/>
        <v>224</v>
      </c>
      <c r="BK52" s="29">
        <f t="shared" si="2"/>
        <v>0.1348102353</v>
      </c>
      <c r="BL52" s="27"/>
      <c r="BM52" s="27"/>
      <c r="BN52" s="27"/>
      <c r="BO52" s="27"/>
      <c r="BP52" s="27"/>
    </row>
    <row r="53">
      <c r="A53" s="22" t="s">
        <v>199</v>
      </c>
      <c r="B53" s="27">
        <v>3.0</v>
      </c>
      <c r="C53" s="27">
        <v>3.0</v>
      </c>
      <c r="D53" s="27">
        <v>4.0</v>
      </c>
      <c r="E53" s="27">
        <v>3.0</v>
      </c>
      <c r="F53" s="27">
        <v>3.0</v>
      </c>
      <c r="G53" s="27">
        <v>3.0</v>
      </c>
      <c r="H53" s="27">
        <v>3.0</v>
      </c>
      <c r="I53" s="27">
        <v>3.0</v>
      </c>
      <c r="J53" s="27">
        <v>5.0</v>
      </c>
      <c r="K53" s="27">
        <v>4.0</v>
      </c>
      <c r="L53" s="27">
        <v>3.0</v>
      </c>
      <c r="M53" s="27">
        <v>3.0</v>
      </c>
      <c r="N53" s="27">
        <v>3.0</v>
      </c>
      <c r="O53" s="27">
        <v>4.0</v>
      </c>
      <c r="P53" s="27">
        <v>3.0</v>
      </c>
      <c r="Q53" s="27">
        <v>4.0</v>
      </c>
      <c r="R53" s="27">
        <v>3.0</v>
      </c>
      <c r="S53" s="27">
        <v>3.0</v>
      </c>
      <c r="T53" s="27">
        <v>3.0</v>
      </c>
      <c r="U53" s="27">
        <v>3.0</v>
      </c>
      <c r="V53" s="27">
        <v>3.0</v>
      </c>
      <c r="W53" s="27">
        <v>3.0</v>
      </c>
      <c r="X53" s="27">
        <v>3.0</v>
      </c>
      <c r="Y53" s="27">
        <v>3.0</v>
      </c>
      <c r="Z53" s="27">
        <v>3.0</v>
      </c>
      <c r="AA53" s="27">
        <v>5.0</v>
      </c>
      <c r="AB53" s="27">
        <v>3.0</v>
      </c>
      <c r="AC53" s="27">
        <v>3.0</v>
      </c>
      <c r="AD53" s="27">
        <v>3.0</v>
      </c>
      <c r="AE53" s="27">
        <v>3.0</v>
      </c>
      <c r="AF53" s="27">
        <v>3.0</v>
      </c>
      <c r="AG53" s="27">
        <v>3.0</v>
      </c>
      <c r="AH53" s="27">
        <v>3.0</v>
      </c>
      <c r="AI53" s="27">
        <v>4.0</v>
      </c>
      <c r="AJ53" s="27">
        <v>3.0</v>
      </c>
      <c r="AK53" s="27">
        <v>3.0</v>
      </c>
      <c r="AL53" s="27">
        <v>3.0</v>
      </c>
      <c r="AM53" s="27">
        <v>3.0</v>
      </c>
      <c r="AN53" s="27">
        <v>3.0</v>
      </c>
      <c r="AO53" s="27">
        <v>3.0</v>
      </c>
      <c r="AP53" s="27">
        <v>3.0</v>
      </c>
      <c r="AQ53" s="27">
        <v>3.0</v>
      </c>
      <c r="AR53" s="27">
        <v>4.0</v>
      </c>
      <c r="AS53" s="27">
        <v>4.0</v>
      </c>
      <c r="AT53" s="27">
        <v>3.0</v>
      </c>
      <c r="AU53" s="27">
        <v>3.0</v>
      </c>
      <c r="AV53" s="27">
        <v>3.0</v>
      </c>
      <c r="AW53" s="27">
        <v>3.0</v>
      </c>
      <c r="AX53" s="27">
        <v>4.0</v>
      </c>
      <c r="AY53" s="27">
        <v>3.0</v>
      </c>
      <c r="AZ53" s="27">
        <v>3.0</v>
      </c>
      <c r="BA53" s="27">
        <v>3.0</v>
      </c>
      <c r="BB53" s="30">
        <v>1.0</v>
      </c>
      <c r="BC53" s="27">
        <v>3.0</v>
      </c>
      <c r="BD53" s="27">
        <v>3.0</v>
      </c>
      <c r="BE53" s="27">
        <v>3.0</v>
      </c>
      <c r="BF53" s="27">
        <v>3.0</v>
      </c>
      <c r="BG53" s="27">
        <v>3.0</v>
      </c>
      <c r="BH53" s="27">
        <v>4.0</v>
      </c>
      <c r="BI53" s="27">
        <v>3.0</v>
      </c>
      <c r="BJ53" s="28">
        <f t="shared" si="1"/>
        <v>191</v>
      </c>
      <c r="BK53" s="29">
        <f t="shared" si="2"/>
        <v>-0.03237162974</v>
      </c>
      <c r="BL53" s="27"/>
      <c r="BM53" s="27"/>
      <c r="BN53" s="27"/>
      <c r="BO53" s="27"/>
      <c r="BP53" s="27"/>
    </row>
    <row r="54">
      <c r="A54" s="22" t="s">
        <v>200</v>
      </c>
      <c r="B54" s="27">
        <v>3.0</v>
      </c>
      <c r="C54" s="27">
        <v>3.0</v>
      </c>
      <c r="D54" s="27">
        <v>4.0</v>
      </c>
      <c r="E54" s="27">
        <v>3.0</v>
      </c>
      <c r="F54" s="27">
        <v>4.0</v>
      </c>
      <c r="G54" s="27">
        <v>3.0</v>
      </c>
      <c r="H54" s="27">
        <v>3.0</v>
      </c>
      <c r="I54" s="27">
        <v>3.0</v>
      </c>
      <c r="J54" s="27">
        <v>4.0</v>
      </c>
      <c r="K54" s="27">
        <v>4.0</v>
      </c>
      <c r="L54" s="27">
        <v>3.0</v>
      </c>
      <c r="M54" s="27">
        <v>5.0</v>
      </c>
      <c r="N54" s="27">
        <v>4.0</v>
      </c>
      <c r="O54" s="27">
        <v>5.0</v>
      </c>
      <c r="P54" s="27">
        <v>5.0</v>
      </c>
      <c r="Q54" s="27">
        <v>3.0</v>
      </c>
      <c r="R54" s="27">
        <v>3.0</v>
      </c>
      <c r="S54" s="27">
        <v>4.0</v>
      </c>
      <c r="T54" s="27">
        <v>4.0</v>
      </c>
      <c r="U54" s="27">
        <v>4.0</v>
      </c>
      <c r="V54" s="27">
        <v>4.0</v>
      </c>
      <c r="W54" s="27">
        <v>3.0</v>
      </c>
      <c r="X54" s="27">
        <v>3.0</v>
      </c>
      <c r="Y54" s="27">
        <v>5.0</v>
      </c>
      <c r="Z54" s="27">
        <v>3.0</v>
      </c>
      <c r="AA54" s="27">
        <v>4.0</v>
      </c>
      <c r="AB54" s="27">
        <v>4.0</v>
      </c>
      <c r="AC54" s="27">
        <v>3.0</v>
      </c>
      <c r="AD54" s="27">
        <v>3.0</v>
      </c>
      <c r="AE54" s="27">
        <v>5.0</v>
      </c>
      <c r="AF54" s="27">
        <v>4.0</v>
      </c>
      <c r="AG54" s="27">
        <v>3.0</v>
      </c>
      <c r="AH54" s="27">
        <v>4.0</v>
      </c>
      <c r="AI54" s="27">
        <v>4.0</v>
      </c>
      <c r="AJ54" s="27">
        <v>4.0</v>
      </c>
      <c r="AK54" s="27">
        <v>3.0</v>
      </c>
      <c r="AL54" s="27">
        <v>5.0</v>
      </c>
      <c r="AM54" s="27">
        <v>3.0</v>
      </c>
      <c r="AN54" s="27">
        <v>3.0</v>
      </c>
      <c r="AO54" s="27">
        <v>4.0</v>
      </c>
      <c r="AP54" s="27">
        <v>4.0</v>
      </c>
      <c r="AQ54" s="27">
        <v>3.0</v>
      </c>
      <c r="AR54" s="27">
        <v>4.0</v>
      </c>
      <c r="AS54" s="27">
        <v>4.0</v>
      </c>
      <c r="AT54" s="27">
        <v>3.0</v>
      </c>
      <c r="AU54" s="27">
        <v>3.0</v>
      </c>
      <c r="AV54" s="27">
        <v>4.0</v>
      </c>
      <c r="AW54" s="27">
        <v>5.0</v>
      </c>
      <c r="AX54" s="27">
        <v>4.0</v>
      </c>
      <c r="AY54" s="27">
        <v>3.0</v>
      </c>
      <c r="AZ54" s="27">
        <v>4.0</v>
      </c>
      <c r="BA54" s="27">
        <v>3.0</v>
      </c>
      <c r="BB54" s="27">
        <v>4.0</v>
      </c>
      <c r="BC54" s="30">
        <v>1.0</v>
      </c>
      <c r="BD54" s="27">
        <v>3.0</v>
      </c>
      <c r="BE54" s="27">
        <v>5.0</v>
      </c>
      <c r="BF54" s="27">
        <v>3.0</v>
      </c>
      <c r="BG54" s="27">
        <v>4.0</v>
      </c>
      <c r="BH54" s="27">
        <v>4.0</v>
      </c>
      <c r="BI54" s="27">
        <v>3.0</v>
      </c>
      <c r="BJ54" s="28">
        <f t="shared" si="1"/>
        <v>219</v>
      </c>
      <c r="BK54" s="29">
        <f t="shared" si="2"/>
        <v>0.1094796497</v>
      </c>
      <c r="BL54" s="27"/>
      <c r="BM54" s="27"/>
      <c r="BN54" s="27"/>
      <c r="BO54" s="27"/>
      <c r="BP54" s="27"/>
    </row>
    <row r="55">
      <c r="A55" s="22" t="s">
        <v>201</v>
      </c>
      <c r="B55" s="27">
        <v>1.0</v>
      </c>
      <c r="C55" s="27">
        <v>1.0</v>
      </c>
      <c r="D55" s="27">
        <v>3.0</v>
      </c>
      <c r="E55" s="27">
        <v>1.0</v>
      </c>
      <c r="F55" s="27">
        <v>2.0</v>
      </c>
      <c r="G55" s="27">
        <v>4.0</v>
      </c>
      <c r="H55" s="27">
        <v>1.0</v>
      </c>
      <c r="I55" s="27">
        <v>3.0</v>
      </c>
      <c r="J55" s="27">
        <v>2.0</v>
      </c>
      <c r="K55" s="27">
        <v>2.0</v>
      </c>
      <c r="L55" s="27">
        <v>1.0</v>
      </c>
      <c r="M55" s="27">
        <v>1.0</v>
      </c>
      <c r="N55" s="27">
        <v>1.0</v>
      </c>
      <c r="O55" s="27">
        <v>1.0</v>
      </c>
      <c r="P55" s="27">
        <v>4.0</v>
      </c>
      <c r="Q55" s="27">
        <v>1.0</v>
      </c>
      <c r="R55" s="27">
        <v>5.0</v>
      </c>
      <c r="S55" s="27">
        <v>1.0</v>
      </c>
      <c r="T55" s="27">
        <v>1.0</v>
      </c>
      <c r="U55" s="27">
        <v>1.0</v>
      </c>
      <c r="V55" s="27">
        <v>1.0</v>
      </c>
      <c r="W55" s="27">
        <v>1.0</v>
      </c>
      <c r="X55" s="27">
        <v>1.0</v>
      </c>
      <c r="Y55" s="27">
        <v>4.0</v>
      </c>
      <c r="Z55" s="27">
        <v>2.0</v>
      </c>
      <c r="AA55" s="27">
        <v>4.0</v>
      </c>
      <c r="AB55" s="27">
        <v>4.0</v>
      </c>
      <c r="AC55" s="27">
        <v>2.0</v>
      </c>
      <c r="AD55" s="27">
        <v>1.0</v>
      </c>
      <c r="AE55" s="27">
        <v>1.0</v>
      </c>
      <c r="AF55" s="27">
        <v>1.0</v>
      </c>
      <c r="AG55" s="27">
        <v>4.0</v>
      </c>
      <c r="AH55" s="27">
        <v>1.0</v>
      </c>
      <c r="AI55" s="27">
        <v>3.0</v>
      </c>
      <c r="AJ55" s="27">
        <v>1.0</v>
      </c>
      <c r="AK55" s="27">
        <v>2.0</v>
      </c>
      <c r="AL55" s="27">
        <v>3.0</v>
      </c>
      <c r="AM55" s="27">
        <v>1.0</v>
      </c>
      <c r="AN55" s="27">
        <v>1.0</v>
      </c>
      <c r="AO55" s="27">
        <v>1.0</v>
      </c>
      <c r="AP55" s="27">
        <v>2.0</v>
      </c>
      <c r="AQ55" s="27">
        <v>1.0</v>
      </c>
      <c r="AR55" s="27">
        <v>3.0</v>
      </c>
      <c r="AS55" s="27">
        <v>3.0</v>
      </c>
      <c r="AT55" s="27">
        <v>2.0</v>
      </c>
      <c r="AU55" s="27">
        <v>2.0</v>
      </c>
      <c r="AV55" s="27">
        <v>1.0</v>
      </c>
      <c r="AW55" s="27">
        <v>1.0</v>
      </c>
      <c r="AX55" s="27">
        <v>3.0</v>
      </c>
      <c r="AY55" s="27">
        <v>2.0</v>
      </c>
      <c r="AZ55" s="27">
        <v>1.0</v>
      </c>
      <c r="BA55" s="27">
        <v>1.0</v>
      </c>
      <c r="BB55" s="27">
        <v>4.0</v>
      </c>
      <c r="BC55" s="27">
        <v>1.0</v>
      </c>
      <c r="BD55" s="30">
        <v>1.0</v>
      </c>
      <c r="BE55" s="27">
        <v>2.0</v>
      </c>
      <c r="BF55" s="27">
        <v>1.0</v>
      </c>
      <c r="BG55" s="27">
        <v>1.0</v>
      </c>
      <c r="BH55" s="27">
        <v>2.0</v>
      </c>
      <c r="BI55" s="27">
        <v>3.0</v>
      </c>
      <c r="BJ55" s="28">
        <f t="shared" si="1"/>
        <v>113</v>
      </c>
      <c r="BK55" s="29">
        <f t="shared" si="2"/>
        <v>-0.4275287652</v>
      </c>
      <c r="BL55" s="27"/>
      <c r="BM55" s="27"/>
      <c r="BN55" s="27"/>
      <c r="BO55" s="27"/>
      <c r="BP55" s="27"/>
    </row>
    <row r="56">
      <c r="A56" s="22" t="s">
        <v>202</v>
      </c>
      <c r="B56" s="27">
        <v>2.0</v>
      </c>
      <c r="C56" s="27">
        <v>4.0</v>
      </c>
      <c r="D56" s="27">
        <v>4.0</v>
      </c>
      <c r="E56" s="27">
        <v>3.0</v>
      </c>
      <c r="F56" s="27">
        <v>4.0</v>
      </c>
      <c r="G56" s="27">
        <v>4.0</v>
      </c>
      <c r="H56" s="27">
        <v>4.0</v>
      </c>
      <c r="I56" s="27">
        <v>4.0</v>
      </c>
      <c r="J56" s="27">
        <v>5.0</v>
      </c>
      <c r="K56" s="27">
        <v>3.0</v>
      </c>
      <c r="L56" s="27">
        <v>3.0</v>
      </c>
      <c r="M56" s="27">
        <v>3.0</v>
      </c>
      <c r="N56" s="27">
        <v>4.0</v>
      </c>
      <c r="O56" s="27">
        <v>3.0</v>
      </c>
      <c r="P56" s="27">
        <v>5.0</v>
      </c>
      <c r="Q56" s="27">
        <v>4.0</v>
      </c>
      <c r="R56" s="27">
        <v>3.0</v>
      </c>
      <c r="S56" s="27">
        <v>4.0</v>
      </c>
      <c r="T56" s="27">
        <v>5.0</v>
      </c>
      <c r="U56" s="27">
        <v>5.0</v>
      </c>
      <c r="V56" s="27">
        <v>3.0</v>
      </c>
      <c r="W56" s="27">
        <v>3.0</v>
      </c>
      <c r="X56" s="27">
        <v>4.0</v>
      </c>
      <c r="Y56" s="27">
        <v>5.0</v>
      </c>
      <c r="Z56" s="27">
        <v>4.0</v>
      </c>
      <c r="AA56" s="27">
        <v>5.0</v>
      </c>
      <c r="AB56" s="27">
        <v>3.0</v>
      </c>
      <c r="AC56" s="27">
        <v>4.0</v>
      </c>
      <c r="AD56" s="27">
        <v>2.0</v>
      </c>
      <c r="AE56" s="27">
        <v>4.0</v>
      </c>
      <c r="AF56" s="27">
        <v>3.0</v>
      </c>
      <c r="AG56" s="27">
        <v>3.0</v>
      </c>
      <c r="AH56" s="27">
        <v>3.0</v>
      </c>
      <c r="AI56" s="27">
        <v>4.0</v>
      </c>
      <c r="AJ56" s="27">
        <v>3.0</v>
      </c>
      <c r="AK56" s="27">
        <v>3.0</v>
      </c>
      <c r="AL56" s="27">
        <v>4.0</v>
      </c>
      <c r="AM56" s="27">
        <v>3.0</v>
      </c>
      <c r="AN56" s="27">
        <v>3.0</v>
      </c>
      <c r="AO56" s="27">
        <v>5.0</v>
      </c>
      <c r="AP56" s="27">
        <v>5.0</v>
      </c>
      <c r="AQ56" s="27">
        <v>3.0</v>
      </c>
      <c r="AR56" s="27">
        <v>5.0</v>
      </c>
      <c r="AS56" s="27">
        <v>4.0</v>
      </c>
      <c r="AT56" s="27">
        <v>3.0</v>
      </c>
      <c r="AU56" s="27">
        <v>4.0</v>
      </c>
      <c r="AV56" s="27">
        <v>3.0</v>
      </c>
      <c r="AW56" s="27">
        <v>4.0</v>
      </c>
      <c r="AX56" s="27">
        <v>4.0</v>
      </c>
      <c r="AY56" s="27">
        <v>3.0</v>
      </c>
      <c r="AZ56" s="27">
        <v>3.0</v>
      </c>
      <c r="BA56" s="27">
        <v>2.0</v>
      </c>
      <c r="BB56" s="27">
        <v>3.0</v>
      </c>
      <c r="BC56" s="27">
        <v>2.0</v>
      </c>
      <c r="BD56" s="27">
        <v>3.0</v>
      </c>
      <c r="BE56" s="30">
        <v>1.0</v>
      </c>
      <c r="BF56" s="27">
        <v>3.0</v>
      </c>
      <c r="BG56" s="27">
        <v>4.0</v>
      </c>
      <c r="BH56" s="27">
        <v>5.0</v>
      </c>
      <c r="BI56" s="27">
        <v>3.0</v>
      </c>
      <c r="BJ56" s="28">
        <f t="shared" si="1"/>
        <v>214</v>
      </c>
      <c r="BK56" s="29">
        <f t="shared" si="2"/>
        <v>0.08414906406</v>
      </c>
      <c r="BL56" s="27"/>
      <c r="BM56" s="27"/>
      <c r="BN56" s="27"/>
      <c r="BO56" s="27"/>
      <c r="BP56" s="27"/>
    </row>
    <row r="57">
      <c r="A57" s="22" t="s">
        <v>203</v>
      </c>
      <c r="B57" s="27">
        <v>3.0</v>
      </c>
      <c r="C57" s="27">
        <v>4.0</v>
      </c>
      <c r="D57" s="27">
        <v>4.0</v>
      </c>
      <c r="E57" s="27">
        <v>3.0</v>
      </c>
      <c r="F57" s="27">
        <v>4.0</v>
      </c>
      <c r="G57" s="27">
        <v>4.0</v>
      </c>
      <c r="H57" s="27">
        <v>3.0</v>
      </c>
      <c r="I57" s="27">
        <v>3.0</v>
      </c>
      <c r="J57" s="27">
        <v>4.0</v>
      </c>
      <c r="K57" s="27">
        <v>3.0</v>
      </c>
      <c r="L57" s="27">
        <v>3.0</v>
      </c>
      <c r="M57" s="27">
        <v>5.0</v>
      </c>
      <c r="N57" s="27">
        <v>5.0</v>
      </c>
      <c r="O57" s="27">
        <v>5.0</v>
      </c>
      <c r="P57" s="27">
        <v>4.0</v>
      </c>
      <c r="Q57" s="27">
        <v>4.0</v>
      </c>
      <c r="R57" s="27">
        <v>3.0</v>
      </c>
      <c r="S57" s="27">
        <v>4.0</v>
      </c>
      <c r="T57" s="27">
        <v>4.0</v>
      </c>
      <c r="U57" s="27">
        <v>4.0</v>
      </c>
      <c r="V57" s="27">
        <v>4.0</v>
      </c>
      <c r="W57" s="27">
        <v>4.0</v>
      </c>
      <c r="X57" s="27">
        <v>4.0</v>
      </c>
      <c r="Y57" s="27">
        <v>5.0</v>
      </c>
      <c r="Z57" s="27">
        <v>3.0</v>
      </c>
      <c r="AA57" s="27">
        <v>3.0</v>
      </c>
      <c r="AB57" s="27">
        <v>5.0</v>
      </c>
      <c r="AC57" s="27">
        <v>4.0</v>
      </c>
      <c r="AD57" s="27">
        <v>4.0</v>
      </c>
      <c r="AE57" s="27">
        <v>3.0</v>
      </c>
      <c r="AF57" s="27">
        <v>4.0</v>
      </c>
      <c r="AG57" s="27">
        <v>4.0</v>
      </c>
      <c r="AH57" s="27">
        <v>4.0</v>
      </c>
      <c r="AI57" s="27">
        <v>3.0</v>
      </c>
      <c r="AJ57" s="27">
        <v>3.0</v>
      </c>
      <c r="AK57" s="27">
        <v>3.0</v>
      </c>
      <c r="AL57" s="27">
        <v>4.0</v>
      </c>
      <c r="AM57" s="27">
        <v>4.0</v>
      </c>
      <c r="AN57" s="27">
        <v>4.0</v>
      </c>
      <c r="AO57" s="27">
        <v>4.0</v>
      </c>
      <c r="AP57" s="27">
        <v>4.0</v>
      </c>
      <c r="AQ57" s="27">
        <v>4.0</v>
      </c>
      <c r="AR57" s="27">
        <v>4.0</v>
      </c>
      <c r="AS57" s="27">
        <v>4.0</v>
      </c>
      <c r="AT57" s="27">
        <v>3.0</v>
      </c>
      <c r="AU57" s="27">
        <v>4.0</v>
      </c>
      <c r="AV57" s="27">
        <v>4.0</v>
      </c>
      <c r="AW57" s="27">
        <v>5.0</v>
      </c>
      <c r="AX57" s="27">
        <v>4.0</v>
      </c>
      <c r="AY57" s="27">
        <v>4.0</v>
      </c>
      <c r="AZ57" s="27">
        <v>3.0</v>
      </c>
      <c r="BA57" s="27">
        <v>4.0</v>
      </c>
      <c r="BB57" s="27">
        <v>4.0</v>
      </c>
      <c r="BC57" s="27">
        <v>5.0</v>
      </c>
      <c r="BD57" s="27">
        <v>4.0</v>
      </c>
      <c r="BE57" s="27">
        <v>4.0</v>
      </c>
      <c r="BF57" s="30">
        <v>1.0</v>
      </c>
      <c r="BG57" s="27">
        <v>4.0</v>
      </c>
      <c r="BH57" s="27">
        <v>5.0</v>
      </c>
      <c r="BI57" s="27">
        <v>3.0</v>
      </c>
      <c r="BJ57" s="28">
        <f t="shared" si="1"/>
        <v>229</v>
      </c>
      <c r="BK57" s="29">
        <f t="shared" si="2"/>
        <v>0.1601408209</v>
      </c>
      <c r="BL57" s="27"/>
      <c r="BM57" s="27"/>
      <c r="BN57" s="27"/>
      <c r="BO57" s="27"/>
      <c r="BP57" s="27"/>
    </row>
    <row r="58">
      <c r="A58" s="22" t="s">
        <v>204</v>
      </c>
      <c r="B58" s="27">
        <v>2.0</v>
      </c>
      <c r="C58" s="27">
        <v>4.0</v>
      </c>
      <c r="D58" s="27">
        <v>4.0</v>
      </c>
      <c r="E58" s="27">
        <v>3.0</v>
      </c>
      <c r="F58" s="27">
        <v>4.0</v>
      </c>
      <c r="G58" s="27">
        <v>3.0</v>
      </c>
      <c r="H58" s="27">
        <v>3.0</v>
      </c>
      <c r="I58" s="27">
        <v>3.0</v>
      </c>
      <c r="J58" s="27">
        <v>4.0</v>
      </c>
      <c r="K58" s="27">
        <v>3.0</v>
      </c>
      <c r="L58" s="27">
        <v>3.0</v>
      </c>
      <c r="M58" s="27">
        <v>4.0</v>
      </c>
      <c r="N58" s="27">
        <v>3.0</v>
      </c>
      <c r="O58" s="27">
        <v>3.0</v>
      </c>
      <c r="P58" s="27">
        <v>3.0</v>
      </c>
      <c r="Q58" s="27">
        <v>3.0</v>
      </c>
      <c r="R58" s="27">
        <v>3.0</v>
      </c>
      <c r="S58" s="27">
        <v>3.0</v>
      </c>
      <c r="T58" s="27">
        <v>2.0</v>
      </c>
      <c r="U58" s="27">
        <v>3.0</v>
      </c>
      <c r="V58" s="27">
        <v>3.0</v>
      </c>
      <c r="W58" s="27">
        <v>3.0</v>
      </c>
      <c r="X58" s="27">
        <v>4.0</v>
      </c>
      <c r="Y58" s="27">
        <v>3.0</v>
      </c>
      <c r="Z58" s="27">
        <v>3.0</v>
      </c>
      <c r="AA58" s="27">
        <v>3.0</v>
      </c>
      <c r="AB58" s="27">
        <v>4.0</v>
      </c>
      <c r="AC58" s="27">
        <v>2.0</v>
      </c>
      <c r="AD58" s="27">
        <v>3.0</v>
      </c>
      <c r="AE58" s="27">
        <v>2.0</v>
      </c>
      <c r="AF58" s="27">
        <v>3.0</v>
      </c>
      <c r="AG58" s="27">
        <v>3.0</v>
      </c>
      <c r="AH58" s="27">
        <v>3.0</v>
      </c>
      <c r="AI58" s="27">
        <v>3.0</v>
      </c>
      <c r="AJ58" s="27">
        <v>3.0</v>
      </c>
      <c r="AK58" s="27">
        <v>3.0</v>
      </c>
      <c r="AL58" s="27">
        <v>4.0</v>
      </c>
      <c r="AM58" s="27">
        <v>3.0</v>
      </c>
      <c r="AN58" s="27">
        <v>3.0</v>
      </c>
      <c r="AO58" s="27">
        <v>3.0</v>
      </c>
      <c r="AP58" s="27">
        <v>4.0</v>
      </c>
      <c r="AQ58" s="27">
        <v>4.0</v>
      </c>
      <c r="AR58" s="27">
        <v>4.0</v>
      </c>
      <c r="AS58" s="27">
        <v>4.0</v>
      </c>
      <c r="AT58" s="27">
        <v>3.0</v>
      </c>
      <c r="AU58" s="27">
        <v>3.0</v>
      </c>
      <c r="AV58" s="27">
        <v>3.0</v>
      </c>
      <c r="AW58" s="27">
        <v>3.0</v>
      </c>
      <c r="AX58" s="27">
        <v>4.0</v>
      </c>
      <c r="AY58" s="27">
        <v>3.0</v>
      </c>
      <c r="AZ58" s="27">
        <v>3.0</v>
      </c>
      <c r="BA58" s="27">
        <v>3.0</v>
      </c>
      <c r="BB58" s="27">
        <v>3.0</v>
      </c>
      <c r="BC58" s="27">
        <v>4.0</v>
      </c>
      <c r="BD58" s="27">
        <v>3.0</v>
      </c>
      <c r="BE58" s="27">
        <v>4.0</v>
      </c>
      <c r="BF58" s="27">
        <v>2.0</v>
      </c>
      <c r="BG58" s="30">
        <v>1.0</v>
      </c>
      <c r="BH58" s="27">
        <v>4.0</v>
      </c>
      <c r="BI58" s="27">
        <v>3.0</v>
      </c>
      <c r="BJ58" s="28">
        <f t="shared" si="1"/>
        <v>189</v>
      </c>
      <c r="BK58" s="29">
        <f t="shared" si="2"/>
        <v>-0.04250386399</v>
      </c>
      <c r="BL58" s="27"/>
      <c r="BM58" s="27"/>
      <c r="BN58" s="27"/>
      <c r="BO58" s="27"/>
      <c r="BP58" s="27"/>
    </row>
    <row r="59">
      <c r="A59" s="22" t="s">
        <v>205</v>
      </c>
      <c r="B59" s="27">
        <v>2.0</v>
      </c>
      <c r="C59" s="27">
        <v>3.0</v>
      </c>
      <c r="D59" s="27">
        <v>5.0</v>
      </c>
      <c r="E59" s="27">
        <v>3.0</v>
      </c>
      <c r="F59" s="27">
        <v>3.0</v>
      </c>
      <c r="G59" s="27">
        <v>3.0</v>
      </c>
      <c r="H59" s="27">
        <v>4.0</v>
      </c>
      <c r="I59" s="27">
        <v>3.0</v>
      </c>
      <c r="J59" s="27">
        <v>5.0</v>
      </c>
      <c r="K59" s="27">
        <v>4.0</v>
      </c>
      <c r="L59" s="27">
        <v>3.0</v>
      </c>
      <c r="M59" s="27">
        <v>3.0</v>
      </c>
      <c r="N59" s="27">
        <v>4.0</v>
      </c>
      <c r="O59" s="27">
        <v>4.0</v>
      </c>
      <c r="P59" s="27">
        <v>5.0</v>
      </c>
      <c r="Q59" s="27">
        <v>4.0</v>
      </c>
      <c r="R59" s="27">
        <v>3.0</v>
      </c>
      <c r="S59" s="27">
        <v>4.0</v>
      </c>
      <c r="T59" s="27">
        <v>4.0</v>
      </c>
      <c r="U59" s="27">
        <v>3.0</v>
      </c>
      <c r="V59" s="27">
        <v>3.0</v>
      </c>
      <c r="W59" s="27">
        <v>3.0</v>
      </c>
      <c r="X59" s="27">
        <v>4.0</v>
      </c>
      <c r="Y59" s="27">
        <v>3.0</v>
      </c>
      <c r="Z59" s="27">
        <v>3.0</v>
      </c>
      <c r="AA59" s="27">
        <v>5.0</v>
      </c>
      <c r="AB59" s="27">
        <v>3.0</v>
      </c>
      <c r="AC59" s="27">
        <v>3.0</v>
      </c>
      <c r="AD59" s="27">
        <v>2.0</v>
      </c>
      <c r="AE59" s="27">
        <v>4.0</v>
      </c>
      <c r="AF59" s="27">
        <v>3.0</v>
      </c>
      <c r="AG59" s="27">
        <v>3.0</v>
      </c>
      <c r="AH59" s="27">
        <v>3.0</v>
      </c>
      <c r="AI59" s="27">
        <v>4.0</v>
      </c>
      <c r="AJ59" s="27">
        <v>3.0</v>
      </c>
      <c r="AK59" s="27">
        <v>3.0</v>
      </c>
      <c r="AL59" s="27">
        <v>4.0</v>
      </c>
      <c r="AM59" s="27">
        <v>3.0</v>
      </c>
      <c r="AN59" s="27">
        <v>4.0</v>
      </c>
      <c r="AO59" s="27">
        <v>3.0</v>
      </c>
      <c r="AP59" s="27">
        <v>5.0</v>
      </c>
      <c r="AQ59" s="27">
        <v>3.0</v>
      </c>
      <c r="AR59" s="27">
        <v>5.0</v>
      </c>
      <c r="AS59" s="27">
        <v>5.0</v>
      </c>
      <c r="AT59" s="27">
        <v>3.0</v>
      </c>
      <c r="AU59" s="27">
        <v>3.0</v>
      </c>
      <c r="AV59" s="27">
        <v>3.0</v>
      </c>
      <c r="AW59" s="27">
        <v>4.0</v>
      </c>
      <c r="AX59" s="27">
        <v>5.0</v>
      </c>
      <c r="AY59" s="27">
        <v>4.0</v>
      </c>
      <c r="AZ59" s="27">
        <v>3.0</v>
      </c>
      <c r="BA59" s="27">
        <v>3.0</v>
      </c>
      <c r="BB59" s="27">
        <v>3.0</v>
      </c>
      <c r="BC59" s="27">
        <v>3.0</v>
      </c>
      <c r="BD59" s="27">
        <v>4.0</v>
      </c>
      <c r="BE59" s="27">
        <v>4.0</v>
      </c>
      <c r="BF59" s="27">
        <v>3.0</v>
      </c>
      <c r="BG59" s="27">
        <v>3.0</v>
      </c>
      <c r="BH59" s="30">
        <v>1.0</v>
      </c>
      <c r="BI59" s="27">
        <v>3.0</v>
      </c>
      <c r="BJ59" s="28">
        <f t="shared" si="1"/>
        <v>208</v>
      </c>
      <c r="BK59" s="29">
        <f t="shared" si="2"/>
        <v>0.05375236133</v>
      </c>
      <c r="BL59" s="27"/>
      <c r="BM59" s="27"/>
      <c r="BN59" s="27"/>
      <c r="BO59" s="27"/>
      <c r="BP59" s="27"/>
    </row>
    <row r="60">
      <c r="A60" s="22" t="s">
        <v>206</v>
      </c>
      <c r="B60" s="27">
        <v>2.0</v>
      </c>
      <c r="C60" s="27">
        <v>3.0</v>
      </c>
      <c r="D60" s="27">
        <v>4.0</v>
      </c>
      <c r="E60" s="27">
        <v>3.0</v>
      </c>
      <c r="F60" s="27">
        <v>4.0</v>
      </c>
      <c r="G60" s="27">
        <v>3.0</v>
      </c>
      <c r="H60" s="27">
        <v>4.0</v>
      </c>
      <c r="I60" s="27">
        <v>3.0</v>
      </c>
      <c r="J60" s="27">
        <v>4.0</v>
      </c>
      <c r="K60" s="27">
        <v>4.0</v>
      </c>
      <c r="L60" s="27">
        <v>4.0</v>
      </c>
      <c r="M60" s="27">
        <v>3.0</v>
      </c>
      <c r="N60" s="27">
        <v>4.0</v>
      </c>
      <c r="O60" s="27">
        <v>4.0</v>
      </c>
      <c r="P60" s="27">
        <v>4.0</v>
      </c>
      <c r="Q60" s="27">
        <v>3.0</v>
      </c>
      <c r="R60" s="27">
        <v>2.0</v>
      </c>
      <c r="S60" s="27">
        <v>3.0</v>
      </c>
      <c r="T60" s="27">
        <v>4.0</v>
      </c>
      <c r="U60" s="27">
        <v>3.0</v>
      </c>
      <c r="V60" s="27">
        <v>3.0</v>
      </c>
      <c r="W60" s="27">
        <v>2.0</v>
      </c>
      <c r="X60" s="27">
        <v>3.0</v>
      </c>
      <c r="Y60" s="27">
        <v>3.0</v>
      </c>
      <c r="Z60" s="27">
        <v>5.0</v>
      </c>
      <c r="AA60" s="27">
        <v>5.0</v>
      </c>
      <c r="AB60" s="27">
        <v>3.0</v>
      </c>
      <c r="AC60" s="27">
        <v>2.0</v>
      </c>
      <c r="AD60" s="27">
        <v>2.0</v>
      </c>
      <c r="AE60" s="27">
        <v>3.0</v>
      </c>
      <c r="AF60" s="27">
        <v>4.0</v>
      </c>
      <c r="AG60" s="27">
        <v>3.0</v>
      </c>
      <c r="AH60" s="27">
        <v>2.0</v>
      </c>
      <c r="AI60" s="27">
        <v>3.0</v>
      </c>
      <c r="AJ60" s="27">
        <v>2.0</v>
      </c>
      <c r="AK60" s="27">
        <v>2.0</v>
      </c>
      <c r="AL60" s="27">
        <v>3.0</v>
      </c>
      <c r="AM60" s="27">
        <v>3.0</v>
      </c>
      <c r="AN60" s="27">
        <v>3.0</v>
      </c>
      <c r="AO60" s="27">
        <v>3.0</v>
      </c>
      <c r="AP60" s="27">
        <v>5.0</v>
      </c>
      <c r="AQ60" s="27">
        <v>3.0</v>
      </c>
      <c r="AR60" s="27">
        <v>5.0</v>
      </c>
      <c r="AS60" s="27">
        <v>4.0</v>
      </c>
      <c r="AT60" s="27">
        <v>2.0</v>
      </c>
      <c r="AU60" s="27">
        <v>4.0</v>
      </c>
      <c r="AV60" s="27">
        <v>2.0</v>
      </c>
      <c r="AW60" s="27">
        <v>3.0</v>
      </c>
      <c r="AX60" s="27">
        <v>4.0</v>
      </c>
      <c r="AY60" s="27">
        <v>3.0</v>
      </c>
      <c r="AZ60" s="27">
        <v>3.0</v>
      </c>
      <c r="BA60" s="27">
        <v>3.0</v>
      </c>
      <c r="BB60" s="27">
        <v>2.0</v>
      </c>
      <c r="BC60" s="27">
        <v>2.0</v>
      </c>
      <c r="BD60" s="27">
        <v>3.0</v>
      </c>
      <c r="BE60" s="27">
        <v>3.0</v>
      </c>
      <c r="BF60" s="27">
        <v>2.0</v>
      </c>
      <c r="BG60" s="27">
        <v>4.0</v>
      </c>
      <c r="BH60" s="27">
        <v>5.0</v>
      </c>
      <c r="BI60" s="30">
        <v>1.0</v>
      </c>
      <c r="BJ60" s="28">
        <f t="shared" si="1"/>
        <v>190</v>
      </c>
      <c r="BK60" s="29">
        <f t="shared" si="2"/>
        <v>-0.03743774687</v>
      </c>
      <c r="BL60" s="27"/>
      <c r="BM60" s="27"/>
      <c r="BN60" s="27"/>
      <c r="BO60" s="27"/>
      <c r="BP60" s="27"/>
    </row>
    <row r="61">
      <c r="A61" s="31" t="s">
        <v>1</v>
      </c>
      <c r="B61" s="32">
        <f t="shared" ref="B61:BI61" si="3">SUM(B2:B60)</f>
        <v>139</v>
      </c>
      <c r="C61" s="32">
        <f t="shared" si="3"/>
        <v>206</v>
      </c>
      <c r="D61" s="32">
        <f t="shared" si="3"/>
        <v>243</v>
      </c>
      <c r="E61" s="32">
        <f t="shared" si="3"/>
        <v>188</v>
      </c>
      <c r="F61" s="32">
        <f t="shared" si="3"/>
        <v>208</v>
      </c>
      <c r="G61" s="32">
        <f t="shared" si="3"/>
        <v>193</v>
      </c>
      <c r="H61" s="32">
        <f t="shared" si="3"/>
        <v>199</v>
      </c>
      <c r="I61" s="32">
        <f t="shared" si="3"/>
        <v>164</v>
      </c>
      <c r="J61" s="32">
        <f t="shared" si="3"/>
        <v>232</v>
      </c>
      <c r="K61" s="32">
        <f t="shared" si="3"/>
        <v>209</v>
      </c>
      <c r="L61" s="32">
        <f t="shared" si="3"/>
        <v>185</v>
      </c>
      <c r="M61" s="32">
        <f t="shared" si="3"/>
        <v>225</v>
      </c>
      <c r="N61" s="32">
        <f t="shared" si="3"/>
        <v>213</v>
      </c>
      <c r="O61" s="32">
        <f t="shared" si="3"/>
        <v>222</v>
      </c>
      <c r="P61" s="32">
        <f t="shared" si="3"/>
        <v>230</v>
      </c>
      <c r="Q61" s="32">
        <f t="shared" si="3"/>
        <v>200</v>
      </c>
      <c r="R61" s="32">
        <f t="shared" si="3"/>
        <v>171</v>
      </c>
      <c r="S61" s="32">
        <f t="shared" si="3"/>
        <v>198</v>
      </c>
      <c r="T61" s="32">
        <f t="shared" si="3"/>
        <v>194</v>
      </c>
      <c r="U61" s="32">
        <f t="shared" si="3"/>
        <v>190</v>
      </c>
      <c r="V61" s="32">
        <f t="shared" si="3"/>
        <v>200</v>
      </c>
      <c r="W61" s="32">
        <f t="shared" si="3"/>
        <v>163</v>
      </c>
      <c r="X61" s="32">
        <f t="shared" si="3"/>
        <v>185</v>
      </c>
      <c r="Y61" s="32">
        <f t="shared" si="3"/>
        <v>208</v>
      </c>
      <c r="Z61" s="32">
        <f t="shared" si="3"/>
        <v>182</v>
      </c>
      <c r="AA61" s="32">
        <f t="shared" si="3"/>
        <v>216</v>
      </c>
      <c r="AB61" s="32">
        <f t="shared" si="3"/>
        <v>187</v>
      </c>
      <c r="AC61" s="32">
        <f t="shared" si="3"/>
        <v>186</v>
      </c>
      <c r="AD61" s="32">
        <f t="shared" si="3"/>
        <v>152</v>
      </c>
      <c r="AE61" s="32">
        <f t="shared" si="3"/>
        <v>173</v>
      </c>
      <c r="AF61" s="32">
        <f t="shared" si="3"/>
        <v>188</v>
      </c>
      <c r="AG61" s="32">
        <f t="shared" si="3"/>
        <v>185</v>
      </c>
      <c r="AH61" s="32">
        <f t="shared" si="3"/>
        <v>177</v>
      </c>
      <c r="AI61" s="32">
        <f t="shared" si="3"/>
        <v>191</v>
      </c>
      <c r="AJ61" s="32">
        <f t="shared" si="3"/>
        <v>171</v>
      </c>
      <c r="AK61" s="32">
        <f t="shared" si="3"/>
        <v>174</v>
      </c>
      <c r="AL61" s="32">
        <f t="shared" si="3"/>
        <v>228</v>
      </c>
      <c r="AM61" s="32">
        <f t="shared" si="3"/>
        <v>173</v>
      </c>
      <c r="AN61" s="32">
        <f t="shared" si="3"/>
        <v>195</v>
      </c>
      <c r="AO61" s="32">
        <f t="shared" si="3"/>
        <v>179</v>
      </c>
      <c r="AP61" s="32">
        <f t="shared" si="3"/>
        <v>239</v>
      </c>
      <c r="AQ61" s="32">
        <f t="shared" si="3"/>
        <v>188</v>
      </c>
      <c r="AR61" s="32">
        <f t="shared" si="3"/>
        <v>244</v>
      </c>
      <c r="AS61" s="32">
        <f t="shared" si="3"/>
        <v>226</v>
      </c>
      <c r="AT61" s="32">
        <f t="shared" si="3"/>
        <v>165</v>
      </c>
      <c r="AU61" s="32">
        <f t="shared" si="3"/>
        <v>176</v>
      </c>
      <c r="AV61" s="32">
        <f t="shared" si="3"/>
        <v>172</v>
      </c>
      <c r="AW61" s="32">
        <f t="shared" si="3"/>
        <v>218</v>
      </c>
      <c r="AX61" s="32">
        <f t="shared" si="3"/>
        <v>228</v>
      </c>
      <c r="AY61" s="32">
        <f t="shared" si="3"/>
        <v>185</v>
      </c>
      <c r="AZ61" s="32">
        <f t="shared" si="3"/>
        <v>184</v>
      </c>
      <c r="BA61" s="32">
        <f t="shared" si="3"/>
        <v>162</v>
      </c>
      <c r="BB61" s="32">
        <f t="shared" si="3"/>
        <v>170</v>
      </c>
      <c r="BC61" s="32">
        <f t="shared" si="3"/>
        <v>185</v>
      </c>
      <c r="BD61" s="32">
        <f t="shared" si="3"/>
        <v>191</v>
      </c>
      <c r="BE61" s="32">
        <f t="shared" si="3"/>
        <v>216</v>
      </c>
      <c r="BF61" s="32">
        <f t="shared" si="3"/>
        <v>159</v>
      </c>
      <c r="BG61" s="32">
        <f t="shared" si="3"/>
        <v>198</v>
      </c>
      <c r="BH61" s="32">
        <f t="shared" si="3"/>
        <v>247</v>
      </c>
      <c r="BI61" s="32">
        <f t="shared" si="3"/>
        <v>171</v>
      </c>
      <c r="BJ61" s="33" t="s">
        <v>207</v>
      </c>
      <c r="BK61" s="13"/>
    </row>
    <row r="62">
      <c r="A62" s="34" t="s">
        <v>2</v>
      </c>
      <c r="B62" s="35">
        <f t="shared" ref="B62:BI62" si="4">COUNTIF(B2:B60,5)</f>
        <v>0</v>
      </c>
      <c r="C62" s="35">
        <f t="shared" si="4"/>
        <v>5</v>
      </c>
      <c r="D62" s="35">
        <f t="shared" si="4"/>
        <v>23</v>
      </c>
      <c r="E62" s="35">
        <f t="shared" si="4"/>
        <v>1</v>
      </c>
      <c r="F62" s="35">
        <f t="shared" si="4"/>
        <v>7</v>
      </c>
      <c r="G62" s="35">
        <f t="shared" si="4"/>
        <v>3</v>
      </c>
      <c r="H62" s="35">
        <f t="shared" si="4"/>
        <v>3</v>
      </c>
      <c r="I62" s="35">
        <f t="shared" si="4"/>
        <v>0</v>
      </c>
      <c r="J62" s="35">
        <f t="shared" si="4"/>
        <v>19</v>
      </c>
      <c r="K62" s="35">
        <f t="shared" si="4"/>
        <v>6</v>
      </c>
      <c r="L62" s="35">
        <f t="shared" si="4"/>
        <v>1</v>
      </c>
      <c r="M62" s="35">
        <f t="shared" si="4"/>
        <v>22</v>
      </c>
      <c r="N62" s="35">
        <f t="shared" si="4"/>
        <v>10</v>
      </c>
      <c r="O62" s="35">
        <f t="shared" si="4"/>
        <v>15</v>
      </c>
      <c r="P62" s="35">
        <f t="shared" si="4"/>
        <v>20</v>
      </c>
      <c r="Q62" s="35">
        <f t="shared" si="4"/>
        <v>7</v>
      </c>
      <c r="R62" s="35">
        <f t="shared" si="4"/>
        <v>6</v>
      </c>
      <c r="S62" s="35">
        <f t="shared" si="4"/>
        <v>6</v>
      </c>
      <c r="T62" s="35">
        <f t="shared" si="4"/>
        <v>7</v>
      </c>
      <c r="U62" s="35">
        <f t="shared" si="4"/>
        <v>2</v>
      </c>
      <c r="V62" s="35">
        <f t="shared" si="4"/>
        <v>5</v>
      </c>
      <c r="W62" s="35">
        <f t="shared" si="4"/>
        <v>0</v>
      </c>
      <c r="X62" s="35">
        <f t="shared" si="4"/>
        <v>2</v>
      </c>
      <c r="Y62" s="35">
        <f t="shared" si="4"/>
        <v>10</v>
      </c>
      <c r="Z62" s="35">
        <f t="shared" si="4"/>
        <v>5</v>
      </c>
      <c r="AA62" s="35">
        <f t="shared" si="4"/>
        <v>11</v>
      </c>
      <c r="AB62" s="35">
        <f t="shared" si="4"/>
        <v>4</v>
      </c>
      <c r="AC62" s="35">
        <f t="shared" si="4"/>
        <v>4</v>
      </c>
      <c r="AD62" s="35">
        <f t="shared" si="4"/>
        <v>1</v>
      </c>
      <c r="AE62" s="35">
        <f t="shared" si="4"/>
        <v>3</v>
      </c>
      <c r="AF62" s="35">
        <f t="shared" si="4"/>
        <v>4</v>
      </c>
      <c r="AG62" s="35">
        <f t="shared" si="4"/>
        <v>2</v>
      </c>
      <c r="AH62" s="35">
        <f t="shared" si="4"/>
        <v>2</v>
      </c>
      <c r="AI62" s="35">
        <f t="shared" si="4"/>
        <v>5</v>
      </c>
      <c r="AJ62" s="35">
        <f t="shared" si="4"/>
        <v>2</v>
      </c>
      <c r="AK62" s="35">
        <f t="shared" si="4"/>
        <v>2</v>
      </c>
      <c r="AL62" s="35">
        <f t="shared" si="4"/>
        <v>14</v>
      </c>
      <c r="AM62" s="35">
        <f t="shared" si="4"/>
        <v>0</v>
      </c>
      <c r="AN62" s="35">
        <f t="shared" si="4"/>
        <v>7</v>
      </c>
      <c r="AO62" s="35">
        <f t="shared" si="4"/>
        <v>3</v>
      </c>
      <c r="AP62" s="35">
        <f t="shared" si="4"/>
        <v>22</v>
      </c>
      <c r="AQ62" s="35">
        <f t="shared" si="4"/>
        <v>1</v>
      </c>
      <c r="AR62" s="35">
        <f t="shared" si="4"/>
        <v>21</v>
      </c>
      <c r="AS62" s="35">
        <f t="shared" si="4"/>
        <v>11</v>
      </c>
      <c r="AT62" s="35">
        <f t="shared" si="4"/>
        <v>1</v>
      </c>
      <c r="AU62" s="35">
        <f t="shared" si="4"/>
        <v>2</v>
      </c>
      <c r="AV62" s="35">
        <f t="shared" si="4"/>
        <v>1</v>
      </c>
      <c r="AW62" s="35">
        <f t="shared" si="4"/>
        <v>17</v>
      </c>
      <c r="AX62" s="35">
        <f t="shared" si="4"/>
        <v>13</v>
      </c>
      <c r="AY62" s="35">
        <f t="shared" si="4"/>
        <v>3</v>
      </c>
      <c r="AZ62" s="35">
        <f t="shared" si="4"/>
        <v>2</v>
      </c>
      <c r="BA62" s="35">
        <f t="shared" si="4"/>
        <v>1</v>
      </c>
      <c r="BB62" s="35">
        <f t="shared" si="4"/>
        <v>2</v>
      </c>
      <c r="BC62" s="35">
        <f t="shared" si="4"/>
        <v>13</v>
      </c>
      <c r="BD62" s="35">
        <f t="shared" si="4"/>
        <v>6</v>
      </c>
      <c r="BE62" s="35">
        <f t="shared" si="4"/>
        <v>11</v>
      </c>
      <c r="BF62" s="35">
        <f t="shared" si="4"/>
        <v>1</v>
      </c>
      <c r="BG62" s="35">
        <f t="shared" si="4"/>
        <v>8</v>
      </c>
      <c r="BH62" s="35">
        <f t="shared" si="4"/>
        <v>27</v>
      </c>
      <c r="BI62" s="35">
        <f t="shared" si="4"/>
        <v>1</v>
      </c>
      <c r="BJ62" s="36">
        <f t="shared" ref="BJ62:BJ66" si="6">SUM(AD62:BI62)</f>
        <v>209</v>
      </c>
      <c r="BK62" s="37">
        <f t="shared" ref="BK62:BK67" si="7">BJ62/$BJ$67</f>
        <v>0.1106991525</v>
      </c>
    </row>
    <row r="63">
      <c r="A63" s="34" t="s">
        <v>3</v>
      </c>
      <c r="B63" s="35">
        <f t="shared" ref="B63:BI63" si="5">COUNTIF(B2:B60,4)</f>
        <v>3</v>
      </c>
      <c r="C63" s="35">
        <f t="shared" si="5"/>
        <v>27</v>
      </c>
      <c r="D63" s="35">
        <f t="shared" si="5"/>
        <v>24</v>
      </c>
      <c r="E63" s="35">
        <f t="shared" si="5"/>
        <v>19</v>
      </c>
      <c r="F63" s="35">
        <f t="shared" si="5"/>
        <v>25</v>
      </c>
      <c r="G63" s="35">
        <f t="shared" si="5"/>
        <v>21</v>
      </c>
      <c r="H63" s="35">
        <f t="shared" si="5"/>
        <v>24</v>
      </c>
      <c r="I63" s="35">
        <f t="shared" si="5"/>
        <v>7</v>
      </c>
      <c r="J63" s="35">
        <f t="shared" si="5"/>
        <v>25</v>
      </c>
      <c r="K63" s="35">
        <f t="shared" si="5"/>
        <v>26</v>
      </c>
      <c r="L63" s="35">
        <f t="shared" si="5"/>
        <v>22</v>
      </c>
      <c r="M63" s="35">
        <f t="shared" si="5"/>
        <v>12</v>
      </c>
      <c r="N63" s="35">
        <f t="shared" si="5"/>
        <v>24</v>
      </c>
      <c r="O63" s="35">
        <f t="shared" si="5"/>
        <v>24</v>
      </c>
      <c r="P63" s="35">
        <f t="shared" si="5"/>
        <v>21</v>
      </c>
      <c r="Q63" s="35">
        <f t="shared" si="5"/>
        <v>17</v>
      </c>
      <c r="R63" s="35">
        <f t="shared" si="5"/>
        <v>8</v>
      </c>
      <c r="S63" s="35">
        <f t="shared" si="5"/>
        <v>22</v>
      </c>
      <c r="T63" s="35">
        <f t="shared" si="5"/>
        <v>21</v>
      </c>
      <c r="U63" s="35">
        <f t="shared" si="5"/>
        <v>23</v>
      </c>
      <c r="V63" s="35">
        <f t="shared" si="5"/>
        <v>23</v>
      </c>
      <c r="W63" s="35">
        <f t="shared" si="5"/>
        <v>8</v>
      </c>
      <c r="X63" s="35">
        <f t="shared" si="5"/>
        <v>18</v>
      </c>
      <c r="Y63" s="35">
        <f t="shared" si="5"/>
        <v>23</v>
      </c>
      <c r="Z63" s="35">
        <f t="shared" si="5"/>
        <v>11</v>
      </c>
      <c r="AA63" s="35">
        <f t="shared" si="5"/>
        <v>27</v>
      </c>
      <c r="AB63" s="35">
        <f t="shared" si="5"/>
        <v>17</v>
      </c>
      <c r="AC63" s="35">
        <f t="shared" si="5"/>
        <v>18</v>
      </c>
      <c r="AD63" s="35">
        <f t="shared" si="5"/>
        <v>5</v>
      </c>
      <c r="AE63" s="35">
        <f t="shared" si="5"/>
        <v>11</v>
      </c>
      <c r="AF63" s="35">
        <f t="shared" si="5"/>
        <v>20</v>
      </c>
      <c r="AG63" s="35">
        <f t="shared" si="5"/>
        <v>16</v>
      </c>
      <c r="AH63" s="35">
        <f t="shared" si="5"/>
        <v>16</v>
      </c>
      <c r="AI63" s="35">
        <f t="shared" si="5"/>
        <v>21</v>
      </c>
      <c r="AJ63" s="35">
        <f t="shared" si="5"/>
        <v>13</v>
      </c>
      <c r="AK63" s="35">
        <f t="shared" si="5"/>
        <v>10</v>
      </c>
      <c r="AL63" s="35">
        <f t="shared" si="5"/>
        <v>26</v>
      </c>
      <c r="AM63" s="35">
        <f t="shared" si="5"/>
        <v>13</v>
      </c>
      <c r="AN63" s="35">
        <f t="shared" si="5"/>
        <v>18</v>
      </c>
      <c r="AO63" s="35">
        <f t="shared" si="5"/>
        <v>15</v>
      </c>
      <c r="AP63" s="35">
        <f t="shared" si="5"/>
        <v>23</v>
      </c>
      <c r="AQ63" s="35">
        <f t="shared" si="5"/>
        <v>22</v>
      </c>
      <c r="AR63" s="35">
        <f t="shared" si="5"/>
        <v>27</v>
      </c>
      <c r="AS63" s="35">
        <f t="shared" si="5"/>
        <v>32</v>
      </c>
      <c r="AT63" s="35">
        <f t="shared" si="5"/>
        <v>6</v>
      </c>
      <c r="AU63" s="35">
        <f t="shared" si="5"/>
        <v>9</v>
      </c>
      <c r="AV63" s="35">
        <f t="shared" si="5"/>
        <v>14</v>
      </c>
      <c r="AW63" s="35">
        <f t="shared" si="5"/>
        <v>18</v>
      </c>
      <c r="AX63" s="35">
        <f t="shared" si="5"/>
        <v>30</v>
      </c>
      <c r="AY63" s="35">
        <f t="shared" si="5"/>
        <v>13</v>
      </c>
      <c r="AZ63" s="35">
        <f t="shared" si="5"/>
        <v>16</v>
      </c>
      <c r="BA63" s="35">
        <f t="shared" si="5"/>
        <v>9</v>
      </c>
      <c r="BB63" s="35">
        <f t="shared" si="5"/>
        <v>14</v>
      </c>
      <c r="BC63" s="35">
        <f t="shared" si="5"/>
        <v>11</v>
      </c>
      <c r="BD63" s="35">
        <f t="shared" si="5"/>
        <v>13</v>
      </c>
      <c r="BE63" s="35">
        <f t="shared" si="5"/>
        <v>24</v>
      </c>
      <c r="BF63" s="35">
        <f t="shared" si="5"/>
        <v>6</v>
      </c>
      <c r="BG63" s="35">
        <f t="shared" si="5"/>
        <v>14</v>
      </c>
      <c r="BH63" s="35">
        <f t="shared" si="5"/>
        <v>22</v>
      </c>
      <c r="BI63" s="35">
        <f t="shared" si="5"/>
        <v>11</v>
      </c>
      <c r="BJ63" s="36">
        <f t="shared" si="6"/>
        <v>518</v>
      </c>
      <c r="BK63" s="37">
        <f t="shared" si="7"/>
        <v>0.2743644068</v>
      </c>
    </row>
    <row r="64">
      <c r="A64" s="34" t="s">
        <v>4</v>
      </c>
      <c r="B64" s="35">
        <f t="shared" ref="B64:BI64" si="8">COUNTIF(B2:B60,3)</f>
        <v>23</v>
      </c>
      <c r="C64" s="35">
        <f t="shared" si="8"/>
        <v>21</v>
      </c>
      <c r="D64" s="35">
        <f t="shared" si="8"/>
        <v>10</v>
      </c>
      <c r="E64" s="35">
        <f t="shared" si="8"/>
        <v>31</v>
      </c>
      <c r="F64" s="35">
        <f t="shared" si="8"/>
        <v>20</v>
      </c>
      <c r="G64" s="35">
        <f t="shared" si="8"/>
        <v>28</v>
      </c>
      <c r="H64" s="35">
        <f t="shared" si="8"/>
        <v>26</v>
      </c>
      <c r="I64" s="35">
        <f t="shared" si="8"/>
        <v>34</v>
      </c>
      <c r="J64" s="35">
        <f t="shared" si="8"/>
        <v>9</v>
      </c>
      <c r="K64" s="35">
        <f t="shared" si="8"/>
        <v>22</v>
      </c>
      <c r="L64" s="35">
        <f t="shared" si="8"/>
        <v>25</v>
      </c>
      <c r="M64" s="35">
        <f t="shared" si="8"/>
        <v>20</v>
      </c>
      <c r="N64" s="35">
        <f t="shared" si="8"/>
        <v>20</v>
      </c>
      <c r="O64" s="35">
        <f t="shared" si="8"/>
        <v>13</v>
      </c>
      <c r="P64" s="35">
        <f t="shared" si="8"/>
        <v>13</v>
      </c>
      <c r="Q64" s="35">
        <f t="shared" si="8"/>
        <v>29</v>
      </c>
      <c r="R64" s="35">
        <f t="shared" si="8"/>
        <v>27</v>
      </c>
      <c r="S64" s="35">
        <f t="shared" si="8"/>
        <v>22</v>
      </c>
      <c r="T64" s="35">
        <f t="shared" si="8"/>
        <v>17</v>
      </c>
      <c r="U64" s="35">
        <f t="shared" si="8"/>
        <v>25</v>
      </c>
      <c r="V64" s="35">
        <f t="shared" si="8"/>
        <v>23</v>
      </c>
      <c r="W64" s="35">
        <f t="shared" si="8"/>
        <v>33</v>
      </c>
      <c r="X64" s="35">
        <f t="shared" si="8"/>
        <v>28</v>
      </c>
      <c r="Y64" s="35">
        <f t="shared" si="8"/>
        <v>17</v>
      </c>
      <c r="Z64" s="35">
        <f t="shared" si="8"/>
        <v>31</v>
      </c>
      <c r="AA64" s="35">
        <f t="shared" si="8"/>
        <v>14</v>
      </c>
      <c r="AB64" s="35">
        <f t="shared" si="8"/>
        <v>26</v>
      </c>
      <c r="AC64" s="35">
        <f t="shared" si="8"/>
        <v>25</v>
      </c>
      <c r="AD64" s="35">
        <f t="shared" si="8"/>
        <v>27</v>
      </c>
      <c r="AE64" s="35">
        <f t="shared" si="8"/>
        <v>28</v>
      </c>
      <c r="AF64" s="35">
        <f t="shared" si="8"/>
        <v>22</v>
      </c>
      <c r="AG64" s="35">
        <f t="shared" si="8"/>
        <v>31</v>
      </c>
      <c r="AH64" s="35">
        <f t="shared" si="8"/>
        <v>25</v>
      </c>
      <c r="AI64" s="35">
        <f t="shared" si="8"/>
        <v>20</v>
      </c>
      <c r="AJ64" s="35">
        <f t="shared" si="8"/>
        <v>29</v>
      </c>
      <c r="AK64" s="35">
        <f t="shared" si="8"/>
        <v>33</v>
      </c>
      <c r="AL64" s="35">
        <f t="shared" si="8"/>
        <v>17</v>
      </c>
      <c r="AM64" s="35">
        <f t="shared" si="8"/>
        <v>33</v>
      </c>
      <c r="AN64" s="35">
        <f t="shared" si="8"/>
        <v>22</v>
      </c>
      <c r="AO64" s="35">
        <f t="shared" si="8"/>
        <v>26</v>
      </c>
      <c r="AP64" s="35">
        <f t="shared" si="8"/>
        <v>10</v>
      </c>
      <c r="AQ64" s="35">
        <f t="shared" si="8"/>
        <v>27</v>
      </c>
      <c r="AR64" s="35">
        <f t="shared" si="8"/>
        <v>10</v>
      </c>
      <c r="AS64" s="35">
        <f t="shared" si="8"/>
        <v>12</v>
      </c>
      <c r="AT64" s="35">
        <f t="shared" si="8"/>
        <v>34</v>
      </c>
      <c r="AU64" s="35">
        <f t="shared" si="8"/>
        <v>36</v>
      </c>
      <c r="AV64" s="35">
        <f t="shared" si="8"/>
        <v>28</v>
      </c>
      <c r="AW64" s="35">
        <f t="shared" si="8"/>
        <v>18</v>
      </c>
      <c r="AX64" s="35">
        <f t="shared" si="8"/>
        <v>12</v>
      </c>
      <c r="AY64" s="35">
        <f t="shared" si="8"/>
        <v>33</v>
      </c>
      <c r="AZ64" s="35">
        <f t="shared" si="8"/>
        <v>30</v>
      </c>
      <c r="BA64" s="35">
        <f t="shared" si="8"/>
        <v>29</v>
      </c>
      <c r="BB64" s="35">
        <f t="shared" si="8"/>
        <v>24</v>
      </c>
      <c r="BC64" s="35">
        <f t="shared" si="8"/>
        <v>14</v>
      </c>
      <c r="BD64" s="35">
        <f t="shared" si="8"/>
        <v>30</v>
      </c>
      <c r="BE64" s="35">
        <f t="shared" si="8"/>
        <v>19</v>
      </c>
      <c r="BF64" s="35">
        <f t="shared" si="8"/>
        <v>30</v>
      </c>
      <c r="BG64" s="35">
        <f t="shared" si="8"/>
        <v>30</v>
      </c>
      <c r="BH64" s="35">
        <f t="shared" si="8"/>
        <v>6</v>
      </c>
      <c r="BI64" s="35">
        <f t="shared" si="8"/>
        <v>30</v>
      </c>
      <c r="BJ64" s="36">
        <f t="shared" si="6"/>
        <v>775</v>
      </c>
      <c r="BK64" s="37">
        <f t="shared" si="7"/>
        <v>0.4104872881</v>
      </c>
    </row>
    <row r="65">
      <c r="A65" s="34" t="s">
        <v>5</v>
      </c>
      <c r="B65" s="35">
        <f t="shared" ref="B65:BI65" si="9">COUNTIF(B2:B60,2)</f>
        <v>25</v>
      </c>
      <c r="C65" s="35">
        <f t="shared" si="9"/>
        <v>4</v>
      </c>
      <c r="D65" s="35">
        <f t="shared" si="9"/>
        <v>0</v>
      </c>
      <c r="E65" s="35">
        <f t="shared" si="9"/>
        <v>6</v>
      </c>
      <c r="F65" s="35">
        <f t="shared" si="9"/>
        <v>6</v>
      </c>
      <c r="G65" s="35">
        <f t="shared" si="9"/>
        <v>3</v>
      </c>
      <c r="H65" s="35">
        <f t="shared" si="9"/>
        <v>4</v>
      </c>
      <c r="I65" s="35">
        <f t="shared" si="9"/>
        <v>16</v>
      </c>
      <c r="J65" s="35">
        <f t="shared" si="9"/>
        <v>4</v>
      </c>
      <c r="K65" s="35">
        <f t="shared" si="9"/>
        <v>4</v>
      </c>
      <c r="L65" s="35">
        <f t="shared" si="9"/>
        <v>6</v>
      </c>
      <c r="M65" s="35">
        <f t="shared" si="9"/>
        <v>2</v>
      </c>
      <c r="N65" s="35">
        <f t="shared" si="9"/>
        <v>2</v>
      </c>
      <c r="O65" s="35">
        <f t="shared" si="9"/>
        <v>5</v>
      </c>
      <c r="P65" s="35">
        <f t="shared" si="9"/>
        <v>2</v>
      </c>
      <c r="Q65" s="35">
        <f t="shared" si="9"/>
        <v>4</v>
      </c>
      <c r="R65" s="35">
        <f t="shared" si="9"/>
        <v>10</v>
      </c>
      <c r="S65" s="35">
        <f t="shared" si="9"/>
        <v>5</v>
      </c>
      <c r="T65" s="35">
        <f t="shared" si="9"/>
        <v>10</v>
      </c>
      <c r="U65" s="35">
        <f t="shared" si="9"/>
        <v>4</v>
      </c>
      <c r="V65" s="35">
        <f t="shared" si="9"/>
        <v>6</v>
      </c>
      <c r="W65" s="35">
        <f t="shared" si="9"/>
        <v>14</v>
      </c>
      <c r="X65" s="35">
        <f t="shared" si="9"/>
        <v>8</v>
      </c>
      <c r="Y65" s="35">
        <f t="shared" si="9"/>
        <v>6</v>
      </c>
      <c r="Z65" s="35">
        <f t="shared" si="9"/>
        <v>8</v>
      </c>
      <c r="AA65" s="35">
        <f t="shared" si="9"/>
        <v>4</v>
      </c>
      <c r="AB65" s="35">
        <f t="shared" si="9"/>
        <v>9</v>
      </c>
      <c r="AC65" s="35">
        <f t="shared" si="9"/>
        <v>7</v>
      </c>
      <c r="AD65" s="35">
        <f t="shared" si="9"/>
        <v>20</v>
      </c>
      <c r="AE65" s="35">
        <f t="shared" si="9"/>
        <v>13</v>
      </c>
      <c r="AF65" s="35">
        <f t="shared" si="9"/>
        <v>9</v>
      </c>
      <c r="AG65" s="35">
        <f t="shared" si="9"/>
        <v>8</v>
      </c>
      <c r="AH65" s="35">
        <f t="shared" si="9"/>
        <v>12</v>
      </c>
      <c r="AI65" s="35">
        <f t="shared" si="9"/>
        <v>9</v>
      </c>
      <c r="AJ65" s="35">
        <f t="shared" si="9"/>
        <v>7</v>
      </c>
      <c r="AK65" s="35">
        <f t="shared" si="9"/>
        <v>11</v>
      </c>
      <c r="AL65" s="35">
        <f t="shared" si="9"/>
        <v>1</v>
      </c>
      <c r="AM65" s="35">
        <f t="shared" si="9"/>
        <v>9</v>
      </c>
      <c r="AN65" s="35">
        <f t="shared" si="9"/>
        <v>10</v>
      </c>
      <c r="AO65" s="35">
        <f t="shared" si="9"/>
        <v>11</v>
      </c>
      <c r="AP65" s="35">
        <f t="shared" si="9"/>
        <v>3</v>
      </c>
      <c r="AQ65" s="35">
        <f t="shared" si="9"/>
        <v>5</v>
      </c>
      <c r="AR65" s="35">
        <f t="shared" si="9"/>
        <v>0</v>
      </c>
      <c r="AS65" s="35">
        <f t="shared" si="9"/>
        <v>3</v>
      </c>
      <c r="AT65" s="35">
        <f t="shared" si="9"/>
        <v>16</v>
      </c>
      <c r="AU65" s="35">
        <f t="shared" si="9"/>
        <v>10</v>
      </c>
      <c r="AV65" s="35">
        <f t="shared" si="9"/>
        <v>11</v>
      </c>
      <c r="AW65" s="35">
        <f t="shared" si="9"/>
        <v>1</v>
      </c>
      <c r="AX65" s="35">
        <f t="shared" si="9"/>
        <v>3</v>
      </c>
      <c r="AY65" s="35">
        <f t="shared" si="9"/>
        <v>9</v>
      </c>
      <c r="AZ65" s="35">
        <f t="shared" si="9"/>
        <v>9</v>
      </c>
      <c r="BA65" s="35">
        <f t="shared" si="9"/>
        <v>14</v>
      </c>
      <c r="BB65" s="35">
        <f t="shared" si="9"/>
        <v>13</v>
      </c>
      <c r="BC65" s="35">
        <f t="shared" si="9"/>
        <v>13</v>
      </c>
      <c r="BD65" s="35">
        <f t="shared" si="9"/>
        <v>9</v>
      </c>
      <c r="BE65" s="35">
        <f t="shared" si="9"/>
        <v>3</v>
      </c>
      <c r="BF65" s="35">
        <f t="shared" si="9"/>
        <v>18</v>
      </c>
      <c r="BG65" s="35">
        <f t="shared" si="9"/>
        <v>5</v>
      </c>
      <c r="BH65" s="35">
        <f t="shared" si="9"/>
        <v>2</v>
      </c>
      <c r="BI65" s="35">
        <f t="shared" si="9"/>
        <v>15</v>
      </c>
      <c r="BJ65" s="36">
        <f t="shared" si="6"/>
        <v>282</v>
      </c>
      <c r="BK65" s="37">
        <f t="shared" si="7"/>
        <v>0.1493644068</v>
      </c>
    </row>
    <row r="66">
      <c r="A66" s="34" t="s">
        <v>6</v>
      </c>
      <c r="B66" s="35">
        <f t="shared" ref="B66:BI66" si="10">COUNTIF(B2:B60,1)</f>
        <v>8</v>
      </c>
      <c r="C66" s="35">
        <f t="shared" si="10"/>
        <v>2</v>
      </c>
      <c r="D66" s="35">
        <f t="shared" si="10"/>
        <v>2</v>
      </c>
      <c r="E66" s="35">
        <f t="shared" si="10"/>
        <v>2</v>
      </c>
      <c r="F66" s="35">
        <f t="shared" si="10"/>
        <v>1</v>
      </c>
      <c r="G66" s="35">
        <f t="shared" si="10"/>
        <v>4</v>
      </c>
      <c r="H66" s="35">
        <f t="shared" si="10"/>
        <v>2</v>
      </c>
      <c r="I66" s="35">
        <f t="shared" si="10"/>
        <v>2</v>
      </c>
      <c r="J66" s="35">
        <f t="shared" si="10"/>
        <v>2</v>
      </c>
      <c r="K66" s="35">
        <f t="shared" si="10"/>
        <v>1</v>
      </c>
      <c r="L66" s="35">
        <f t="shared" si="10"/>
        <v>5</v>
      </c>
      <c r="M66" s="35">
        <f t="shared" si="10"/>
        <v>3</v>
      </c>
      <c r="N66" s="35">
        <f t="shared" si="10"/>
        <v>3</v>
      </c>
      <c r="O66" s="35">
        <f t="shared" si="10"/>
        <v>2</v>
      </c>
      <c r="P66" s="35">
        <f t="shared" si="10"/>
        <v>3</v>
      </c>
      <c r="Q66" s="35">
        <f t="shared" si="10"/>
        <v>2</v>
      </c>
      <c r="R66" s="35">
        <f t="shared" si="10"/>
        <v>8</v>
      </c>
      <c r="S66" s="35">
        <f t="shared" si="10"/>
        <v>4</v>
      </c>
      <c r="T66" s="35">
        <f t="shared" si="10"/>
        <v>4</v>
      </c>
      <c r="U66" s="35">
        <f t="shared" si="10"/>
        <v>5</v>
      </c>
      <c r="V66" s="35">
        <f t="shared" si="10"/>
        <v>2</v>
      </c>
      <c r="W66" s="35">
        <f t="shared" si="10"/>
        <v>4</v>
      </c>
      <c r="X66" s="35">
        <f t="shared" si="10"/>
        <v>3</v>
      </c>
      <c r="Y66" s="35">
        <f t="shared" si="10"/>
        <v>3</v>
      </c>
      <c r="Z66" s="35">
        <f t="shared" si="10"/>
        <v>4</v>
      </c>
      <c r="AA66" s="35">
        <f t="shared" si="10"/>
        <v>3</v>
      </c>
      <c r="AB66" s="35">
        <f t="shared" si="10"/>
        <v>3</v>
      </c>
      <c r="AC66" s="35">
        <f t="shared" si="10"/>
        <v>5</v>
      </c>
      <c r="AD66" s="35">
        <f t="shared" si="10"/>
        <v>6</v>
      </c>
      <c r="AE66" s="35">
        <f t="shared" si="10"/>
        <v>4</v>
      </c>
      <c r="AF66" s="35">
        <f t="shared" si="10"/>
        <v>4</v>
      </c>
      <c r="AG66" s="35">
        <f t="shared" si="10"/>
        <v>2</v>
      </c>
      <c r="AH66" s="35">
        <f t="shared" si="10"/>
        <v>4</v>
      </c>
      <c r="AI66" s="35">
        <f t="shared" si="10"/>
        <v>4</v>
      </c>
      <c r="AJ66" s="35">
        <f t="shared" si="10"/>
        <v>8</v>
      </c>
      <c r="AK66" s="35">
        <f t="shared" si="10"/>
        <v>3</v>
      </c>
      <c r="AL66" s="35">
        <f t="shared" si="10"/>
        <v>1</v>
      </c>
      <c r="AM66" s="35">
        <f t="shared" si="10"/>
        <v>4</v>
      </c>
      <c r="AN66" s="35">
        <f t="shared" si="10"/>
        <v>2</v>
      </c>
      <c r="AO66" s="35">
        <f t="shared" si="10"/>
        <v>4</v>
      </c>
      <c r="AP66" s="35">
        <f t="shared" si="10"/>
        <v>1</v>
      </c>
      <c r="AQ66" s="35">
        <f t="shared" si="10"/>
        <v>4</v>
      </c>
      <c r="AR66" s="35">
        <f t="shared" si="10"/>
        <v>1</v>
      </c>
      <c r="AS66" s="35">
        <f t="shared" si="10"/>
        <v>1</v>
      </c>
      <c r="AT66" s="35">
        <f t="shared" si="10"/>
        <v>2</v>
      </c>
      <c r="AU66" s="35">
        <f t="shared" si="10"/>
        <v>2</v>
      </c>
      <c r="AV66" s="35">
        <f t="shared" si="10"/>
        <v>5</v>
      </c>
      <c r="AW66" s="35">
        <f t="shared" si="10"/>
        <v>5</v>
      </c>
      <c r="AX66" s="35">
        <f t="shared" si="10"/>
        <v>1</v>
      </c>
      <c r="AY66" s="35">
        <f t="shared" si="10"/>
        <v>1</v>
      </c>
      <c r="AZ66" s="35">
        <f t="shared" si="10"/>
        <v>2</v>
      </c>
      <c r="BA66" s="35">
        <f t="shared" si="10"/>
        <v>6</v>
      </c>
      <c r="BB66" s="35">
        <f t="shared" si="10"/>
        <v>6</v>
      </c>
      <c r="BC66" s="35">
        <f t="shared" si="10"/>
        <v>8</v>
      </c>
      <c r="BD66" s="35">
        <f t="shared" si="10"/>
        <v>1</v>
      </c>
      <c r="BE66" s="35">
        <f t="shared" si="10"/>
        <v>2</v>
      </c>
      <c r="BF66" s="35">
        <f t="shared" si="10"/>
        <v>4</v>
      </c>
      <c r="BG66" s="35">
        <f t="shared" si="10"/>
        <v>2</v>
      </c>
      <c r="BH66" s="35">
        <f t="shared" si="10"/>
        <v>2</v>
      </c>
      <c r="BI66" s="35">
        <f t="shared" si="10"/>
        <v>2</v>
      </c>
      <c r="BJ66" s="36">
        <f t="shared" si="6"/>
        <v>104</v>
      </c>
      <c r="BK66" s="37">
        <f t="shared" si="7"/>
        <v>0.05508474576</v>
      </c>
    </row>
    <row r="67">
      <c r="A67" s="38"/>
      <c r="B67" s="9"/>
      <c r="BJ67" s="36">
        <f>SUM(BJ62:BJ66)</f>
        <v>1888</v>
      </c>
      <c r="BK67" s="37">
        <f t="shared" si="7"/>
        <v>1</v>
      </c>
    </row>
    <row r="68">
      <c r="A68" s="38"/>
      <c r="B68" s="9"/>
    </row>
    <row r="69">
      <c r="A69" s="39"/>
      <c r="B69" s="9"/>
    </row>
    <row r="70">
      <c r="A70" s="39"/>
      <c r="B70" s="9"/>
    </row>
    <row r="71">
      <c r="A71" s="38"/>
      <c r="B71" s="9"/>
    </row>
    <row r="72">
      <c r="A72" s="33" t="s">
        <v>208</v>
      </c>
      <c r="B72" s="9"/>
    </row>
    <row r="73">
      <c r="A73" s="40" t="s">
        <v>209</v>
      </c>
      <c r="B73" s="41">
        <f>AVERAGE(BJ2:BJ60)</f>
        <v>197.3898305</v>
      </c>
    </row>
    <row r="74">
      <c r="A74" s="42"/>
    </row>
    <row r="75">
      <c r="A75" s="42"/>
    </row>
    <row r="76">
      <c r="A76" s="42"/>
    </row>
    <row r="77">
      <c r="A77" s="42"/>
    </row>
    <row r="78">
      <c r="A78" s="42"/>
    </row>
    <row r="79">
      <c r="A79" s="42"/>
    </row>
    <row r="80">
      <c r="A80" s="42"/>
    </row>
    <row r="81">
      <c r="A81" s="42"/>
    </row>
    <row r="82">
      <c r="A82" s="42"/>
    </row>
    <row r="83">
      <c r="A83" s="42"/>
    </row>
    <row r="84">
      <c r="A84" s="42"/>
    </row>
    <row r="85">
      <c r="A85" s="42"/>
    </row>
    <row r="86">
      <c r="A86" s="42"/>
    </row>
    <row r="87">
      <c r="A87" s="42"/>
    </row>
    <row r="88">
      <c r="A88" s="42"/>
    </row>
    <row r="89">
      <c r="A89" s="42"/>
    </row>
    <row r="90">
      <c r="A90" s="42"/>
    </row>
    <row r="91">
      <c r="A91" s="42"/>
    </row>
    <row r="92">
      <c r="A92" s="42"/>
    </row>
    <row r="93">
      <c r="A93" s="42"/>
    </row>
    <row r="94">
      <c r="A94" s="42"/>
    </row>
    <row r="95">
      <c r="A95" s="42"/>
    </row>
    <row r="96">
      <c r="A96" s="42"/>
    </row>
    <row r="97">
      <c r="A97" s="42"/>
    </row>
    <row r="98">
      <c r="A98" s="42"/>
    </row>
    <row r="99">
      <c r="A99" s="42"/>
    </row>
    <row r="100">
      <c r="A100" s="42"/>
    </row>
    <row r="101">
      <c r="A101" s="42"/>
    </row>
    <row r="102">
      <c r="A102" s="42"/>
    </row>
    <row r="103">
      <c r="A103" s="42"/>
    </row>
    <row r="104">
      <c r="A104" s="42"/>
    </row>
    <row r="105">
      <c r="A105" s="42"/>
    </row>
    <row r="106">
      <c r="A106" s="42"/>
    </row>
    <row r="107">
      <c r="A107" s="42"/>
    </row>
    <row r="108">
      <c r="A108" s="42"/>
    </row>
    <row r="109">
      <c r="A109" s="42"/>
    </row>
    <row r="110">
      <c r="A110" s="42"/>
    </row>
    <row r="111">
      <c r="A111" s="42"/>
    </row>
    <row r="112">
      <c r="A112" s="42"/>
    </row>
    <row r="113">
      <c r="A113" s="42"/>
    </row>
    <row r="114">
      <c r="A114" s="42"/>
    </row>
    <row r="115">
      <c r="A115" s="42"/>
    </row>
    <row r="116">
      <c r="A116" s="42"/>
    </row>
    <row r="117">
      <c r="A117" s="42"/>
    </row>
    <row r="118">
      <c r="A118" s="42"/>
    </row>
    <row r="119">
      <c r="A119" s="42"/>
    </row>
    <row r="120">
      <c r="A120" s="42"/>
    </row>
    <row r="121">
      <c r="A121" s="42"/>
    </row>
    <row r="122">
      <c r="A122" s="42"/>
    </row>
    <row r="123">
      <c r="A123" s="42"/>
    </row>
    <row r="124">
      <c r="A124" s="42"/>
    </row>
    <row r="125">
      <c r="A125" s="42"/>
    </row>
    <row r="126">
      <c r="A126" s="42"/>
    </row>
    <row r="127">
      <c r="A127" s="42"/>
    </row>
    <row r="128">
      <c r="A128" s="42"/>
    </row>
    <row r="129">
      <c r="A129" s="42"/>
    </row>
    <row r="130">
      <c r="A130" s="42"/>
    </row>
    <row r="131">
      <c r="A131" s="42"/>
    </row>
    <row r="132">
      <c r="A132" s="42"/>
    </row>
    <row r="133">
      <c r="A133" s="42"/>
    </row>
    <row r="134">
      <c r="A134" s="42"/>
    </row>
    <row r="135">
      <c r="A135" s="42"/>
    </row>
    <row r="136">
      <c r="A136" s="42"/>
    </row>
    <row r="137">
      <c r="A137" s="42"/>
    </row>
    <row r="138">
      <c r="A138" s="42"/>
    </row>
    <row r="139">
      <c r="A139" s="42"/>
    </row>
    <row r="140">
      <c r="A140" s="42"/>
    </row>
    <row r="141">
      <c r="A141" s="42"/>
    </row>
    <row r="142">
      <c r="A142" s="42"/>
    </row>
    <row r="143">
      <c r="A143" s="42"/>
    </row>
    <row r="144">
      <c r="A144" s="42"/>
    </row>
    <row r="145">
      <c r="A145" s="42"/>
    </row>
    <row r="146">
      <c r="A146" s="42"/>
    </row>
    <row r="147">
      <c r="A147" s="42"/>
    </row>
    <row r="148">
      <c r="A148" s="42"/>
    </row>
    <row r="149">
      <c r="A149" s="42"/>
    </row>
    <row r="150">
      <c r="A150" s="42"/>
    </row>
    <row r="151">
      <c r="A151" s="42"/>
    </row>
    <row r="152">
      <c r="A152" s="42"/>
    </row>
    <row r="153">
      <c r="A153" s="42"/>
    </row>
    <row r="154">
      <c r="A154" s="42"/>
    </row>
    <row r="155">
      <c r="A155" s="42"/>
    </row>
    <row r="156">
      <c r="A156" s="42"/>
    </row>
    <row r="157">
      <c r="A157" s="42"/>
    </row>
    <row r="158">
      <c r="A158" s="42"/>
    </row>
    <row r="159">
      <c r="A159" s="42"/>
    </row>
    <row r="160">
      <c r="A160" s="42"/>
    </row>
    <row r="161">
      <c r="A161" s="42"/>
    </row>
    <row r="162">
      <c r="A162" s="42"/>
    </row>
    <row r="163">
      <c r="A163" s="42"/>
    </row>
    <row r="164">
      <c r="A164" s="42"/>
    </row>
    <row r="165">
      <c r="A165" s="42"/>
    </row>
    <row r="166">
      <c r="A166" s="42"/>
    </row>
    <row r="167">
      <c r="A167" s="42"/>
    </row>
    <row r="168">
      <c r="A168" s="42"/>
    </row>
    <row r="169">
      <c r="A169" s="42"/>
    </row>
    <row r="170">
      <c r="A170" s="42"/>
    </row>
    <row r="171">
      <c r="A171" s="42"/>
    </row>
    <row r="172">
      <c r="A172" s="42"/>
    </row>
    <row r="173">
      <c r="A173" s="42"/>
    </row>
    <row r="174">
      <c r="A174" s="42"/>
    </row>
    <row r="175">
      <c r="A175" s="42"/>
    </row>
    <row r="176">
      <c r="A176" s="42"/>
    </row>
    <row r="177">
      <c r="A177" s="42"/>
    </row>
    <row r="178">
      <c r="A178" s="42"/>
    </row>
    <row r="179">
      <c r="A179" s="42"/>
    </row>
    <row r="180">
      <c r="A180" s="42"/>
    </row>
    <row r="181">
      <c r="A181" s="42"/>
    </row>
    <row r="182">
      <c r="A182" s="42"/>
    </row>
    <row r="183">
      <c r="A183" s="42"/>
    </row>
    <row r="184">
      <c r="A184" s="42"/>
    </row>
    <row r="185">
      <c r="A185" s="42"/>
    </row>
    <row r="186">
      <c r="A186" s="42"/>
    </row>
    <row r="187">
      <c r="A187" s="42"/>
    </row>
    <row r="188">
      <c r="A188" s="42"/>
    </row>
    <row r="189">
      <c r="A189" s="42"/>
    </row>
    <row r="190">
      <c r="A190" s="42"/>
    </row>
    <row r="191">
      <c r="A191" s="42"/>
    </row>
    <row r="192">
      <c r="A192" s="42"/>
    </row>
    <row r="193">
      <c r="A193" s="42"/>
    </row>
    <row r="194">
      <c r="A194" s="42"/>
    </row>
    <row r="195">
      <c r="A195" s="42"/>
    </row>
    <row r="196">
      <c r="A196" s="42"/>
    </row>
    <row r="197">
      <c r="A197" s="42"/>
    </row>
    <row r="198">
      <c r="A198" s="42"/>
    </row>
    <row r="199">
      <c r="A199" s="42"/>
    </row>
    <row r="200">
      <c r="A200" s="42"/>
    </row>
    <row r="201">
      <c r="A201" s="42"/>
    </row>
    <row r="202">
      <c r="A202" s="42"/>
    </row>
    <row r="203">
      <c r="A203" s="42"/>
    </row>
    <row r="204">
      <c r="A204" s="42"/>
    </row>
    <row r="205">
      <c r="A205" s="42"/>
    </row>
    <row r="206">
      <c r="A206" s="42"/>
    </row>
    <row r="207">
      <c r="A207" s="42"/>
    </row>
    <row r="208">
      <c r="A208" s="42"/>
    </row>
    <row r="209">
      <c r="A209" s="42"/>
    </row>
    <row r="210">
      <c r="A210" s="42"/>
    </row>
    <row r="211">
      <c r="A211" s="42"/>
    </row>
    <row r="212">
      <c r="A212" s="42"/>
    </row>
    <row r="213">
      <c r="A213" s="42"/>
    </row>
    <row r="214">
      <c r="A214" s="42"/>
    </row>
    <row r="215">
      <c r="A215" s="42"/>
    </row>
    <row r="216">
      <c r="A216" s="42"/>
    </row>
    <row r="217">
      <c r="A217" s="42"/>
    </row>
    <row r="218">
      <c r="A218" s="42"/>
    </row>
    <row r="219">
      <c r="A219" s="42"/>
    </row>
    <row r="220">
      <c r="A220" s="42"/>
    </row>
    <row r="221">
      <c r="A221" s="42"/>
    </row>
    <row r="222">
      <c r="A222" s="42"/>
    </row>
    <row r="223">
      <c r="A223" s="42"/>
    </row>
    <row r="224">
      <c r="A224" s="42"/>
    </row>
    <row r="225">
      <c r="A225" s="42"/>
    </row>
    <row r="226">
      <c r="A226" s="42"/>
    </row>
    <row r="227">
      <c r="A227" s="42"/>
    </row>
    <row r="228">
      <c r="A228" s="42"/>
    </row>
    <row r="229">
      <c r="A229" s="42"/>
    </row>
    <row r="230">
      <c r="A230" s="42"/>
    </row>
    <row r="231">
      <c r="A231" s="42"/>
    </row>
    <row r="232">
      <c r="A232" s="42"/>
    </row>
    <row r="233">
      <c r="A233" s="42"/>
    </row>
    <row r="234">
      <c r="A234" s="42"/>
    </row>
    <row r="235">
      <c r="A235" s="42"/>
    </row>
    <row r="236">
      <c r="A236" s="42"/>
    </row>
    <row r="237">
      <c r="A237" s="42"/>
    </row>
    <row r="238">
      <c r="A238" s="42"/>
    </row>
    <row r="239">
      <c r="A239" s="42"/>
    </row>
    <row r="240">
      <c r="A240" s="42"/>
    </row>
    <row r="241">
      <c r="A241" s="42"/>
    </row>
    <row r="242">
      <c r="A242" s="42"/>
    </row>
    <row r="243">
      <c r="A243" s="42"/>
    </row>
    <row r="244">
      <c r="A244" s="42"/>
    </row>
    <row r="245">
      <c r="A245" s="42"/>
    </row>
    <row r="246">
      <c r="A246" s="42"/>
    </row>
    <row r="247">
      <c r="A247" s="42"/>
    </row>
    <row r="248">
      <c r="A248" s="42"/>
    </row>
    <row r="249">
      <c r="A249" s="42"/>
    </row>
    <row r="250">
      <c r="A250" s="42"/>
    </row>
    <row r="251">
      <c r="A251" s="42"/>
    </row>
    <row r="252">
      <c r="A252" s="42"/>
    </row>
    <row r="253">
      <c r="A253" s="42"/>
    </row>
    <row r="254">
      <c r="A254" s="42"/>
    </row>
    <row r="255">
      <c r="A255" s="42"/>
    </row>
    <row r="256">
      <c r="A256" s="42"/>
    </row>
    <row r="257">
      <c r="A257" s="42"/>
    </row>
    <row r="258">
      <c r="A258" s="42"/>
    </row>
    <row r="259">
      <c r="A259" s="42"/>
    </row>
    <row r="260">
      <c r="A260" s="42"/>
    </row>
    <row r="261">
      <c r="A261" s="42"/>
    </row>
    <row r="262">
      <c r="A262" s="42"/>
    </row>
    <row r="263">
      <c r="A263" s="42"/>
    </row>
    <row r="264">
      <c r="A264" s="42"/>
    </row>
    <row r="265">
      <c r="A265" s="42"/>
    </row>
    <row r="266">
      <c r="A266" s="42"/>
    </row>
    <row r="267">
      <c r="A267" s="42"/>
    </row>
    <row r="268">
      <c r="A268" s="42"/>
    </row>
    <row r="269">
      <c r="A269" s="42"/>
    </row>
    <row r="270">
      <c r="A270" s="42"/>
    </row>
    <row r="271">
      <c r="A271" s="42"/>
    </row>
    <row r="272">
      <c r="A272" s="42"/>
    </row>
    <row r="273">
      <c r="A273" s="42"/>
    </row>
    <row r="274">
      <c r="A274" s="42"/>
    </row>
    <row r="275">
      <c r="A275" s="42"/>
    </row>
    <row r="276">
      <c r="A276" s="42"/>
    </row>
    <row r="277">
      <c r="A277" s="42"/>
    </row>
    <row r="278">
      <c r="A278" s="42"/>
    </row>
    <row r="279">
      <c r="A279" s="42"/>
    </row>
    <row r="280">
      <c r="A280" s="42"/>
    </row>
    <row r="281">
      <c r="A281" s="42"/>
    </row>
    <row r="282">
      <c r="A282" s="42"/>
    </row>
    <row r="283">
      <c r="A283" s="42"/>
    </row>
    <row r="284">
      <c r="A284" s="42"/>
    </row>
    <row r="285">
      <c r="A285" s="42"/>
    </row>
    <row r="286">
      <c r="A286" s="42"/>
    </row>
    <row r="287">
      <c r="A287" s="42"/>
    </row>
    <row r="288">
      <c r="A288" s="42"/>
    </row>
    <row r="289">
      <c r="A289" s="42"/>
    </row>
    <row r="290">
      <c r="A290" s="42"/>
    </row>
    <row r="291">
      <c r="A291" s="42"/>
    </row>
    <row r="292">
      <c r="A292" s="42"/>
    </row>
    <row r="293">
      <c r="A293" s="42"/>
    </row>
    <row r="294">
      <c r="A294" s="42"/>
    </row>
    <row r="295">
      <c r="A295" s="42"/>
    </row>
    <row r="296">
      <c r="A296" s="42"/>
    </row>
    <row r="297">
      <c r="A297" s="42"/>
    </row>
    <row r="298">
      <c r="A298" s="42"/>
    </row>
    <row r="299">
      <c r="A299" s="42"/>
    </row>
    <row r="300">
      <c r="A300" s="42"/>
    </row>
    <row r="301">
      <c r="A301" s="42"/>
    </row>
    <row r="302">
      <c r="A302" s="42"/>
    </row>
    <row r="303">
      <c r="A303" s="42"/>
    </row>
    <row r="304">
      <c r="A304" s="42"/>
    </row>
    <row r="305">
      <c r="A305" s="42"/>
    </row>
    <row r="306">
      <c r="A306" s="42"/>
    </row>
    <row r="307">
      <c r="A307" s="42"/>
    </row>
    <row r="308">
      <c r="A308" s="42"/>
    </row>
    <row r="309">
      <c r="A309" s="42"/>
    </row>
    <row r="310">
      <c r="A310" s="42"/>
    </row>
    <row r="311">
      <c r="A311" s="42"/>
    </row>
    <row r="312">
      <c r="A312" s="42"/>
    </row>
    <row r="313">
      <c r="A313" s="42"/>
    </row>
    <row r="314">
      <c r="A314" s="42"/>
    </row>
    <row r="315">
      <c r="A315" s="42"/>
    </row>
    <row r="316">
      <c r="A316" s="42"/>
    </row>
    <row r="317">
      <c r="A317" s="42"/>
    </row>
    <row r="318">
      <c r="A318" s="42"/>
    </row>
    <row r="319">
      <c r="A319" s="42"/>
    </row>
    <row r="320">
      <c r="A320" s="42"/>
    </row>
    <row r="321">
      <c r="A321" s="42"/>
    </row>
    <row r="322">
      <c r="A322" s="42"/>
    </row>
    <row r="323">
      <c r="A323" s="42"/>
    </row>
    <row r="324">
      <c r="A324" s="42"/>
    </row>
    <row r="325">
      <c r="A325" s="42"/>
    </row>
    <row r="326">
      <c r="A326" s="42"/>
    </row>
    <row r="327">
      <c r="A327" s="42"/>
    </row>
    <row r="328">
      <c r="A328" s="42"/>
    </row>
    <row r="329">
      <c r="A329" s="42"/>
    </row>
    <row r="330">
      <c r="A330" s="42"/>
    </row>
    <row r="331">
      <c r="A331" s="42"/>
    </row>
    <row r="332">
      <c r="A332" s="42"/>
    </row>
    <row r="333">
      <c r="A333" s="42"/>
    </row>
    <row r="334">
      <c r="A334" s="42"/>
    </row>
    <row r="335">
      <c r="A335" s="42"/>
    </row>
    <row r="336">
      <c r="A336" s="42"/>
    </row>
    <row r="337">
      <c r="A337" s="42"/>
    </row>
    <row r="338">
      <c r="A338" s="42"/>
    </row>
    <row r="339">
      <c r="A339" s="42"/>
    </row>
    <row r="340">
      <c r="A340" s="42"/>
    </row>
    <row r="341">
      <c r="A341" s="42"/>
    </row>
    <row r="342">
      <c r="A342" s="42"/>
    </row>
    <row r="343">
      <c r="A343" s="42"/>
    </row>
    <row r="344">
      <c r="A344" s="42"/>
    </row>
    <row r="345">
      <c r="A345" s="42"/>
    </row>
    <row r="346">
      <c r="A346" s="42"/>
    </row>
    <row r="347">
      <c r="A347" s="42"/>
    </row>
    <row r="348">
      <c r="A348" s="42"/>
    </row>
    <row r="349">
      <c r="A349" s="42"/>
    </row>
    <row r="350">
      <c r="A350" s="42"/>
    </row>
    <row r="351">
      <c r="A351" s="42"/>
    </row>
    <row r="352">
      <c r="A352" s="42"/>
    </row>
    <row r="353">
      <c r="A353" s="42"/>
    </row>
    <row r="354">
      <c r="A354" s="42"/>
    </row>
    <row r="355">
      <c r="A355" s="42"/>
    </row>
    <row r="356">
      <c r="A356" s="42"/>
    </row>
    <row r="357">
      <c r="A357" s="42"/>
    </row>
    <row r="358">
      <c r="A358" s="42"/>
    </row>
    <row r="359">
      <c r="A359" s="42"/>
    </row>
    <row r="360">
      <c r="A360" s="42"/>
    </row>
    <row r="361">
      <c r="A361" s="42"/>
    </row>
    <row r="362">
      <c r="A362" s="42"/>
    </row>
    <row r="363">
      <c r="A363" s="42"/>
    </row>
    <row r="364">
      <c r="A364" s="42"/>
    </row>
    <row r="365">
      <c r="A365" s="42"/>
    </row>
    <row r="366">
      <c r="A366" s="42"/>
    </row>
    <row r="367">
      <c r="A367" s="42"/>
    </row>
    <row r="368">
      <c r="A368" s="42"/>
    </row>
    <row r="369">
      <c r="A369" s="42"/>
    </row>
    <row r="370">
      <c r="A370" s="42"/>
    </row>
    <row r="371">
      <c r="A371" s="42"/>
    </row>
    <row r="372">
      <c r="A372" s="42"/>
    </row>
    <row r="373">
      <c r="A373" s="42"/>
    </row>
    <row r="374">
      <c r="A374" s="42"/>
    </row>
    <row r="375">
      <c r="A375" s="42"/>
    </row>
    <row r="376">
      <c r="A376" s="42"/>
    </row>
    <row r="377">
      <c r="A377" s="42"/>
    </row>
    <row r="378">
      <c r="A378" s="42"/>
    </row>
    <row r="379">
      <c r="A379" s="42"/>
    </row>
    <row r="380">
      <c r="A380" s="42"/>
    </row>
    <row r="381">
      <c r="A381" s="42"/>
    </row>
    <row r="382">
      <c r="A382" s="42"/>
    </row>
    <row r="383">
      <c r="A383" s="42"/>
    </row>
    <row r="384">
      <c r="A384" s="42"/>
    </row>
    <row r="385">
      <c r="A385" s="42"/>
    </row>
    <row r="386">
      <c r="A386" s="42"/>
    </row>
    <row r="387">
      <c r="A387" s="42"/>
    </row>
    <row r="388">
      <c r="A388" s="42"/>
    </row>
    <row r="389">
      <c r="A389" s="42"/>
    </row>
    <row r="390">
      <c r="A390" s="42"/>
    </row>
    <row r="391">
      <c r="A391" s="42"/>
    </row>
    <row r="392">
      <c r="A392" s="42"/>
    </row>
    <row r="393">
      <c r="A393" s="42"/>
    </row>
    <row r="394">
      <c r="A394" s="42"/>
    </row>
    <row r="395">
      <c r="A395" s="42"/>
    </row>
    <row r="396">
      <c r="A396" s="42"/>
    </row>
    <row r="397">
      <c r="A397" s="42"/>
    </row>
    <row r="398">
      <c r="A398" s="42"/>
    </row>
    <row r="399">
      <c r="A399" s="42"/>
    </row>
    <row r="400">
      <c r="A400" s="42"/>
    </row>
    <row r="401">
      <c r="A401" s="42"/>
    </row>
    <row r="402">
      <c r="A402" s="42"/>
    </row>
    <row r="403">
      <c r="A403" s="42"/>
    </row>
    <row r="404">
      <c r="A404" s="42"/>
    </row>
    <row r="405">
      <c r="A405" s="42"/>
    </row>
    <row r="406">
      <c r="A406" s="42"/>
    </row>
    <row r="407">
      <c r="A407" s="42"/>
    </row>
    <row r="408">
      <c r="A408" s="42"/>
    </row>
    <row r="409">
      <c r="A409" s="42"/>
    </row>
    <row r="410">
      <c r="A410" s="42"/>
    </row>
    <row r="411">
      <c r="A411" s="42"/>
    </row>
    <row r="412">
      <c r="A412" s="42"/>
    </row>
    <row r="413">
      <c r="A413" s="42"/>
    </row>
    <row r="414">
      <c r="A414" s="42"/>
    </row>
    <row r="415">
      <c r="A415" s="42"/>
    </row>
    <row r="416">
      <c r="A416" s="42"/>
    </row>
    <row r="417">
      <c r="A417" s="42"/>
    </row>
    <row r="418">
      <c r="A418" s="42"/>
    </row>
    <row r="419">
      <c r="A419" s="42"/>
    </row>
    <row r="420">
      <c r="A420" s="42"/>
    </row>
    <row r="421">
      <c r="A421" s="42"/>
    </row>
    <row r="422">
      <c r="A422" s="42"/>
    </row>
    <row r="423">
      <c r="A423" s="42"/>
    </row>
    <row r="424">
      <c r="A424" s="42"/>
    </row>
    <row r="425">
      <c r="A425" s="42"/>
    </row>
    <row r="426">
      <c r="A426" s="42"/>
    </row>
    <row r="427">
      <c r="A427" s="42"/>
    </row>
    <row r="428">
      <c r="A428" s="42"/>
    </row>
    <row r="429">
      <c r="A429" s="42"/>
    </row>
    <row r="430">
      <c r="A430" s="42"/>
    </row>
    <row r="431">
      <c r="A431" s="42"/>
    </row>
    <row r="432">
      <c r="A432" s="42"/>
    </row>
    <row r="433">
      <c r="A433" s="42"/>
    </row>
    <row r="434">
      <c r="A434" s="42"/>
    </row>
    <row r="435">
      <c r="A435" s="42"/>
    </row>
    <row r="436">
      <c r="A436" s="42"/>
    </row>
    <row r="437">
      <c r="A437" s="42"/>
    </row>
    <row r="438">
      <c r="A438" s="42"/>
    </row>
    <row r="439">
      <c r="A439" s="42"/>
    </row>
    <row r="440">
      <c r="A440" s="42"/>
    </row>
    <row r="441">
      <c r="A441" s="42"/>
    </row>
    <row r="442">
      <c r="A442" s="42"/>
    </row>
    <row r="443">
      <c r="A443" s="42"/>
    </row>
    <row r="444">
      <c r="A444" s="42"/>
    </row>
    <row r="445">
      <c r="A445" s="42"/>
    </row>
    <row r="446">
      <c r="A446" s="42"/>
    </row>
    <row r="447">
      <c r="A447" s="42"/>
    </row>
    <row r="448">
      <c r="A448" s="42"/>
    </row>
    <row r="449">
      <c r="A449" s="42"/>
    </row>
    <row r="450">
      <c r="A450" s="42"/>
    </row>
    <row r="451">
      <c r="A451" s="42"/>
    </row>
    <row r="452">
      <c r="A452" s="42"/>
    </row>
    <row r="453">
      <c r="A453" s="42"/>
    </row>
    <row r="454">
      <c r="A454" s="42"/>
    </row>
    <row r="455">
      <c r="A455" s="42"/>
    </row>
    <row r="456">
      <c r="A456" s="42"/>
    </row>
    <row r="457">
      <c r="A457" s="42"/>
    </row>
    <row r="458">
      <c r="A458" s="42"/>
    </row>
    <row r="459">
      <c r="A459" s="42"/>
    </row>
    <row r="460">
      <c r="A460" s="42"/>
    </row>
    <row r="461">
      <c r="A461" s="42"/>
    </row>
    <row r="462">
      <c r="A462" s="42"/>
    </row>
    <row r="463">
      <c r="A463" s="42"/>
    </row>
    <row r="464">
      <c r="A464" s="42"/>
    </row>
    <row r="465">
      <c r="A465" s="42"/>
    </row>
    <row r="466">
      <c r="A466" s="42"/>
    </row>
    <row r="467">
      <c r="A467" s="42"/>
    </row>
    <row r="468">
      <c r="A468" s="42"/>
    </row>
    <row r="469">
      <c r="A469" s="42"/>
    </row>
    <row r="470">
      <c r="A470" s="42"/>
    </row>
    <row r="471">
      <c r="A471" s="42"/>
    </row>
    <row r="472">
      <c r="A472" s="42"/>
    </row>
    <row r="473">
      <c r="A473" s="42"/>
    </row>
    <row r="474">
      <c r="A474" s="42"/>
    </row>
    <row r="475">
      <c r="A475" s="42"/>
    </row>
    <row r="476">
      <c r="A476" s="42"/>
    </row>
    <row r="477">
      <c r="A477" s="42"/>
    </row>
    <row r="478">
      <c r="A478" s="42"/>
    </row>
    <row r="479">
      <c r="A479" s="42"/>
    </row>
    <row r="480">
      <c r="A480" s="42"/>
    </row>
    <row r="481">
      <c r="A481" s="42"/>
    </row>
    <row r="482">
      <c r="A482" s="42"/>
    </row>
    <row r="483">
      <c r="A483" s="42"/>
    </row>
    <row r="484">
      <c r="A484" s="42"/>
    </row>
    <row r="485">
      <c r="A485" s="42"/>
    </row>
    <row r="486">
      <c r="A486" s="42"/>
    </row>
    <row r="487">
      <c r="A487" s="42"/>
    </row>
    <row r="488">
      <c r="A488" s="42"/>
    </row>
    <row r="489">
      <c r="A489" s="42"/>
    </row>
    <row r="490">
      <c r="A490" s="42"/>
    </row>
    <row r="491">
      <c r="A491" s="42"/>
    </row>
    <row r="492">
      <c r="A492" s="42"/>
    </row>
    <row r="493">
      <c r="A493" s="42"/>
    </row>
    <row r="494">
      <c r="A494" s="42"/>
    </row>
    <row r="495">
      <c r="A495" s="42"/>
    </row>
    <row r="496">
      <c r="A496" s="42"/>
    </row>
    <row r="497">
      <c r="A497" s="42"/>
    </row>
    <row r="498">
      <c r="A498" s="42"/>
    </row>
    <row r="499">
      <c r="A499" s="42"/>
    </row>
    <row r="500">
      <c r="A500" s="42"/>
    </row>
    <row r="501">
      <c r="A501" s="42"/>
    </row>
    <row r="502">
      <c r="A502" s="42"/>
    </row>
    <row r="503">
      <c r="A503" s="42"/>
    </row>
    <row r="504">
      <c r="A504" s="42"/>
    </row>
    <row r="505">
      <c r="A505" s="42"/>
    </row>
    <row r="506">
      <c r="A506" s="42"/>
    </row>
    <row r="507">
      <c r="A507" s="42"/>
    </row>
    <row r="508">
      <c r="A508" s="42"/>
    </row>
    <row r="509">
      <c r="A509" s="42"/>
    </row>
    <row r="510">
      <c r="A510" s="42"/>
    </row>
    <row r="511">
      <c r="A511" s="42"/>
    </row>
    <row r="512">
      <c r="A512" s="42"/>
    </row>
    <row r="513">
      <c r="A513" s="42"/>
    </row>
    <row r="514">
      <c r="A514" s="42"/>
    </row>
    <row r="515">
      <c r="A515" s="42"/>
    </row>
    <row r="516">
      <c r="A516" s="42"/>
    </row>
    <row r="517">
      <c r="A517" s="42"/>
    </row>
    <row r="518">
      <c r="A518" s="42"/>
    </row>
    <row r="519">
      <c r="A519" s="42"/>
    </row>
    <row r="520">
      <c r="A520" s="42"/>
    </row>
    <row r="521">
      <c r="A521" s="42"/>
    </row>
    <row r="522">
      <c r="A522" s="42"/>
    </row>
    <row r="523">
      <c r="A523" s="42"/>
    </row>
    <row r="524">
      <c r="A524" s="42"/>
    </row>
    <row r="525">
      <c r="A525" s="42"/>
    </row>
    <row r="526">
      <c r="A526" s="42"/>
    </row>
    <row r="527">
      <c r="A527" s="42"/>
    </row>
    <row r="528">
      <c r="A528" s="42"/>
    </row>
    <row r="529">
      <c r="A529" s="42"/>
    </row>
    <row r="530">
      <c r="A530" s="42"/>
    </row>
    <row r="531">
      <c r="A531" s="42"/>
    </row>
    <row r="532">
      <c r="A532" s="42"/>
    </row>
    <row r="533">
      <c r="A533" s="42"/>
    </row>
    <row r="534">
      <c r="A534" s="42"/>
    </row>
    <row r="535">
      <c r="A535" s="42"/>
    </row>
    <row r="536">
      <c r="A536" s="42"/>
    </row>
    <row r="537">
      <c r="A537" s="42"/>
    </row>
    <row r="538">
      <c r="A538" s="42"/>
    </row>
    <row r="539">
      <c r="A539" s="42"/>
    </row>
    <row r="540">
      <c r="A540" s="42"/>
    </row>
    <row r="541">
      <c r="A541" s="42"/>
    </row>
    <row r="542">
      <c r="A542" s="42"/>
    </row>
    <row r="543">
      <c r="A543" s="42"/>
    </row>
    <row r="544">
      <c r="A544" s="42"/>
    </row>
    <row r="545">
      <c r="A545" s="42"/>
    </row>
    <row r="546">
      <c r="A546" s="42"/>
    </row>
    <row r="547">
      <c r="A547" s="42"/>
    </row>
    <row r="548">
      <c r="A548" s="42"/>
    </row>
    <row r="549">
      <c r="A549" s="42"/>
    </row>
    <row r="550">
      <c r="A550" s="42"/>
    </row>
    <row r="551">
      <c r="A551" s="42"/>
    </row>
    <row r="552">
      <c r="A552" s="42"/>
    </row>
    <row r="553">
      <c r="A553" s="42"/>
    </row>
    <row r="554">
      <c r="A554" s="42"/>
    </row>
    <row r="555">
      <c r="A555" s="42"/>
    </row>
    <row r="556">
      <c r="A556" s="42"/>
    </row>
    <row r="557">
      <c r="A557" s="42"/>
    </row>
    <row r="558">
      <c r="A558" s="42"/>
    </row>
    <row r="559">
      <c r="A559" s="42"/>
    </row>
    <row r="560">
      <c r="A560" s="42"/>
    </row>
    <row r="561">
      <c r="A561" s="42"/>
    </row>
    <row r="562">
      <c r="A562" s="42"/>
    </row>
    <row r="563">
      <c r="A563" s="42"/>
    </row>
    <row r="564">
      <c r="A564" s="42"/>
    </row>
    <row r="565">
      <c r="A565" s="42"/>
    </row>
    <row r="566">
      <c r="A566" s="42"/>
    </row>
    <row r="567">
      <c r="A567" s="42"/>
    </row>
    <row r="568">
      <c r="A568" s="42"/>
    </row>
    <row r="569">
      <c r="A569" s="42"/>
    </row>
    <row r="570">
      <c r="A570" s="42"/>
    </row>
    <row r="571">
      <c r="A571" s="42"/>
    </row>
    <row r="572">
      <c r="A572" s="42"/>
    </row>
    <row r="573">
      <c r="A573" s="42"/>
    </row>
    <row r="574">
      <c r="A574" s="42"/>
    </row>
    <row r="575">
      <c r="A575" s="42"/>
    </row>
    <row r="576">
      <c r="A576" s="42"/>
    </row>
    <row r="577">
      <c r="A577" s="42"/>
    </row>
    <row r="578">
      <c r="A578" s="42"/>
    </row>
    <row r="579">
      <c r="A579" s="42"/>
    </row>
    <row r="580">
      <c r="A580" s="42"/>
    </row>
    <row r="581">
      <c r="A581" s="42"/>
    </row>
    <row r="582">
      <c r="A582" s="42"/>
    </row>
    <row r="583">
      <c r="A583" s="42"/>
    </row>
    <row r="584">
      <c r="A584" s="42"/>
    </row>
    <row r="585">
      <c r="A585" s="42"/>
    </row>
    <row r="586">
      <c r="A586" s="42"/>
    </row>
    <row r="587">
      <c r="A587" s="42"/>
    </row>
    <row r="588">
      <c r="A588" s="42"/>
    </row>
    <row r="589">
      <c r="A589" s="42"/>
    </row>
    <row r="590">
      <c r="A590" s="42"/>
    </row>
    <row r="591">
      <c r="A591" s="42"/>
    </row>
    <row r="592">
      <c r="A592" s="42"/>
    </row>
    <row r="593">
      <c r="A593" s="42"/>
    </row>
    <row r="594">
      <c r="A594" s="42"/>
    </row>
    <row r="595">
      <c r="A595" s="42"/>
    </row>
    <row r="596">
      <c r="A596" s="42"/>
    </row>
    <row r="597">
      <c r="A597" s="42"/>
    </row>
    <row r="598">
      <c r="A598" s="42"/>
    </row>
    <row r="599">
      <c r="A599" s="42"/>
    </row>
    <row r="600">
      <c r="A600" s="42"/>
    </row>
    <row r="601">
      <c r="A601" s="42"/>
    </row>
    <row r="602">
      <c r="A602" s="42"/>
    </row>
    <row r="603">
      <c r="A603" s="42"/>
    </row>
    <row r="604">
      <c r="A604" s="42"/>
    </row>
    <row r="605">
      <c r="A605" s="42"/>
    </row>
    <row r="606">
      <c r="A606" s="42"/>
    </row>
    <row r="607">
      <c r="A607" s="42"/>
    </row>
    <row r="608">
      <c r="A608" s="42"/>
    </row>
    <row r="609">
      <c r="A609" s="42"/>
    </row>
    <row r="610">
      <c r="A610" s="42"/>
    </row>
    <row r="611">
      <c r="A611" s="42"/>
    </row>
    <row r="612">
      <c r="A612" s="42"/>
    </row>
    <row r="613">
      <c r="A613" s="42"/>
    </row>
    <row r="614">
      <c r="A614" s="42"/>
    </row>
    <row r="615">
      <c r="A615" s="42"/>
    </row>
    <row r="616">
      <c r="A616" s="42"/>
    </row>
    <row r="617">
      <c r="A617" s="42"/>
    </row>
    <row r="618">
      <c r="A618" s="42"/>
    </row>
    <row r="619">
      <c r="A619" s="42"/>
    </row>
    <row r="620">
      <c r="A620" s="42"/>
    </row>
    <row r="621">
      <c r="A621" s="42"/>
    </row>
    <row r="622">
      <c r="A622" s="42"/>
    </row>
    <row r="623">
      <c r="A623" s="42"/>
    </row>
    <row r="624">
      <c r="A624" s="42"/>
    </row>
    <row r="625">
      <c r="A625" s="42"/>
    </row>
    <row r="626">
      <c r="A626" s="42"/>
    </row>
    <row r="627">
      <c r="A627" s="42"/>
    </row>
    <row r="628">
      <c r="A628" s="42"/>
    </row>
    <row r="629">
      <c r="A629" s="42"/>
    </row>
    <row r="630">
      <c r="A630" s="42"/>
    </row>
    <row r="631">
      <c r="A631" s="42"/>
    </row>
    <row r="632">
      <c r="A632" s="42"/>
    </row>
    <row r="633">
      <c r="A633" s="42"/>
    </row>
    <row r="634">
      <c r="A634" s="42"/>
    </row>
    <row r="635">
      <c r="A635" s="42"/>
    </row>
    <row r="636">
      <c r="A636" s="42"/>
    </row>
    <row r="637">
      <c r="A637" s="42"/>
    </row>
    <row r="638">
      <c r="A638" s="42"/>
    </row>
    <row r="639">
      <c r="A639" s="42"/>
    </row>
    <row r="640">
      <c r="A640" s="42"/>
    </row>
    <row r="641">
      <c r="A641" s="42"/>
    </row>
    <row r="642">
      <c r="A642" s="42"/>
    </row>
    <row r="643">
      <c r="A643" s="42"/>
    </row>
    <row r="644">
      <c r="A644" s="42"/>
    </row>
    <row r="645">
      <c r="A645" s="42"/>
    </row>
    <row r="646">
      <c r="A646" s="42"/>
    </row>
    <row r="647">
      <c r="A647" s="42"/>
    </row>
    <row r="648">
      <c r="A648" s="42"/>
    </row>
    <row r="649">
      <c r="A649" s="42"/>
    </row>
    <row r="650">
      <c r="A650" s="42"/>
    </row>
    <row r="651">
      <c r="A651" s="42"/>
    </row>
    <row r="652">
      <c r="A652" s="42"/>
    </row>
    <row r="653">
      <c r="A653" s="42"/>
    </row>
    <row r="654">
      <c r="A654" s="42"/>
    </row>
    <row r="655">
      <c r="A655" s="42"/>
    </row>
    <row r="656">
      <c r="A656" s="42"/>
    </row>
    <row r="657">
      <c r="A657" s="42"/>
    </row>
    <row r="658">
      <c r="A658" s="42"/>
    </row>
    <row r="659">
      <c r="A659" s="42"/>
    </row>
    <row r="660">
      <c r="A660" s="42"/>
    </row>
    <row r="661">
      <c r="A661" s="42"/>
    </row>
    <row r="662">
      <c r="A662" s="42"/>
    </row>
    <row r="663">
      <c r="A663" s="42"/>
    </row>
    <row r="664">
      <c r="A664" s="42"/>
    </row>
    <row r="665">
      <c r="A665" s="42"/>
    </row>
    <row r="666">
      <c r="A666" s="42"/>
    </row>
    <row r="667">
      <c r="A667" s="42"/>
    </row>
    <row r="668">
      <c r="A668" s="42"/>
    </row>
    <row r="669">
      <c r="A669" s="42"/>
    </row>
    <row r="670">
      <c r="A670" s="42"/>
    </row>
    <row r="671">
      <c r="A671" s="42"/>
    </row>
    <row r="672">
      <c r="A672" s="42"/>
    </row>
    <row r="673">
      <c r="A673" s="42"/>
    </row>
    <row r="674">
      <c r="A674" s="42"/>
    </row>
    <row r="675">
      <c r="A675" s="42"/>
    </row>
    <row r="676">
      <c r="A676" s="42"/>
    </row>
    <row r="677">
      <c r="A677" s="42"/>
    </row>
    <row r="678">
      <c r="A678" s="42"/>
    </row>
    <row r="679">
      <c r="A679" s="42"/>
    </row>
    <row r="680">
      <c r="A680" s="42"/>
    </row>
    <row r="681">
      <c r="A681" s="42"/>
    </row>
    <row r="682">
      <c r="A682" s="42"/>
    </row>
    <row r="683">
      <c r="A683" s="42"/>
    </row>
    <row r="684">
      <c r="A684" s="42"/>
    </row>
    <row r="685">
      <c r="A685" s="42"/>
    </row>
    <row r="686">
      <c r="A686" s="42"/>
    </row>
    <row r="687">
      <c r="A687" s="42"/>
    </row>
    <row r="688">
      <c r="A688" s="42"/>
    </row>
    <row r="689">
      <c r="A689" s="42"/>
    </row>
    <row r="690">
      <c r="A690" s="42"/>
    </row>
    <row r="691">
      <c r="A691" s="42"/>
    </row>
    <row r="692">
      <c r="A692" s="42"/>
    </row>
    <row r="693">
      <c r="A693" s="42"/>
    </row>
    <row r="694">
      <c r="A694" s="42"/>
    </row>
    <row r="695">
      <c r="A695" s="42"/>
    </row>
    <row r="696">
      <c r="A696" s="42"/>
    </row>
    <row r="697">
      <c r="A697" s="42"/>
    </row>
    <row r="698">
      <c r="A698" s="42"/>
    </row>
    <row r="699">
      <c r="A699" s="42"/>
    </row>
    <row r="700">
      <c r="A700" s="42"/>
    </row>
    <row r="701">
      <c r="A701" s="42"/>
    </row>
    <row r="702">
      <c r="A702" s="42"/>
    </row>
    <row r="703">
      <c r="A703" s="42"/>
    </row>
    <row r="704">
      <c r="A704" s="42"/>
    </row>
    <row r="705">
      <c r="A705" s="42"/>
    </row>
    <row r="706">
      <c r="A706" s="42"/>
    </row>
    <row r="707">
      <c r="A707" s="42"/>
    </row>
    <row r="708">
      <c r="A708" s="42"/>
    </row>
    <row r="709">
      <c r="A709" s="42"/>
    </row>
    <row r="710">
      <c r="A710" s="42"/>
    </row>
    <row r="711">
      <c r="A711" s="42"/>
    </row>
    <row r="712">
      <c r="A712" s="42"/>
    </row>
    <row r="713">
      <c r="A713" s="42"/>
    </row>
    <row r="714">
      <c r="A714" s="42"/>
    </row>
    <row r="715">
      <c r="A715" s="42"/>
    </row>
    <row r="716">
      <c r="A716" s="42"/>
    </row>
    <row r="717">
      <c r="A717" s="42"/>
    </row>
    <row r="718">
      <c r="A718" s="42"/>
    </row>
    <row r="719">
      <c r="A719" s="42"/>
    </row>
    <row r="720">
      <c r="A720" s="42"/>
    </row>
    <row r="721">
      <c r="A721" s="42"/>
    </row>
    <row r="722">
      <c r="A722" s="42"/>
    </row>
    <row r="723">
      <c r="A723" s="42"/>
    </row>
    <row r="724">
      <c r="A724" s="42"/>
    </row>
    <row r="725">
      <c r="A725" s="42"/>
    </row>
    <row r="726">
      <c r="A726" s="42"/>
    </row>
    <row r="727">
      <c r="A727" s="42"/>
    </row>
    <row r="728">
      <c r="A728" s="42"/>
    </row>
    <row r="729">
      <c r="A729" s="42"/>
    </row>
    <row r="730">
      <c r="A730" s="42"/>
    </row>
    <row r="731">
      <c r="A731" s="42"/>
    </row>
    <row r="732">
      <c r="A732" s="42"/>
    </row>
    <row r="733">
      <c r="A733" s="42"/>
    </row>
    <row r="734">
      <c r="A734" s="42"/>
    </row>
    <row r="735">
      <c r="A735" s="42"/>
    </row>
    <row r="736">
      <c r="A736" s="42"/>
    </row>
    <row r="737">
      <c r="A737" s="42"/>
    </row>
    <row r="738">
      <c r="A738" s="42"/>
    </row>
    <row r="739">
      <c r="A739" s="42"/>
    </row>
    <row r="740">
      <c r="A740" s="42"/>
    </row>
    <row r="741">
      <c r="A741" s="42"/>
    </row>
    <row r="742">
      <c r="A742" s="42"/>
    </row>
    <row r="743">
      <c r="A743" s="42"/>
    </row>
    <row r="744">
      <c r="A744" s="42"/>
    </row>
    <row r="745">
      <c r="A745" s="42"/>
    </row>
    <row r="746">
      <c r="A746" s="42"/>
    </row>
    <row r="747">
      <c r="A747" s="42"/>
    </row>
    <row r="748">
      <c r="A748" s="42"/>
    </row>
    <row r="749">
      <c r="A749" s="42"/>
    </row>
    <row r="750">
      <c r="A750" s="42"/>
    </row>
    <row r="751">
      <c r="A751" s="42"/>
    </row>
    <row r="752">
      <c r="A752" s="42"/>
    </row>
    <row r="753">
      <c r="A753" s="42"/>
    </row>
    <row r="754">
      <c r="A754" s="42"/>
    </row>
    <row r="755">
      <c r="A755" s="42"/>
    </row>
    <row r="756">
      <c r="A756" s="42"/>
    </row>
    <row r="757">
      <c r="A757" s="42"/>
    </row>
    <row r="758">
      <c r="A758" s="42"/>
    </row>
    <row r="759">
      <c r="A759" s="42"/>
    </row>
    <row r="760">
      <c r="A760" s="42"/>
    </row>
    <row r="761">
      <c r="A761" s="42"/>
    </row>
    <row r="762">
      <c r="A762" s="42"/>
    </row>
    <row r="763">
      <c r="A763" s="42"/>
    </row>
    <row r="764">
      <c r="A764" s="42"/>
    </row>
    <row r="765">
      <c r="A765" s="42"/>
    </row>
    <row r="766">
      <c r="A766" s="42"/>
    </row>
    <row r="767">
      <c r="A767" s="42"/>
    </row>
    <row r="768">
      <c r="A768" s="42"/>
    </row>
    <row r="769">
      <c r="A769" s="42"/>
    </row>
    <row r="770">
      <c r="A770" s="42"/>
    </row>
    <row r="771">
      <c r="A771" s="42"/>
    </row>
    <row r="772">
      <c r="A772" s="42"/>
    </row>
    <row r="773">
      <c r="A773" s="42"/>
    </row>
    <row r="774">
      <c r="A774" s="42"/>
    </row>
    <row r="775">
      <c r="A775" s="42"/>
    </row>
    <row r="776">
      <c r="A776" s="42"/>
    </row>
    <row r="777">
      <c r="A777" s="42"/>
    </row>
    <row r="778">
      <c r="A778" s="42"/>
    </row>
    <row r="779">
      <c r="A779" s="42"/>
    </row>
    <row r="780">
      <c r="A780" s="42"/>
    </row>
    <row r="781">
      <c r="A781" s="42"/>
    </row>
    <row r="782">
      <c r="A782" s="42"/>
    </row>
    <row r="783">
      <c r="A783" s="42"/>
    </row>
    <row r="784">
      <c r="A784" s="42"/>
    </row>
    <row r="785">
      <c r="A785" s="42"/>
    </row>
    <row r="786">
      <c r="A786" s="42"/>
    </row>
    <row r="787">
      <c r="A787" s="42"/>
    </row>
    <row r="788">
      <c r="A788" s="42"/>
    </row>
    <row r="789">
      <c r="A789" s="42"/>
    </row>
    <row r="790">
      <c r="A790" s="42"/>
    </row>
    <row r="791">
      <c r="A791" s="42"/>
    </row>
    <row r="792">
      <c r="A792" s="42"/>
    </row>
    <row r="793">
      <c r="A793" s="42"/>
    </row>
    <row r="794">
      <c r="A794" s="42"/>
    </row>
    <row r="795">
      <c r="A795" s="42"/>
    </row>
    <row r="796">
      <c r="A796" s="42"/>
    </row>
    <row r="797">
      <c r="A797" s="42"/>
    </row>
    <row r="798">
      <c r="A798" s="42"/>
    </row>
    <row r="799">
      <c r="A799" s="42"/>
    </row>
    <row r="800">
      <c r="A800" s="42"/>
    </row>
    <row r="801">
      <c r="A801" s="42"/>
    </row>
    <row r="802">
      <c r="A802" s="42"/>
    </row>
    <row r="803">
      <c r="A803" s="42"/>
    </row>
    <row r="804">
      <c r="A804" s="42"/>
    </row>
    <row r="805">
      <c r="A805" s="42"/>
    </row>
    <row r="806">
      <c r="A806" s="42"/>
    </row>
    <row r="807">
      <c r="A807" s="42"/>
    </row>
    <row r="808">
      <c r="A808" s="42"/>
    </row>
    <row r="809">
      <c r="A809" s="42"/>
    </row>
    <row r="810">
      <c r="A810" s="42"/>
    </row>
    <row r="811">
      <c r="A811" s="42"/>
    </row>
    <row r="812">
      <c r="A812" s="42"/>
    </row>
    <row r="813">
      <c r="A813" s="42"/>
    </row>
    <row r="814">
      <c r="A814" s="42"/>
    </row>
    <row r="815">
      <c r="A815" s="42"/>
    </row>
    <row r="816">
      <c r="A816" s="42"/>
    </row>
    <row r="817">
      <c r="A817" s="42"/>
    </row>
    <row r="818">
      <c r="A818" s="42"/>
    </row>
    <row r="819">
      <c r="A819" s="42"/>
    </row>
    <row r="820">
      <c r="A820" s="42"/>
    </row>
    <row r="821">
      <c r="A821" s="42"/>
    </row>
    <row r="822">
      <c r="A822" s="42"/>
    </row>
    <row r="823">
      <c r="A823" s="42"/>
    </row>
    <row r="824">
      <c r="A824" s="42"/>
    </row>
    <row r="825">
      <c r="A825" s="42"/>
    </row>
    <row r="826">
      <c r="A826" s="42"/>
    </row>
    <row r="827">
      <c r="A827" s="42"/>
    </row>
    <row r="828">
      <c r="A828" s="42"/>
    </row>
    <row r="829">
      <c r="A829" s="42"/>
    </row>
    <row r="830">
      <c r="A830" s="42"/>
    </row>
    <row r="831">
      <c r="A831" s="42"/>
    </row>
    <row r="832">
      <c r="A832" s="42"/>
    </row>
    <row r="833">
      <c r="A833" s="42"/>
    </row>
    <row r="834">
      <c r="A834" s="42"/>
    </row>
    <row r="835">
      <c r="A835" s="42"/>
    </row>
    <row r="836">
      <c r="A836" s="42"/>
    </row>
    <row r="837">
      <c r="A837" s="42"/>
    </row>
    <row r="838">
      <c r="A838" s="42"/>
    </row>
    <row r="839">
      <c r="A839" s="42"/>
    </row>
    <row r="840">
      <c r="A840" s="42"/>
    </row>
    <row r="841">
      <c r="A841" s="42"/>
    </row>
    <row r="842">
      <c r="A842" s="42"/>
    </row>
    <row r="843">
      <c r="A843" s="42"/>
    </row>
    <row r="844">
      <c r="A844" s="42"/>
    </row>
    <row r="845">
      <c r="A845" s="42"/>
    </row>
    <row r="846">
      <c r="A846" s="42"/>
    </row>
    <row r="847">
      <c r="A847" s="42"/>
    </row>
    <row r="848">
      <c r="A848" s="42"/>
    </row>
    <row r="849">
      <c r="A849" s="42"/>
    </row>
    <row r="850">
      <c r="A850" s="42"/>
    </row>
    <row r="851">
      <c r="A851" s="42"/>
    </row>
    <row r="852">
      <c r="A852" s="42"/>
    </row>
    <row r="853">
      <c r="A853" s="42"/>
    </row>
    <row r="854">
      <c r="A854" s="42"/>
    </row>
    <row r="855">
      <c r="A855" s="42"/>
    </row>
    <row r="856">
      <c r="A856" s="42"/>
    </row>
    <row r="857">
      <c r="A857" s="42"/>
    </row>
    <row r="858">
      <c r="A858" s="42"/>
    </row>
    <row r="859">
      <c r="A859" s="42"/>
    </row>
    <row r="860">
      <c r="A860" s="42"/>
    </row>
    <row r="861">
      <c r="A861" s="42"/>
    </row>
    <row r="862">
      <c r="A862" s="42"/>
    </row>
    <row r="863">
      <c r="A863" s="42"/>
    </row>
    <row r="864">
      <c r="A864" s="42"/>
    </row>
    <row r="865">
      <c r="A865" s="42"/>
    </row>
    <row r="866">
      <c r="A866" s="42"/>
    </row>
    <row r="867">
      <c r="A867" s="42"/>
    </row>
    <row r="868">
      <c r="A868" s="42"/>
    </row>
    <row r="869">
      <c r="A869" s="42"/>
    </row>
    <row r="870">
      <c r="A870" s="42"/>
    </row>
    <row r="871">
      <c r="A871" s="42"/>
    </row>
    <row r="872">
      <c r="A872" s="42"/>
    </row>
    <row r="873">
      <c r="A873" s="42"/>
    </row>
    <row r="874">
      <c r="A874" s="42"/>
    </row>
    <row r="875">
      <c r="A875" s="42"/>
    </row>
    <row r="876">
      <c r="A876" s="42"/>
    </row>
    <row r="877">
      <c r="A877" s="42"/>
    </row>
    <row r="878">
      <c r="A878" s="42"/>
    </row>
    <row r="879">
      <c r="A879" s="42"/>
    </row>
    <row r="880">
      <c r="A880" s="42"/>
    </row>
    <row r="881">
      <c r="A881" s="42"/>
    </row>
    <row r="882">
      <c r="A882" s="42"/>
    </row>
    <row r="883">
      <c r="A883" s="42"/>
    </row>
    <row r="884">
      <c r="A884" s="42"/>
    </row>
    <row r="885">
      <c r="A885" s="42"/>
    </row>
    <row r="886">
      <c r="A886" s="42"/>
    </row>
    <row r="887">
      <c r="A887" s="42"/>
    </row>
    <row r="888">
      <c r="A888" s="42"/>
    </row>
    <row r="889">
      <c r="A889" s="42"/>
    </row>
    <row r="890">
      <c r="A890" s="42"/>
    </row>
    <row r="891">
      <c r="A891" s="42"/>
    </row>
    <row r="892">
      <c r="A892" s="42"/>
    </row>
    <row r="893">
      <c r="A893" s="42"/>
    </row>
    <row r="894">
      <c r="A894" s="42"/>
    </row>
    <row r="895">
      <c r="A895" s="42"/>
    </row>
    <row r="896">
      <c r="A896" s="42"/>
    </row>
    <row r="897">
      <c r="A897" s="42"/>
    </row>
    <row r="898">
      <c r="A898" s="42"/>
    </row>
    <row r="899">
      <c r="A899" s="42"/>
    </row>
    <row r="900">
      <c r="A900" s="42"/>
    </row>
    <row r="901">
      <c r="A901" s="42"/>
    </row>
    <row r="902">
      <c r="A902" s="42"/>
    </row>
    <row r="903">
      <c r="A903" s="42"/>
    </row>
    <row r="904">
      <c r="A904" s="42"/>
    </row>
    <row r="905">
      <c r="A905" s="42"/>
    </row>
    <row r="906">
      <c r="A906" s="42"/>
    </row>
    <row r="907">
      <c r="A907" s="42"/>
    </row>
    <row r="908">
      <c r="A908" s="42"/>
    </row>
    <row r="909">
      <c r="A909" s="42"/>
    </row>
    <row r="910">
      <c r="A910" s="42"/>
    </row>
    <row r="911">
      <c r="A911" s="42"/>
    </row>
    <row r="912">
      <c r="A912" s="42"/>
    </row>
    <row r="913">
      <c r="A913" s="42"/>
    </row>
    <row r="914">
      <c r="A914" s="42"/>
    </row>
    <row r="915">
      <c r="A915" s="42"/>
    </row>
    <row r="916">
      <c r="A916" s="42"/>
    </row>
    <row r="917">
      <c r="A917" s="42"/>
    </row>
    <row r="918">
      <c r="A918" s="42"/>
    </row>
    <row r="919">
      <c r="A919" s="42"/>
    </row>
    <row r="920">
      <c r="A920" s="42"/>
    </row>
    <row r="921">
      <c r="A921" s="42"/>
    </row>
    <row r="922">
      <c r="A922" s="42"/>
    </row>
    <row r="923">
      <c r="A923" s="42"/>
    </row>
    <row r="924">
      <c r="A924" s="42"/>
    </row>
    <row r="925">
      <c r="A925" s="42"/>
    </row>
    <row r="926">
      <c r="A926" s="42"/>
    </row>
    <row r="927">
      <c r="A927" s="42"/>
    </row>
    <row r="928">
      <c r="A928" s="42"/>
    </row>
    <row r="929">
      <c r="A929" s="42"/>
    </row>
    <row r="930">
      <c r="A930" s="42"/>
    </row>
    <row r="931">
      <c r="A931" s="42"/>
    </row>
    <row r="932">
      <c r="A932" s="42"/>
    </row>
    <row r="933">
      <c r="A933" s="42"/>
    </row>
    <row r="934">
      <c r="A934" s="42"/>
    </row>
    <row r="935">
      <c r="A935" s="42"/>
    </row>
    <row r="936">
      <c r="A936" s="42"/>
    </row>
    <row r="937">
      <c r="A937" s="42"/>
    </row>
    <row r="938">
      <c r="A938" s="42"/>
    </row>
    <row r="939">
      <c r="A939" s="42"/>
    </row>
    <row r="940">
      <c r="A940" s="42"/>
    </row>
    <row r="941">
      <c r="A941" s="42"/>
    </row>
    <row r="942">
      <c r="A942" s="42"/>
    </row>
    <row r="943">
      <c r="A943" s="42"/>
    </row>
    <row r="944">
      <c r="A944" s="42"/>
    </row>
    <row r="945">
      <c r="A945" s="42"/>
    </row>
    <row r="946">
      <c r="A946" s="42"/>
    </row>
    <row r="947">
      <c r="A947" s="42"/>
    </row>
    <row r="948">
      <c r="A948" s="42"/>
    </row>
    <row r="949">
      <c r="A949" s="42"/>
    </row>
    <row r="950">
      <c r="A950" s="42"/>
    </row>
    <row r="951">
      <c r="A951" s="42"/>
    </row>
    <row r="952">
      <c r="A952" s="42"/>
    </row>
    <row r="953">
      <c r="A953" s="42"/>
    </row>
    <row r="954">
      <c r="A954" s="42"/>
    </row>
    <row r="955">
      <c r="A955" s="42"/>
    </row>
    <row r="956">
      <c r="A956" s="42"/>
    </row>
    <row r="957">
      <c r="A957" s="42"/>
    </row>
    <row r="958">
      <c r="A958" s="42"/>
    </row>
    <row r="959">
      <c r="A959" s="42"/>
    </row>
    <row r="960">
      <c r="A960" s="42"/>
    </row>
    <row r="961">
      <c r="A961" s="42"/>
    </row>
    <row r="962">
      <c r="A962" s="42"/>
    </row>
    <row r="963">
      <c r="A963" s="42"/>
    </row>
    <row r="964">
      <c r="A964" s="42"/>
    </row>
    <row r="965">
      <c r="A965" s="42"/>
    </row>
    <row r="966">
      <c r="A966" s="42"/>
    </row>
    <row r="967">
      <c r="A967" s="42"/>
    </row>
    <row r="968">
      <c r="A968" s="42"/>
    </row>
    <row r="969">
      <c r="A969" s="42"/>
    </row>
    <row r="970">
      <c r="A970" s="42"/>
    </row>
    <row r="971">
      <c r="A971" s="42"/>
    </row>
    <row r="972">
      <c r="A972" s="42"/>
    </row>
    <row r="973">
      <c r="A973" s="42"/>
    </row>
    <row r="974">
      <c r="A974" s="42"/>
    </row>
    <row r="975">
      <c r="A975" s="42"/>
    </row>
    <row r="976">
      <c r="A976" s="42"/>
    </row>
    <row r="977">
      <c r="A977" s="42"/>
    </row>
    <row r="978">
      <c r="A978" s="42"/>
    </row>
    <row r="979">
      <c r="A979" s="42"/>
    </row>
    <row r="980">
      <c r="A980" s="42"/>
    </row>
    <row r="981">
      <c r="A981" s="42"/>
    </row>
    <row r="982">
      <c r="A982" s="42"/>
    </row>
    <row r="983">
      <c r="A983" s="42"/>
    </row>
    <row r="984">
      <c r="A984" s="42"/>
    </row>
    <row r="985">
      <c r="A985" s="42"/>
    </row>
    <row r="986">
      <c r="A986" s="42"/>
    </row>
    <row r="987">
      <c r="A987" s="42"/>
    </row>
    <row r="988">
      <c r="A988" s="42"/>
    </row>
    <row r="989">
      <c r="A989" s="42"/>
    </row>
    <row r="990">
      <c r="A990" s="42"/>
    </row>
    <row r="991">
      <c r="A991" s="42"/>
    </row>
    <row r="992">
      <c r="A992" s="42"/>
    </row>
    <row r="993">
      <c r="A993" s="42"/>
    </row>
    <row r="994">
      <c r="A994" s="42"/>
    </row>
    <row r="995">
      <c r="A995" s="42"/>
    </row>
    <row r="996">
      <c r="A996" s="42"/>
    </row>
    <row r="997">
      <c r="A997" s="42"/>
    </row>
    <row r="998">
      <c r="A998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15.88"/>
    <col customWidth="1" min="4" max="4" width="28.5"/>
  </cols>
  <sheetData>
    <row r="1">
      <c r="A1" s="43" t="s">
        <v>210</v>
      </c>
      <c r="B1" s="44" t="s">
        <v>211</v>
      </c>
      <c r="C1" s="44" t="s">
        <v>212</v>
      </c>
      <c r="D1" s="44" t="s">
        <v>213</v>
      </c>
      <c r="E1" s="44" t="s">
        <v>214</v>
      </c>
    </row>
    <row r="2">
      <c r="A2" s="45">
        <v>1.0</v>
      </c>
      <c r="B2" s="7" t="s">
        <v>11</v>
      </c>
      <c r="C2" s="12" t="s">
        <v>215</v>
      </c>
      <c r="D2" s="9"/>
      <c r="E2" s="12" t="s">
        <v>216</v>
      </c>
    </row>
    <row r="3">
      <c r="A3" s="45">
        <v>2.0</v>
      </c>
      <c r="B3" s="7" t="s">
        <v>15</v>
      </c>
      <c r="C3" s="7" t="s">
        <v>217</v>
      </c>
      <c r="D3" s="12" t="s">
        <v>218</v>
      </c>
      <c r="E3" s="12" t="s">
        <v>219</v>
      </c>
    </row>
    <row r="4">
      <c r="A4" s="45">
        <v>3.0</v>
      </c>
      <c r="B4" s="7" t="s">
        <v>18</v>
      </c>
      <c r="C4" s="46" t="s">
        <v>220</v>
      </c>
      <c r="D4" s="9"/>
      <c r="E4" s="9"/>
    </row>
    <row r="5">
      <c r="A5" s="45">
        <v>4.0</v>
      </c>
      <c r="B5" s="7" t="s">
        <v>21</v>
      </c>
      <c r="C5" s="12" t="s">
        <v>215</v>
      </c>
      <c r="D5" s="9"/>
      <c r="E5" s="12" t="s">
        <v>216</v>
      </c>
    </row>
    <row r="6">
      <c r="A6" s="45">
        <v>5.0</v>
      </c>
      <c r="B6" s="7" t="s">
        <v>23</v>
      </c>
      <c r="C6" s="46" t="s">
        <v>220</v>
      </c>
      <c r="D6" s="12" t="s">
        <v>221</v>
      </c>
      <c r="E6" s="12" t="s">
        <v>219</v>
      </c>
    </row>
    <row r="7">
      <c r="C7" s="9"/>
      <c r="D7" s="9"/>
    </row>
  </sheetData>
  <drawing r:id="rId1"/>
</worksheet>
</file>
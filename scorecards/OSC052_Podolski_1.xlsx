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SCORES" sheetId="1" r:id="rId4"/>
    <sheet state="visible" name="Voting Results" sheetId="2" r:id="rId5"/>
  </sheets>
  <definedNames/>
  <calcPr/>
</workbook>
</file>

<file path=xl/sharedStrings.xml><?xml version="1.0" encoding="utf-8"?>
<sst xmlns="http://schemas.openxmlformats.org/spreadsheetml/2006/main" count="125" uniqueCount="125">
  <si>
    <t>Timestamp</t>
  </si>
  <si>
    <t>Voter Name (your KVR nick)</t>
  </si>
  <si>
    <t>Abovethoughts - Music For Pods</t>
  </si>
  <si>
    <t>Besh - Pd8</t>
  </si>
  <si>
    <t>Besh - Podolski Osc</t>
  </si>
  <si>
    <t>Bh9090 - Losing The Loudness War</t>
  </si>
  <si>
    <t>Bh9090 - The Veiled Path</t>
  </si>
  <si>
    <t>Bjporter - Nature Was The Machine</t>
  </si>
  <si>
    <t>Broad Halls Of Yeast - Mimas Orbital Solutions</t>
  </si>
  <si>
    <t>Bzur - Expect The Unexpected</t>
  </si>
  <si>
    <t>Carl_saved - Walking With My Saviour</t>
  </si>
  <si>
    <t>Cat Gordon - July, Open Your Eyes</t>
  </si>
  <si>
    <t>Clarago - Podology 1</t>
  </si>
  <si>
    <t>Clarago Dubski</t>
  </si>
  <si>
    <t>Ctx - Smells Cheezy In The Changing Room</t>
  </si>
  <si>
    <t>Cycloscope - Hope</t>
  </si>
  <si>
    <t>Cytosonic - Waiting For The Trickle</t>
  </si>
  <si>
    <t>Davias - Podol Not Skilled</t>
  </si>
  <si>
    <t>Deadreactor - Clockwise</t>
  </si>
  <si>
    <t>Doc Jon - Holding A Grudge</t>
  </si>
  <si>
    <t>Dwringer - Ex Machina</t>
  </si>
  <si>
    <t>Dzah - Watermusic</t>
  </si>
  <si>
    <t>E@rs - Earth Shaker</t>
  </si>
  <si>
    <t>Eauson Podolski</t>
  </si>
  <si>
    <t>Entagled Noise - Remote Island</t>
  </si>
  <si>
    <t>Evo2slo - Escape Pod</t>
  </si>
  <si>
    <t>Examigan - Relativity</t>
  </si>
  <si>
    <t>Gamma-UT - 235</t>
  </si>
  <si>
    <t>Harthstein - The Last Enchantress</t>
  </si>
  <si>
    <t>Hienergy - Thematische Arbeit Mit Podolski</t>
  </si>
  <si>
    <t>Idfpower - Poddity</t>
  </si>
  <si>
    <t>Irion Da Ronin - Innocent Memories</t>
  </si>
  <si>
    <t>Kimik - Slowmotiodolski</t>
  </si>
  <si>
    <t>Kondarivan - Earthrise</t>
  </si>
  <si>
    <t>Kraftraum - Rotation 13 (Escape From Orbit)</t>
  </si>
  <si>
    <t>Kraftraum - Rotation 14</t>
  </si>
  <si>
    <t>Liquidgreg - Black Rain</t>
  </si>
  <si>
    <t>Liquidgreg - Prometheus Rising</t>
  </si>
  <si>
    <t>Mike777 - City Night</t>
  </si>
  <si>
    <t>Mike777 - It Was Seen Over Fields And Lakes</t>
  </si>
  <si>
    <t>Miskaseppa - Elektrotanz</t>
  </si>
  <si>
    <t>Moka Disco Express - Discharged</t>
  </si>
  <si>
    <t>Mushy Mushy - Pole Dancing On Skis</t>
  </si>
  <si>
    <t>Nightpolymath - Mercury</t>
  </si>
  <si>
    <t>Nikp2000 - Ghosties</t>
  </si>
  <si>
    <t>Ontrackp - Podostinato 2</t>
  </si>
  <si>
    <t>Pedalsteeldrummer - Artoo Detoo! It's You!</t>
  </si>
  <si>
    <t>Photonic - Airglow</t>
  </si>
  <si>
    <t>Rammellzee - Be Somebody</t>
  </si>
  <si>
    <t>Ricler - Like The Same Old Tune</t>
  </si>
  <si>
    <t>Rotobam - Frog Walk</t>
  </si>
  <si>
    <t>Ruedirena - Black Hole Gold</t>
  </si>
  <si>
    <t>Ruedirena - Incident At Fhloston Paradise</t>
  </si>
  <si>
    <t>Saltline - Lukasz</t>
  </si>
  <si>
    <t>Simonhans73 - Deep Feeling</t>
  </si>
  <si>
    <t>Sirken - Podolski's Revenge</t>
  </si>
  <si>
    <t>Skyzone - I Need Space</t>
  </si>
  <si>
    <t>Solidtrax - The Dreamer Awakes</t>
  </si>
  <si>
    <t>Sonnydeluxe - Fields Of Glory - The Last Battle Of General Podolski</t>
  </si>
  <si>
    <t>Sovaroz_x0081_m - Hypercube III</t>
  </si>
  <si>
    <t>Sovaroz_x0081_m - Hypercube III-S</t>
  </si>
  <si>
    <t>Sovaroz_x0081_m - Temporal Shift</t>
  </si>
  <si>
    <t>Toddhisattva - Doll Sky</t>
  </si>
  <si>
    <t>Tonedef71 - The Night Is Dark And Full Of Terrors</t>
  </si>
  <si>
    <t>Vasiliset.Ma - A49</t>
  </si>
  <si>
    <t>Yeager - Alan Was Right</t>
  </si>
  <si>
    <t>Z.Prime - The Living</t>
  </si>
  <si>
    <t>ghettosynth</t>
  </si>
  <si>
    <t>Kondarivan</t>
  </si>
  <si>
    <t>liquidgreg</t>
  </si>
  <si>
    <t>Carl-saved</t>
  </si>
  <si>
    <t>idfpower</t>
  </si>
  <si>
    <t>simonhans73</t>
  </si>
  <si>
    <t>Examigan</t>
  </si>
  <si>
    <t>Nightpolymath</t>
  </si>
  <si>
    <t>Entangled Noise</t>
  </si>
  <si>
    <t>Cat Gordon</t>
  </si>
  <si>
    <t>Sovarozum</t>
  </si>
  <si>
    <t>kimik</t>
  </si>
  <si>
    <t>Photonic</t>
  </si>
  <si>
    <t>RuediRena</t>
  </si>
  <si>
    <t>Mike777</t>
  </si>
  <si>
    <t>Diego_C</t>
  </si>
  <si>
    <t>cytoSonic</t>
  </si>
  <si>
    <t>ricler</t>
  </si>
  <si>
    <t>z.prime</t>
  </si>
  <si>
    <t>Irion Da Ronin</t>
  </si>
  <si>
    <t>ontrackp</t>
  </si>
  <si>
    <t>ctx</t>
  </si>
  <si>
    <t>kraftraum</t>
  </si>
  <si>
    <t>deadReactor</t>
  </si>
  <si>
    <t>tonedef71</t>
  </si>
  <si>
    <t>saltline</t>
  </si>
  <si>
    <t>ClaRago</t>
  </si>
  <si>
    <t>tomtoo</t>
  </si>
  <si>
    <t>bzur</t>
  </si>
  <si>
    <t>Doc Jon</t>
  </si>
  <si>
    <t>sunhome</t>
  </si>
  <si>
    <t>solidtrax</t>
  </si>
  <si>
    <t>HiEnergy</t>
  </si>
  <si>
    <t>besh</t>
  </si>
  <si>
    <t>bjporter</t>
  </si>
  <si>
    <t>Davias</t>
  </si>
  <si>
    <t>miskaseppa</t>
  </si>
  <si>
    <t>nikp2000</t>
  </si>
  <si>
    <t>abovethoughts</t>
  </si>
  <si>
    <t>Harthstein</t>
  </si>
  <si>
    <t>pedalsteeldrummer</t>
  </si>
  <si>
    <t>Dzah</t>
  </si>
  <si>
    <t>bftucker</t>
  </si>
  <si>
    <t>rammellzee</t>
  </si>
  <si>
    <t>e@rs</t>
  </si>
  <si>
    <t>Gamma-UT</t>
  </si>
  <si>
    <t>evo2slo</t>
  </si>
  <si>
    <t>Mushy Mushy</t>
  </si>
  <si>
    <t>cycloscope</t>
  </si>
  <si>
    <t>eauson</t>
  </si>
  <si>
    <t>SirKen</t>
  </si>
  <si>
    <t>Sonnydeluxe</t>
  </si>
  <si>
    <t>Saukar30</t>
  </si>
  <si>
    <t>Yeager</t>
  </si>
  <si>
    <t>SKYZONE</t>
  </si>
  <si>
    <t>Peter999</t>
  </si>
  <si>
    <t>bhy</t>
  </si>
  <si>
    <t>Moka Disco Express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</si>
</sst>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>
      <b/>
      <sz val="10.0"/>
      <color rgb="FF000000"/>
    </font>
    <font>
      <b/>
      <sz val="10.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2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5.13" defaultRowHeight="15.75"/>
  <cols>
    <col customWidth="1" min="1" max="1" width="58.5"/>
    <col customWidth="1" min="2" max="2" width="12.13"/>
  </cols>
  <sheetData>
    <row r="1">
      <c r="A1" s="1" t="str">
        <f>'Voting Results'!$AV$1</f>
        <v>Photonic - Airglow</v>
      </c>
      <c r="B1" s="2">
        <f>SUM('Voting Results'!AV1:AV113)</f>
        <v>63</v>
      </c>
    </row>
    <row r="2">
      <c r="A2" s="1" t="str">
        <f>'Voting Results'!$H$1</f>
        <v>Bjporter - Nature Was The Machine</v>
      </c>
      <c r="B2" s="2">
        <f>SUM('Voting Results'!H1:H154)</f>
        <v>46</v>
      </c>
    </row>
    <row r="3">
      <c r="A3" s="1" t="str">
        <f>'Voting Results'!$J$1</f>
        <v>Bzur - Expect The Unexpected</v>
      </c>
      <c r="B3" s="2">
        <f>SUM('Voting Results'!J1:J153)</f>
        <v>43</v>
      </c>
    </row>
    <row r="4">
      <c r="A4" s="1" t="str">
        <f>'Voting Results'!$P$1</f>
        <v>Cycloscope - Hope</v>
      </c>
      <c r="B4" s="2">
        <f>SUM('Voting Results'!P1:P148)</f>
        <v>41</v>
      </c>
    </row>
    <row r="5">
      <c r="A5" s="1" t="str">
        <f>'Voting Results'!$AW$1</f>
        <v>Rammellzee - Be Somebody</v>
      </c>
      <c r="B5" s="2">
        <f>SUM('Voting Results'!AW1:AW116)</f>
        <v>37</v>
      </c>
    </row>
    <row r="6">
      <c r="A6" s="1" t="str">
        <f>'Voting Results'!$Q$1</f>
        <v>Cytosonic - Waiting For The Trickle</v>
      </c>
      <c r="B6" s="2">
        <f>SUM('Voting Results'!Q1:Q149)</f>
        <v>34</v>
      </c>
    </row>
    <row r="7">
      <c r="A7" s="1" t="str">
        <f>'Voting Results'!$T$1</f>
        <v>Doc Jon - Holding A Grudge</v>
      </c>
      <c r="B7" s="2">
        <f>SUM('Voting Results'!T1:T147)</f>
        <v>33</v>
      </c>
    </row>
    <row r="8">
      <c r="A8" s="1" t="str">
        <f>'Voting Results'!$AO$1</f>
        <v>Miskaseppa - Elektrotanz</v>
      </c>
      <c r="B8" s="2">
        <f>SUM('Voting Results'!AO1:AO127)</f>
        <v>31</v>
      </c>
    </row>
    <row r="9">
      <c r="A9" s="1" t="str">
        <f>'Voting Results'!$AF$1</f>
        <v>Irion Da Ronin - Innocent Memories</v>
      </c>
      <c r="B9" s="2">
        <f>SUM('Voting Results'!AF1:AF137)</f>
        <v>30</v>
      </c>
    </row>
    <row r="10">
      <c r="A10" s="1" t="str">
        <f>'Voting Results'!$Z$1</f>
        <v>Evo2slo - Escape Pod</v>
      </c>
      <c r="B10" s="2">
        <f>SUM('Voting Results'!Z1:Z144)</f>
        <v>29</v>
      </c>
    </row>
    <row r="11">
      <c r="A11" s="1" t="str">
        <f>'Voting Results'!$BE$1</f>
        <v>Skyzone - I Need Space</v>
      </c>
      <c r="B11" s="2">
        <f>SUM('Voting Results'!BE1:BE119)</f>
        <v>29</v>
      </c>
    </row>
    <row r="12">
      <c r="A12" s="1" t="str">
        <f>'Voting Results'!$AG$1</f>
        <v>Kimik - Slowmotiodolski</v>
      </c>
      <c r="B12" s="2">
        <f>SUM('Voting Results'!AG1:AG139)</f>
        <v>28</v>
      </c>
    </row>
    <row r="13">
      <c r="A13" s="1" t="str">
        <f>'Voting Results'!$BO$1</f>
        <v>Z.Prime - The Living</v>
      </c>
      <c r="B13" s="2">
        <f>SUM('Voting Results'!BO1:BO121)</f>
        <v>28</v>
      </c>
    </row>
    <row r="14">
      <c r="A14" s="1" t="str">
        <f>'Voting Results'!$AC$1</f>
        <v>Harthstein - The Last Enchantress</v>
      </c>
      <c r="B14" s="2">
        <f>SUM('Voting Results'!AC1:AC145)</f>
        <v>27</v>
      </c>
    </row>
    <row r="15">
      <c r="A15" s="1" t="str">
        <f>'Voting Results'!$AP$1</f>
        <v>Moka Disco Express - Discharged</v>
      </c>
      <c r="B15" s="2">
        <f>SUM('Voting Results'!AP1:AP133)</f>
        <v>27</v>
      </c>
    </row>
    <row r="16">
      <c r="A16" s="1" t="str">
        <f>'Voting Results'!$V$1</f>
        <v>Dzah - Watermusic</v>
      </c>
      <c r="B16" s="2">
        <f>SUM('Voting Results'!V1:V154)</f>
        <v>26</v>
      </c>
    </row>
    <row r="17">
      <c r="A17" s="1" t="str">
        <f>'Voting Results'!$AJ$1</f>
        <v>Kraftraum - Rotation 14</v>
      </c>
      <c r="B17" s="2">
        <f>SUM('Voting Results'!AJ1:AJ141)</f>
        <v>23</v>
      </c>
    </row>
    <row r="18">
      <c r="A18" s="1" t="str">
        <f>'Voting Results'!$BG$1</f>
        <v>Sonnydeluxe - Fields Of Glory - The Last Battle Of General Podolski</v>
      </c>
      <c r="B18" s="2">
        <f>SUM('Voting Results'!BG1:BG126)</f>
        <v>21</v>
      </c>
    </row>
    <row r="19">
      <c r="A19" s="1" t="str">
        <f>'Voting Results'!$W$1</f>
        <v>E@rs - Earth Shaker</v>
      </c>
      <c r="B19" s="2">
        <f>SUM('Voting Results'!W1:W156)</f>
        <v>19</v>
      </c>
    </row>
    <row r="20">
      <c r="A20" s="1" t="str">
        <f>'Voting Results'!$BB$1</f>
        <v>Saltline - Lukasz</v>
      </c>
      <c r="B20" s="2">
        <f>SUM('Voting Results'!X1:X156)</f>
        <v>18</v>
      </c>
    </row>
    <row r="21">
      <c r="A21" s="1" t="str">
        <f>'Voting Results'!$X$1</f>
        <v>Eauson Podolski</v>
      </c>
      <c r="B21" s="2">
        <f>SUM('Voting Results'!BB1:BB129)</f>
        <v>18</v>
      </c>
    </row>
    <row r="22">
      <c r="A22" s="1" t="str">
        <f>'Voting Results'!$I$1</f>
        <v>Broad Halls Of Yeast - Mimas Orbital Solutions</v>
      </c>
      <c r="B22" s="2">
        <f>SUM('Voting Results'!I1:I173)</f>
        <v>16</v>
      </c>
    </row>
    <row r="23">
      <c r="A23" s="1" t="str">
        <f>'Voting Results'!$AA$1</f>
        <v>Examigan - Relativity</v>
      </c>
      <c r="B23" s="2">
        <f>SUM('Voting Results'!AA1:AA156)</f>
        <v>15</v>
      </c>
    </row>
    <row r="24">
      <c r="A24" s="1" t="str">
        <f>'Voting Results'!$BF$1</f>
        <v>Solidtrax - The Dreamer Awakes</v>
      </c>
      <c r="B24" s="2">
        <f>SUM('Voting Results'!BF1:BF132)</f>
        <v>13</v>
      </c>
    </row>
    <row r="25">
      <c r="A25" s="1" t="str">
        <f>'Voting Results'!$AB$1</f>
        <v>Gamma-UT - 235</v>
      </c>
      <c r="B25" s="2">
        <f>SUM('Voting Results'!AB1:AB157)</f>
        <v>12</v>
      </c>
    </row>
    <row r="26">
      <c r="A26" s="1" t="str">
        <f>'Voting Results'!$BA$1</f>
        <v>Ruedirena - Incident At Fhloston Paradise</v>
      </c>
      <c r="B26" s="2">
        <f>SUM('Voting Results'!AT1:AT140)</f>
        <v>11</v>
      </c>
    </row>
    <row r="27">
      <c r="A27" s="1" t="str">
        <f>'Voting Results'!$AU$1</f>
        <v>Pedalsteeldrummer - Artoo Detoo! It's You!</v>
      </c>
      <c r="B27" s="2">
        <f>SUM('Voting Results'!AU1:AU140)</f>
        <v>11</v>
      </c>
    </row>
    <row r="28">
      <c r="A28" s="1" t="str">
        <f>'Voting Results'!$AT$1</f>
        <v>Ontrackp - Podostinato 2</v>
      </c>
      <c r="B28" s="2">
        <f>SUM('Voting Results'!BA1:BA136)</f>
        <v>11</v>
      </c>
    </row>
    <row r="29">
      <c r="A29" s="1" t="str">
        <f>'Voting Results'!$K$1</f>
        <v>Carl_saved - Walking With My Saviour</v>
      </c>
      <c r="B29" s="2">
        <f>SUM('Voting Results'!K1:K178)</f>
        <v>10</v>
      </c>
    </row>
    <row r="30">
      <c r="A30" s="1" t="str">
        <f>'Voting Results'!$Y$1</f>
        <v>Entagled Noise - Remote Island</v>
      </c>
      <c r="B30" s="2">
        <f>SUM('Voting Results'!Y1:Y165)</f>
        <v>9</v>
      </c>
    </row>
    <row r="31">
      <c r="A31" s="1" t="str">
        <f>'Voting Results'!$D$1</f>
        <v>Besh - Pd8</v>
      </c>
      <c r="B31" s="2">
        <f>SUM('Voting Results'!D1:D187)</f>
        <v>8</v>
      </c>
    </row>
    <row r="32">
      <c r="A32" s="1" t="str">
        <f>'Voting Results'!$AX$1</f>
        <v>Ricler - Like The Same Old Tune</v>
      </c>
      <c r="B32" s="2">
        <f>SUM('Voting Results'!AX1:AX142)</f>
        <v>8</v>
      </c>
    </row>
    <row r="33">
      <c r="A33" s="1" t="str">
        <f>'Voting Results'!$BN$1</f>
        <v>Yeager - Alan Was Right</v>
      </c>
      <c r="B33" s="2">
        <f>SUM('Voting Results'!BN1:BN141)</f>
        <v>8</v>
      </c>
    </row>
    <row r="34">
      <c r="A34" s="1" t="str">
        <f>'Voting Results'!$C$1</f>
        <v>Abovethoughts - Music For Pods</v>
      </c>
      <c r="B34" s="2">
        <f>SUM('Voting Results'!C1:C191)</f>
        <v>7</v>
      </c>
    </row>
    <row r="35">
      <c r="A35" s="1" t="str">
        <f>'Voting Results'!$AQ$1</f>
        <v>Mushy Mushy - Pole Dancing On Skis</v>
      </c>
      <c r="B35" s="2">
        <f>SUM('Voting Results'!AQ1:AQ152)</f>
        <v>7</v>
      </c>
    </row>
    <row r="36">
      <c r="A36" s="1" t="str">
        <f>'Voting Results'!$E$1</f>
        <v>Besh - Podolski Osc</v>
      </c>
      <c r="B36" s="2">
        <f>SUM('Voting Results'!E1:E191)</f>
        <v>6</v>
      </c>
    </row>
    <row r="37">
      <c r="A37" s="1" t="str">
        <f>'Voting Results'!$O$1</f>
        <v>Ctx - Smells Cheezy In The Changing Room</v>
      </c>
      <c r="B37" s="2">
        <f>SUM('Voting Results'!O1:O182)</f>
        <v>6</v>
      </c>
    </row>
    <row r="38">
      <c r="A38" s="1" t="str">
        <f>'Voting Results'!$AI$1</f>
        <v>Kraftraum - Rotation 13 (Escape From Orbit)</v>
      </c>
      <c r="B38" s="2">
        <f>SUM('Voting Results'!AI1:AI163)</f>
        <v>6</v>
      </c>
    </row>
    <row r="39">
      <c r="A39" s="1" t="str">
        <f>'Voting Results'!$AY$1</f>
        <v>Rotobam - Frog Walk</v>
      </c>
      <c r="B39" s="2">
        <f>SUM('Voting Results'!AY1:AY148)</f>
        <v>6</v>
      </c>
    </row>
    <row r="40">
      <c r="A40" s="1" t="str">
        <f>'Voting Results'!$R$1</f>
        <v>Davias - Podol Not Skilled</v>
      </c>
      <c r="B40" s="2">
        <f>SUM('Voting Results'!R1:R182)</f>
        <v>5</v>
      </c>
    </row>
    <row r="41">
      <c r="A41" s="1" t="str">
        <f>'Voting Results'!$AE$1</f>
        <v>Idfpower - Poddity</v>
      </c>
      <c r="B41" s="2">
        <f>SUM('Voting Results'!AE1:AE170)</f>
        <v>5</v>
      </c>
    </row>
    <row r="42">
      <c r="A42" s="1" t="str">
        <f>'Voting Results'!$AM$1</f>
        <v>Mike777 - City Night</v>
      </c>
      <c r="B42" s="2">
        <f>SUM('Voting Results'!AM1:AM163)</f>
        <v>5</v>
      </c>
    </row>
    <row r="43">
      <c r="A43" s="1" t="str">
        <f>'Voting Results'!$AS$1</f>
        <v>Nikp2000 - Ghosties</v>
      </c>
      <c r="B43" s="2">
        <f>SUM('Voting Results'!AS1:AS158)</f>
        <v>5</v>
      </c>
    </row>
    <row r="44">
      <c r="A44" s="1" t="str">
        <f>'Voting Results'!$BC$1</f>
        <v>Simonhans73 - Deep Feeling</v>
      </c>
      <c r="B44" s="2">
        <f>SUM('Voting Results'!BC1:BC152)</f>
        <v>5</v>
      </c>
    </row>
    <row r="45">
      <c r="A45" s="1" t="str">
        <f>'Voting Results'!$L$1</f>
        <v>Cat Gordon - July, Open Your Eyes</v>
      </c>
      <c r="B45" s="2">
        <f>SUM('Voting Results'!L1:L193)</f>
        <v>3</v>
      </c>
    </row>
    <row r="46">
      <c r="A46" s="1" t="str">
        <f>'Voting Results'!$M$1</f>
        <v>Clarago - Podology 1</v>
      </c>
      <c r="B46" s="2">
        <f>SUM('Voting Results'!M1:M193)</f>
        <v>3</v>
      </c>
    </row>
    <row r="47">
      <c r="A47" s="1" t="str">
        <f>'Voting Results'!$BH$1</f>
        <v>Sovaroz_x0081_m - Hypercube III</v>
      </c>
      <c r="B47" s="2">
        <f>SUM('Voting Results'!BH1:BH155)</f>
        <v>3</v>
      </c>
    </row>
    <row r="48">
      <c r="A48" s="1" t="str">
        <f>'Voting Results'!$BJ$1</f>
        <v>Sovaroz_x0081_m - Temporal Shift</v>
      </c>
      <c r="B48" s="2">
        <f>SUM('Voting Results'!BJ1:BJ156)</f>
        <v>3</v>
      </c>
    </row>
    <row r="49">
      <c r="A49" s="1" t="str">
        <f>'Voting Results'!$U$1</f>
        <v>Dwringer - Ex Machina</v>
      </c>
      <c r="B49" s="2">
        <f>SUM('Voting Results'!U1:U188)</f>
        <v>2</v>
      </c>
    </row>
    <row r="50">
      <c r="A50" s="1" t="str">
        <f>'Voting Results'!$AL$1</f>
        <v>Liquidgreg - Prometheus Rising</v>
      </c>
      <c r="B50" s="2">
        <f>SUM('Voting Results'!AL1:AL172)</f>
        <v>2</v>
      </c>
    </row>
    <row r="51">
      <c r="A51" s="1" t="str">
        <f>'Voting Results'!$BD$1</f>
        <v>Sirken - Podolski's Revenge</v>
      </c>
      <c r="B51" s="2">
        <f>SUM('Voting Results'!BD1:BD159)</f>
        <v>2</v>
      </c>
    </row>
    <row r="52">
      <c r="A52" s="1" t="str">
        <f>'Voting Results'!$BK$1</f>
        <v>Toddhisattva - Doll Sky</v>
      </c>
      <c r="B52" s="2">
        <f>SUM('Voting Results'!BK1:BK160)</f>
        <v>2</v>
      </c>
    </row>
    <row r="53">
      <c r="A53" s="1" t="str">
        <f>'Voting Results'!$BL$1</f>
        <v>Tonedef71 - The Night Is Dark And Full Of Terrors</v>
      </c>
      <c r="B53" s="2">
        <f>SUM('Voting Results'!BL1:BL161)</f>
        <v>2</v>
      </c>
    </row>
    <row r="54">
      <c r="A54" s="1" t="str">
        <f>'Voting Results'!$F$1</f>
        <v>Bh9090 - Losing The Loudness War</v>
      </c>
      <c r="B54" s="2">
        <f>SUM('Voting Results'!F1:F208)</f>
        <v>1</v>
      </c>
    </row>
    <row r="55">
      <c r="A55" s="1" t="str">
        <f>'Voting Results'!$AH$1</f>
        <v>Kondarivan - Earthrise</v>
      </c>
      <c r="B55" s="2">
        <f>SUM('Voting Results'!AH1:AH181)</f>
        <v>1</v>
      </c>
    </row>
    <row r="56">
      <c r="A56" s="1" t="str">
        <f>'Voting Results'!$G$1</f>
        <v>Bh9090 - The Veiled Path</v>
      </c>
      <c r="B56" s="2">
        <f>SUM('Voting Results'!G1:G209)</f>
        <v>0</v>
      </c>
    </row>
    <row r="57">
      <c r="A57" s="1" t="str">
        <f>'Voting Results'!$N$1</f>
        <v>Clarago Dubski</v>
      </c>
      <c r="B57" s="2">
        <f>SUM('Voting Results'!N1:N203)</f>
        <v>0</v>
      </c>
    </row>
    <row r="58">
      <c r="A58" s="1" t="str">
        <f>'Voting Results'!$S$1</f>
        <v>Deadreactor - Clockwise</v>
      </c>
      <c r="B58" s="2">
        <f>SUM('Voting Results'!S1:S199)</f>
        <v>0</v>
      </c>
    </row>
    <row r="59">
      <c r="A59" s="1" t="str">
        <f>'Voting Results'!$AD$1</f>
        <v>Hienergy - Thematische Arbeit Mit Podolski</v>
      </c>
      <c r="B59" s="2">
        <f>SUM('Voting Results'!AD1:AD189)</f>
        <v>0</v>
      </c>
    </row>
    <row r="60">
      <c r="A60" s="1" t="str">
        <f>'Voting Results'!$AK$1</f>
        <v>Liquidgreg - Black Rain</v>
      </c>
      <c r="B60" s="2">
        <f>SUM('Voting Results'!AK1:AK183)</f>
        <v>0</v>
      </c>
    </row>
    <row r="61">
      <c r="A61" s="1" t="str">
        <f>'Voting Results'!$AN$1</f>
        <v>Mike777 - It Was Seen Over Fields And Lakes</v>
      </c>
      <c r="B61" s="2">
        <f>SUM('Voting Results'!AN1:AN181)</f>
        <v>0</v>
      </c>
    </row>
    <row r="62">
      <c r="A62" s="1" t="str">
        <f>'Voting Results'!$AR$1</f>
        <v>Nightpolymath - Mercury</v>
      </c>
      <c r="B62" s="2">
        <f>SUM('Voting Results'!AR1:AR178)</f>
        <v>0</v>
      </c>
    </row>
    <row r="63">
      <c r="A63" s="1" t="str">
        <f>'Voting Results'!$AZ$1</f>
        <v>Ruedirena - Black Hole Gold</v>
      </c>
      <c r="B63" s="2">
        <f>SUM('Voting Results'!AZ1:AZ171)</f>
        <v>0</v>
      </c>
    </row>
    <row r="64">
      <c r="A64" s="1" t="str">
        <f>'Voting Results'!$BI$1</f>
        <v>Sovaroz_x0081_m - Hypercube III-S</v>
      </c>
      <c r="B64" s="2">
        <f>SUM('Voting Results'!BI1:BI172)</f>
        <v>0</v>
      </c>
    </row>
    <row r="65">
      <c r="A65" s="1" t="str">
        <f>'Voting Results'!$BM$1</f>
        <v>Vasiliset.Ma - A49</v>
      </c>
      <c r="B65" s="2">
        <f>SUM('Voting Results'!BM1:BM173)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hidden="1" min="1" max="1" width="22.0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</row>
    <row r="2">
      <c r="A2" s="4">
        <v>41427.31648148148</v>
      </c>
      <c r="B2" s="3" t="s">
        <v>67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3">
        <v>4.0</v>
      </c>
      <c r="R2" s="5"/>
      <c r="S2" s="5"/>
      <c r="T2" s="5"/>
      <c r="U2" s="5"/>
      <c r="V2" s="5"/>
      <c r="W2" s="3">
        <v>2.0</v>
      </c>
      <c r="X2" s="5"/>
      <c r="Y2" s="5"/>
      <c r="Z2" s="5"/>
      <c r="AA2" s="5"/>
      <c r="AB2" s="3">
        <v>3.0</v>
      </c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3">
        <v>1.0</v>
      </c>
      <c r="AT2" s="5"/>
      <c r="AU2" s="5"/>
      <c r="AV2" s="5"/>
      <c r="AW2" s="3">
        <v>5.0</v>
      </c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</row>
    <row r="3">
      <c r="A3" s="4">
        <v>41427.4402662037</v>
      </c>
      <c r="B3" s="3" t="s">
        <v>68</v>
      </c>
      <c r="C3" s="5"/>
      <c r="D3" s="5"/>
      <c r="E3" s="5"/>
      <c r="F3" s="5"/>
      <c r="G3" s="5"/>
      <c r="H3" s="5"/>
      <c r="I3" s="5"/>
      <c r="J3" s="3">
        <v>5.0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3">
        <v>4.0</v>
      </c>
      <c r="W3" s="5"/>
      <c r="X3" s="5"/>
      <c r="Y3" s="5"/>
      <c r="Z3" s="5"/>
      <c r="AA3" s="5"/>
      <c r="AB3" s="5"/>
      <c r="AC3" s="5"/>
      <c r="AD3" s="5"/>
      <c r="AE3" s="5"/>
      <c r="AF3" s="3">
        <v>1.0</v>
      </c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3">
        <v>3.0</v>
      </c>
      <c r="AW3" s="5"/>
      <c r="AX3" s="5"/>
      <c r="AY3" s="5"/>
      <c r="AZ3" s="5"/>
      <c r="BA3" s="5"/>
      <c r="BB3" s="5"/>
      <c r="BC3" s="5"/>
      <c r="BD3" s="5"/>
      <c r="BE3" s="3">
        <v>2.0</v>
      </c>
      <c r="BF3" s="5"/>
      <c r="BG3" s="5"/>
      <c r="BH3" s="5"/>
      <c r="BI3" s="5"/>
      <c r="BJ3" s="5"/>
      <c r="BK3" s="5"/>
      <c r="BL3" s="5"/>
      <c r="BM3" s="5"/>
      <c r="BN3" s="5"/>
      <c r="BO3" s="5"/>
    </row>
    <row r="4">
      <c r="A4" s="4">
        <v>41427.59508101852</v>
      </c>
      <c r="B4" s="3" t="s">
        <v>69</v>
      </c>
      <c r="C4" s="5"/>
      <c r="D4" s="5"/>
      <c r="E4" s="5"/>
      <c r="F4" s="5"/>
      <c r="G4" s="5"/>
      <c r="H4" s="3">
        <v>5.0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3">
        <v>3.0</v>
      </c>
      <c r="AP4" s="5"/>
      <c r="AQ4" s="3">
        <v>4.0</v>
      </c>
      <c r="AR4" s="5"/>
      <c r="AS4" s="5"/>
      <c r="AT4" s="5"/>
      <c r="AU4" s="5"/>
      <c r="AV4" s="3">
        <v>2.0</v>
      </c>
      <c r="AW4" s="5"/>
      <c r="AX4" s="5"/>
      <c r="AY4" s="5"/>
      <c r="AZ4" s="5"/>
      <c r="BA4" s="5"/>
      <c r="BB4" s="5"/>
      <c r="BC4" s="5"/>
      <c r="BD4" s="5"/>
      <c r="BE4" s="5"/>
      <c r="BF4" s="5"/>
      <c r="BG4" s="3">
        <v>1.0</v>
      </c>
      <c r="BH4" s="5"/>
      <c r="BI4" s="5"/>
      <c r="BJ4" s="5"/>
      <c r="BK4" s="5"/>
      <c r="BL4" s="5"/>
      <c r="BM4" s="5"/>
      <c r="BN4" s="5"/>
      <c r="BO4" s="5"/>
    </row>
    <row r="5">
      <c r="A5" s="4">
        <v>41427.758680555555</v>
      </c>
      <c r="B5" s="3" t="s">
        <v>70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3">
        <v>1.0</v>
      </c>
      <c r="AP5" s="3">
        <v>2.0</v>
      </c>
      <c r="AQ5" s="5"/>
      <c r="AR5" s="5"/>
      <c r="AS5" s="5"/>
      <c r="AT5" s="5"/>
      <c r="AU5" s="5"/>
      <c r="AV5" s="3">
        <v>5.0</v>
      </c>
      <c r="AW5" s="5"/>
      <c r="AX5" s="5"/>
      <c r="AY5" s="3">
        <v>3.0</v>
      </c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3">
        <v>4.0</v>
      </c>
    </row>
    <row r="6">
      <c r="A6" s="4">
        <v>41427.761041666665</v>
      </c>
      <c r="B6" s="3" t="s">
        <v>71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3">
        <v>5.0</v>
      </c>
      <c r="AA6" s="3">
        <v>4.0</v>
      </c>
      <c r="AB6" s="5"/>
      <c r="AC6" s="5"/>
      <c r="AD6" s="5"/>
      <c r="AE6" s="5"/>
      <c r="AF6" s="5"/>
      <c r="AG6" s="5"/>
      <c r="AH6" s="5"/>
      <c r="AI6" s="3">
        <v>1.0</v>
      </c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3">
        <v>2.0</v>
      </c>
      <c r="BG6" s="5"/>
      <c r="BH6" s="5"/>
      <c r="BI6" s="5"/>
      <c r="BJ6" s="5"/>
      <c r="BK6" s="5"/>
      <c r="BL6" s="5"/>
      <c r="BM6" s="5"/>
      <c r="BN6" s="3">
        <v>3.0</v>
      </c>
      <c r="BO6" s="5"/>
    </row>
    <row r="7">
      <c r="A7" s="4">
        <v>41427.767696759256</v>
      </c>
      <c r="B7" s="3" t="s">
        <v>72</v>
      </c>
      <c r="C7" s="5"/>
      <c r="D7" s="5"/>
      <c r="E7" s="5"/>
      <c r="F7" s="5"/>
      <c r="G7" s="5"/>
      <c r="H7" s="5"/>
      <c r="I7" s="5"/>
      <c r="J7" s="5"/>
      <c r="K7" s="5"/>
      <c r="L7" s="5"/>
      <c r="M7" s="3">
        <v>3.0</v>
      </c>
      <c r="N7" s="5"/>
      <c r="O7" s="5"/>
      <c r="P7" s="5"/>
      <c r="Q7" s="5"/>
      <c r="R7" s="5"/>
      <c r="S7" s="5"/>
      <c r="T7" s="5"/>
      <c r="U7" s="5"/>
      <c r="V7" s="5"/>
      <c r="W7" s="5"/>
      <c r="X7" s="3">
        <v>4.0</v>
      </c>
      <c r="Y7" s="5"/>
      <c r="Z7" s="5"/>
      <c r="AA7" s="3">
        <v>1.0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3">
        <v>5.0</v>
      </c>
      <c r="AP7" s="5"/>
      <c r="AQ7" s="5"/>
      <c r="AR7" s="5"/>
      <c r="AS7" s="5"/>
      <c r="AT7" s="5"/>
      <c r="AU7" s="3">
        <v>2.0</v>
      </c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</row>
    <row r="8">
      <c r="A8" s="4">
        <v>41427.79466435185</v>
      </c>
      <c r="B8" s="3" t="s">
        <v>73</v>
      </c>
      <c r="C8" s="3">
        <v>2.0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3">
        <v>3.0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3">
        <v>5.0</v>
      </c>
      <c r="AF8" s="5"/>
      <c r="AG8" s="5"/>
      <c r="AH8" s="5"/>
      <c r="AI8" s="3">
        <v>4.0</v>
      </c>
      <c r="AJ8" s="5"/>
      <c r="AK8" s="5"/>
      <c r="AL8" s="5"/>
      <c r="AM8" s="5"/>
      <c r="AN8" s="5"/>
      <c r="AO8" s="5"/>
      <c r="AP8" s="3">
        <v>1.0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</row>
    <row r="9">
      <c r="A9" s="4">
        <v>41428.34506944445</v>
      </c>
      <c r="B9" s="3" t="s">
        <v>74</v>
      </c>
      <c r="C9" s="5"/>
      <c r="D9" s="5"/>
      <c r="E9" s="5"/>
      <c r="F9" s="5"/>
      <c r="G9" s="5"/>
      <c r="H9" s="3">
        <v>1.0</v>
      </c>
      <c r="I9" s="3">
        <v>5.0</v>
      </c>
      <c r="J9" s="3">
        <v>2.0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3">
        <v>4.0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3">
        <v>3.0</v>
      </c>
      <c r="BI9" s="5"/>
      <c r="BJ9" s="5"/>
      <c r="BK9" s="5"/>
      <c r="BL9" s="5"/>
      <c r="BM9" s="5"/>
      <c r="BN9" s="5"/>
      <c r="BO9" s="5"/>
    </row>
    <row r="10">
      <c r="A10" s="4">
        <v>41428.36020833333</v>
      </c>
      <c r="B10" s="3" t="s">
        <v>75</v>
      </c>
      <c r="C10" s="5"/>
      <c r="D10" s="5"/>
      <c r="E10" s="5"/>
      <c r="F10" s="5"/>
      <c r="G10" s="5"/>
      <c r="H10" s="5"/>
      <c r="I10" s="3">
        <v>4.0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3">
        <v>5.0</v>
      </c>
      <c r="Y10" s="5"/>
      <c r="Z10" s="5"/>
      <c r="AA10" s="5"/>
      <c r="AB10" s="5"/>
      <c r="AC10" s="5"/>
      <c r="AD10" s="5"/>
      <c r="AE10" s="5"/>
      <c r="AF10" s="3">
        <v>2.0</v>
      </c>
      <c r="AG10" s="5"/>
      <c r="AH10" s="5"/>
      <c r="AI10" s="3">
        <v>1.0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3">
        <v>3.0</v>
      </c>
      <c r="BO10" s="5"/>
    </row>
    <row r="11">
      <c r="A11" s="4">
        <v>41428.41997685185</v>
      </c>
      <c r="B11" s="3" t="s">
        <v>76</v>
      </c>
      <c r="C11" s="5"/>
      <c r="D11" s="5"/>
      <c r="E11" s="5"/>
      <c r="F11" s="5"/>
      <c r="G11" s="5"/>
      <c r="H11" s="5"/>
      <c r="I11" s="5"/>
      <c r="J11" s="5"/>
      <c r="K11" s="3">
        <v>4.0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3">
        <v>2.0</v>
      </c>
      <c r="AP11" s="5"/>
      <c r="AQ11" s="5"/>
      <c r="AR11" s="5"/>
      <c r="AS11" s="5"/>
      <c r="AT11" s="5"/>
      <c r="AU11" s="5"/>
      <c r="AV11" s="3">
        <v>1.0</v>
      </c>
      <c r="AW11" s="5"/>
      <c r="AX11" s="3">
        <v>5.0</v>
      </c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3">
        <v>3.0</v>
      </c>
    </row>
    <row r="12">
      <c r="A12" s="4">
        <v>41429.300462962965</v>
      </c>
      <c r="B12" s="3" t="s">
        <v>77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3">
        <v>3.0</v>
      </c>
      <c r="Y12" s="5"/>
      <c r="Z12" s="5"/>
      <c r="AA12" s="5"/>
      <c r="AB12" s="5"/>
      <c r="AC12" s="3">
        <v>1.0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3">
        <v>1.0</v>
      </c>
      <c r="AT12" s="5"/>
      <c r="AU12" s="5"/>
      <c r="AV12" s="3">
        <v>4.0</v>
      </c>
      <c r="AW12" s="5"/>
      <c r="AX12" s="5"/>
      <c r="AY12" s="5"/>
      <c r="AZ12" s="5"/>
      <c r="BA12" s="3">
        <v>1.0</v>
      </c>
      <c r="BB12" s="5"/>
      <c r="BC12" s="5"/>
      <c r="BD12" s="5"/>
      <c r="BE12" s="3">
        <v>5.0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</row>
    <row r="13">
      <c r="A13" s="4">
        <v>41429.671319444446</v>
      </c>
      <c r="B13" s="3" t="s">
        <v>78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3">
        <v>3.0</v>
      </c>
      <c r="P13" s="3">
        <v>4.0</v>
      </c>
      <c r="Q13" s="5"/>
      <c r="R13" s="5"/>
      <c r="S13" s="5"/>
      <c r="T13" s="5"/>
      <c r="U13" s="5"/>
      <c r="V13" s="3">
        <v>2.0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3">
        <v>5.0</v>
      </c>
      <c r="AW13" s="5"/>
      <c r="AX13" s="5"/>
      <c r="AY13" s="5"/>
      <c r="AZ13" s="5"/>
      <c r="BA13" s="3">
        <v>1.0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</row>
    <row r="14">
      <c r="A14" s="4">
        <v>41429.88752314815</v>
      </c>
      <c r="B14" s="3" t="s">
        <v>79</v>
      </c>
      <c r="C14" s="5"/>
      <c r="D14" s="5"/>
      <c r="E14" s="5"/>
      <c r="F14" s="5"/>
      <c r="G14" s="5"/>
      <c r="H14" s="3">
        <v>1.0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3">
        <v>5.0</v>
      </c>
      <c r="U14" s="5"/>
      <c r="V14" s="5"/>
      <c r="W14" s="5"/>
      <c r="X14" s="5"/>
      <c r="Y14" s="5"/>
      <c r="Z14" s="5"/>
      <c r="AA14" s="5"/>
      <c r="AB14" s="5"/>
      <c r="AC14" s="3">
        <v>2.0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3">
        <v>3.0</v>
      </c>
      <c r="BF14" s="5"/>
      <c r="BG14" s="3">
        <v>4.0</v>
      </c>
      <c r="BH14" s="5"/>
      <c r="BI14" s="5"/>
      <c r="BJ14" s="5"/>
      <c r="BK14" s="5"/>
      <c r="BL14" s="5"/>
      <c r="BM14" s="5"/>
      <c r="BN14" s="5"/>
      <c r="BO14" s="5"/>
    </row>
    <row r="15">
      <c r="A15" s="4">
        <v>41430.9281712963</v>
      </c>
      <c r="B15" s="3" t="s">
        <v>80</v>
      </c>
      <c r="C15" s="5"/>
      <c r="D15" s="5"/>
      <c r="E15" s="5"/>
      <c r="F15" s="5"/>
      <c r="G15" s="5"/>
      <c r="H15" s="5"/>
      <c r="I15" s="5"/>
      <c r="J15" s="3">
        <v>5.0</v>
      </c>
      <c r="K15" s="5"/>
      <c r="L15" s="5"/>
      <c r="M15" s="5"/>
      <c r="N15" s="5"/>
      <c r="O15" s="5"/>
      <c r="P15" s="5"/>
      <c r="Q15" s="3">
        <v>1.0</v>
      </c>
      <c r="R15" s="5"/>
      <c r="S15" s="5"/>
      <c r="T15" s="3">
        <v>2.0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3">
        <v>4.0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3">
        <v>3.0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</row>
    <row r="16">
      <c r="A16" s="4">
        <v>41431.06123842593</v>
      </c>
      <c r="B16" s="3" t="s">
        <v>81</v>
      </c>
      <c r="C16" s="5"/>
      <c r="D16" s="5"/>
      <c r="E16" s="5"/>
      <c r="F16" s="3">
        <v>1.0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3">
        <v>3.0</v>
      </c>
      <c r="AG16" s="3">
        <v>4.0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3">
        <v>2.0</v>
      </c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3">
        <v>5.0</v>
      </c>
      <c r="BH16" s="5"/>
      <c r="BI16" s="5"/>
      <c r="BJ16" s="5"/>
      <c r="BK16" s="5"/>
      <c r="BL16" s="5"/>
      <c r="BM16" s="5"/>
      <c r="BN16" s="5"/>
      <c r="BO16" s="5"/>
    </row>
    <row r="17">
      <c r="A17" s="4">
        <v>41431.17320601852</v>
      </c>
      <c r="B17" s="3" t="s">
        <v>82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3">
        <v>5.0</v>
      </c>
      <c r="R17" s="5"/>
      <c r="S17" s="5"/>
      <c r="T17" s="3">
        <v>4.0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3">
        <v>3.0</v>
      </c>
      <c r="AK17" s="5"/>
      <c r="AL17" s="5"/>
      <c r="AM17" s="5"/>
      <c r="AN17" s="5"/>
      <c r="AO17" s="5"/>
      <c r="AP17" s="5"/>
      <c r="AQ17" s="3">
        <v>1.0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3">
        <v>2.0</v>
      </c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</row>
    <row r="18">
      <c r="A18" s="4">
        <v>41431.374710648146</v>
      </c>
      <c r="B18" s="3" t="s">
        <v>83</v>
      </c>
      <c r="C18" s="5"/>
      <c r="D18" s="5"/>
      <c r="E18" s="3">
        <v>4.0</v>
      </c>
      <c r="F18" s="5"/>
      <c r="G18" s="5"/>
      <c r="H18" s="5"/>
      <c r="I18" s="5"/>
      <c r="J18" s="5"/>
      <c r="K18" s="5"/>
      <c r="L18" s="3">
        <v>3.0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3">
        <v>5.0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3">
        <v>2.0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3">
        <v>1.0</v>
      </c>
      <c r="BK18" s="5"/>
      <c r="BL18" s="5"/>
      <c r="BM18" s="5"/>
      <c r="BN18" s="5"/>
      <c r="BO18" s="5"/>
    </row>
    <row r="19">
      <c r="A19" s="4">
        <v>41431.41006944444</v>
      </c>
      <c r="B19" s="3" t="s">
        <v>84</v>
      </c>
      <c r="C19" s="5"/>
      <c r="D19" s="3">
        <v>4.0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3">
        <v>5.0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3">
        <v>3.0</v>
      </c>
      <c r="AU19" s="5"/>
      <c r="AV19" s="5"/>
      <c r="AW19" s="5"/>
      <c r="AX19" s="5"/>
      <c r="AY19" s="5"/>
      <c r="AZ19" s="5"/>
      <c r="BA19" s="5"/>
      <c r="BB19" s="5"/>
      <c r="BC19" s="5"/>
      <c r="BD19" s="3">
        <v>1.0</v>
      </c>
      <c r="BE19" s="5"/>
      <c r="BF19" s="5"/>
      <c r="BG19" s="3">
        <v>2.0</v>
      </c>
      <c r="BH19" s="5"/>
      <c r="BI19" s="5"/>
      <c r="BJ19" s="5"/>
      <c r="BK19" s="5"/>
      <c r="BL19" s="5"/>
      <c r="BM19" s="5"/>
      <c r="BN19" s="5"/>
      <c r="BO19" s="5"/>
    </row>
    <row r="20">
      <c r="A20" s="4">
        <v>41431.74736111111</v>
      </c>
      <c r="B20" s="3" t="s">
        <v>85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3">
        <v>5.0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3">
        <v>4.0</v>
      </c>
      <c r="AK20" s="5"/>
      <c r="AL20" s="5"/>
      <c r="AM20" s="5"/>
      <c r="AN20" s="5"/>
      <c r="AO20" s="3">
        <v>1.0</v>
      </c>
      <c r="AP20" s="5"/>
      <c r="AQ20" s="5"/>
      <c r="AR20" s="5"/>
      <c r="AS20" s="5"/>
      <c r="AT20" s="5"/>
      <c r="AU20" s="5"/>
      <c r="AV20" s="5"/>
      <c r="AW20" s="3">
        <v>3.0</v>
      </c>
      <c r="AX20" s="5"/>
      <c r="AY20" s="5"/>
      <c r="AZ20" s="5"/>
      <c r="BA20" s="5"/>
      <c r="BB20" s="5"/>
      <c r="BC20" s="5"/>
      <c r="BD20" s="5"/>
      <c r="BE20" s="3">
        <v>2.0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</row>
    <row r="21">
      <c r="A21" s="4">
        <v>41431.88799768518</v>
      </c>
      <c r="B21" s="3" t="s">
        <v>86</v>
      </c>
      <c r="C21" s="5"/>
      <c r="D21" s="5"/>
      <c r="E21" s="5"/>
      <c r="F21" s="5"/>
      <c r="G21" s="5"/>
      <c r="H21" s="3">
        <v>1.0</v>
      </c>
      <c r="I21" s="5"/>
      <c r="J21" s="5"/>
      <c r="K21" s="5"/>
      <c r="L21" s="5"/>
      <c r="M21" s="5"/>
      <c r="N21" s="5"/>
      <c r="O21" s="5"/>
      <c r="P21" s="3">
        <v>3.0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3">
        <v>4.0</v>
      </c>
      <c r="AD21" s="5"/>
      <c r="AE21" s="5"/>
      <c r="AF21" s="5"/>
      <c r="AG21" s="3">
        <v>2.0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3">
        <v>5.0</v>
      </c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</row>
    <row r="22">
      <c r="A22" s="4">
        <v>41432.17837962963</v>
      </c>
      <c r="B22" s="3" t="s">
        <v>87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3">
        <v>5.0</v>
      </c>
      <c r="R22" s="5"/>
      <c r="S22" s="5"/>
      <c r="T22" s="5"/>
      <c r="U22" s="5"/>
      <c r="V22" s="5"/>
      <c r="W22" s="5"/>
      <c r="X22" s="5"/>
      <c r="Y22" s="5"/>
      <c r="Z22" s="3">
        <v>3.0</v>
      </c>
      <c r="AA22" s="3">
        <v>2.0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3">
        <v>4.0</v>
      </c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3">
        <v>1.0</v>
      </c>
      <c r="BK22" s="5"/>
      <c r="BL22" s="5"/>
      <c r="BM22" s="5"/>
      <c r="BN22" s="5"/>
      <c r="BO22" s="5"/>
    </row>
    <row r="23">
      <c r="A23" s="4">
        <v>41432.53092592592</v>
      </c>
      <c r="B23" s="3" t="s">
        <v>88</v>
      </c>
      <c r="C23" s="5"/>
      <c r="D23" s="5"/>
      <c r="E23" s="5"/>
      <c r="F23" s="5"/>
      <c r="G23" s="5"/>
      <c r="H23" s="5"/>
      <c r="I23" s="5"/>
      <c r="J23" s="3">
        <v>4.0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3">
        <v>1.0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3">
        <v>5.0</v>
      </c>
      <c r="AW23" s="5"/>
      <c r="AX23" s="5"/>
      <c r="AY23" s="5"/>
      <c r="AZ23" s="5"/>
      <c r="BA23" s="3">
        <v>3.0</v>
      </c>
      <c r="BB23" s="5"/>
      <c r="BC23" s="5"/>
      <c r="BD23" s="5"/>
      <c r="BE23" s="5"/>
      <c r="BF23" s="5"/>
      <c r="BG23" s="5"/>
      <c r="BH23" s="5"/>
      <c r="BI23" s="5"/>
      <c r="BJ23" s="5"/>
      <c r="BK23" s="3">
        <v>2.0</v>
      </c>
      <c r="BL23" s="5"/>
      <c r="BM23" s="5"/>
      <c r="BN23" s="5"/>
      <c r="BO23" s="5"/>
    </row>
    <row r="24">
      <c r="A24" s="4">
        <v>41433.14606481481</v>
      </c>
      <c r="B24" s="3" t="s">
        <v>89</v>
      </c>
      <c r="C24" s="5"/>
      <c r="D24" s="5"/>
      <c r="E24" s="5"/>
      <c r="F24" s="5"/>
      <c r="G24" s="5"/>
      <c r="H24" s="5"/>
      <c r="I24" s="5"/>
      <c r="J24" s="3">
        <v>5.0</v>
      </c>
      <c r="K24" s="5"/>
      <c r="L24" s="5"/>
      <c r="M24" s="5"/>
      <c r="N24" s="5"/>
      <c r="O24" s="5"/>
      <c r="P24" s="5"/>
      <c r="Q24" s="5"/>
      <c r="R24" s="5"/>
      <c r="S24" s="5"/>
      <c r="T24" s="3">
        <v>1.0</v>
      </c>
      <c r="U24" s="5"/>
      <c r="V24" s="5"/>
      <c r="W24" s="5"/>
      <c r="X24" s="3">
        <v>3.0</v>
      </c>
      <c r="Y24" s="5"/>
      <c r="Z24" s="5"/>
      <c r="AA24" s="5"/>
      <c r="AB24" s="5"/>
      <c r="AC24" s="5"/>
      <c r="AD24" s="5"/>
      <c r="AE24" s="5"/>
      <c r="AF24" s="5"/>
      <c r="AG24" s="3">
        <v>4.0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3">
        <v>2.0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</row>
    <row r="25">
      <c r="A25" s="4">
        <v>41433.66881944444</v>
      </c>
      <c r="B25" s="3" t="s">
        <v>90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3">
        <v>1.0</v>
      </c>
      <c r="R25" s="5"/>
      <c r="S25" s="5"/>
      <c r="T25" s="5"/>
      <c r="U25" s="5"/>
      <c r="V25" s="5"/>
      <c r="W25" s="3">
        <v>5.0</v>
      </c>
      <c r="X25" s="5"/>
      <c r="Y25" s="5"/>
      <c r="Z25" s="5"/>
      <c r="AA25" s="5"/>
      <c r="AB25" s="5"/>
      <c r="AC25" s="5"/>
      <c r="AD25" s="5"/>
      <c r="AE25" s="5"/>
      <c r="AF25" s="3">
        <v>3.0</v>
      </c>
      <c r="AG25" s="5"/>
      <c r="AH25" s="5"/>
      <c r="AI25" s="5"/>
      <c r="AJ25" s="3">
        <v>4.0</v>
      </c>
      <c r="AK25" s="5"/>
      <c r="AL25" s="3">
        <v>2.0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</row>
    <row r="26">
      <c r="A26" s="4">
        <v>41434.3215625</v>
      </c>
      <c r="B26" s="3" t="s">
        <v>91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3">
        <v>5.0</v>
      </c>
      <c r="AA26" s="5"/>
      <c r="AB26" s="5"/>
      <c r="AC26" s="5"/>
      <c r="AD26" s="5"/>
      <c r="AE26" s="5"/>
      <c r="AF26" s="5"/>
      <c r="AG26" s="3">
        <v>3.0</v>
      </c>
      <c r="AH26" s="5"/>
      <c r="AI26" s="5"/>
      <c r="AJ26" s="5"/>
      <c r="AK26" s="5"/>
      <c r="AL26" s="5"/>
      <c r="AM26" s="5"/>
      <c r="AN26" s="5"/>
      <c r="AO26" s="5"/>
      <c r="AP26" s="5"/>
      <c r="AQ26" s="3">
        <v>2.0</v>
      </c>
      <c r="AR26" s="5"/>
      <c r="AS26" s="5"/>
      <c r="AT26" s="5"/>
      <c r="AU26" s="5"/>
      <c r="AV26" s="3">
        <v>4.0</v>
      </c>
      <c r="AW26" s="5"/>
      <c r="AX26" s="5"/>
      <c r="AY26" s="5"/>
      <c r="AZ26" s="5"/>
      <c r="BA26" s="5"/>
      <c r="BB26" s="5"/>
      <c r="BC26" s="5"/>
      <c r="BD26" s="5"/>
      <c r="BE26" s="5"/>
      <c r="BF26" s="3">
        <v>1.0</v>
      </c>
      <c r="BG26" s="5"/>
      <c r="BH26" s="5"/>
      <c r="BI26" s="5"/>
      <c r="BJ26" s="5"/>
      <c r="BK26" s="5"/>
      <c r="BL26" s="5"/>
      <c r="BM26" s="5"/>
      <c r="BN26" s="5"/>
      <c r="BO26" s="5"/>
    </row>
    <row r="27">
      <c r="A27" s="4">
        <v>41434.37541666667</v>
      </c>
      <c r="B27" s="3" t="s">
        <v>92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3">
        <v>5.0</v>
      </c>
      <c r="R27" s="5"/>
      <c r="S27" s="5"/>
      <c r="T27" s="5"/>
      <c r="U27" s="5"/>
      <c r="V27" s="3">
        <v>3.0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3">
        <v>4.0</v>
      </c>
      <c r="AX27" s="5"/>
      <c r="AY27" s="3">
        <v>2.0</v>
      </c>
      <c r="AZ27" s="5"/>
      <c r="BA27" s="5"/>
      <c r="BB27" s="5"/>
      <c r="BC27" s="5"/>
      <c r="BD27" s="5"/>
      <c r="BE27" s="5"/>
      <c r="BF27" s="3">
        <v>1.0</v>
      </c>
      <c r="BG27" s="5"/>
      <c r="BH27" s="5"/>
      <c r="BI27" s="5"/>
      <c r="BJ27" s="5"/>
      <c r="BK27" s="5"/>
      <c r="BL27" s="5"/>
      <c r="BM27" s="5"/>
      <c r="BN27" s="5"/>
      <c r="BO27" s="5"/>
    </row>
    <row r="28">
      <c r="A28" s="4">
        <v>41434.51802083333</v>
      </c>
      <c r="B28" s="3" t="s">
        <v>93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3">
        <v>2.0</v>
      </c>
      <c r="V28" s="3">
        <v>4.0</v>
      </c>
      <c r="W28" s="3">
        <v>5.0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3">
        <v>3.0</v>
      </c>
      <c r="AX28" s="5"/>
      <c r="AY28" s="5"/>
      <c r="AZ28" s="5"/>
      <c r="BA28" s="3">
        <v>1.0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</row>
    <row r="29">
      <c r="A29" s="4">
        <v>41434.9190625</v>
      </c>
      <c r="B29" s="3" t="s">
        <v>94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3">
        <v>4.0</v>
      </c>
      <c r="W29" s="5"/>
      <c r="X29" s="5"/>
      <c r="Y29" s="5"/>
      <c r="Z29" s="5"/>
      <c r="AA29" s="5"/>
      <c r="AB29" s="5"/>
      <c r="AC29" s="3">
        <v>2.0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3">
        <v>5.0</v>
      </c>
      <c r="AP29" s="5"/>
      <c r="AQ29" s="5"/>
      <c r="AR29" s="5"/>
      <c r="AS29" s="5"/>
      <c r="AT29" s="3">
        <v>3.0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3">
        <v>1.0</v>
      </c>
      <c r="BM29" s="5"/>
      <c r="BN29" s="5"/>
      <c r="BO29" s="5"/>
    </row>
    <row r="30">
      <c r="A30" s="4">
        <v>41434.94395833334</v>
      </c>
      <c r="B30" s="3" t="s">
        <v>95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3">
        <v>4.0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3">
        <v>1.0</v>
      </c>
      <c r="AV30" s="5"/>
      <c r="AW30" s="5"/>
      <c r="AX30" s="5"/>
      <c r="AY30" s="5"/>
      <c r="AZ30" s="5"/>
      <c r="BA30" s="5"/>
      <c r="BB30" s="3">
        <v>3.0</v>
      </c>
      <c r="BC30" s="5"/>
      <c r="BD30" s="5"/>
      <c r="BE30" s="3">
        <v>5.0</v>
      </c>
      <c r="BF30" s="3">
        <v>2.0</v>
      </c>
      <c r="BG30" s="5"/>
      <c r="BH30" s="5"/>
      <c r="BI30" s="5"/>
      <c r="BJ30" s="5"/>
      <c r="BK30" s="5"/>
      <c r="BL30" s="5"/>
      <c r="BM30" s="5"/>
      <c r="BN30" s="5"/>
      <c r="BO30" s="5"/>
    </row>
    <row r="31">
      <c r="A31" s="4">
        <v>41434.999606481484</v>
      </c>
      <c r="B31" s="3" t="s">
        <v>96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3">
        <v>4.0</v>
      </c>
      <c r="AD31" s="5"/>
      <c r="AE31" s="5"/>
      <c r="AF31" s="3">
        <v>3.0</v>
      </c>
      <c r="AG31" s="5"/>
      <c r="AH31" s="3">
        <v>1.0</v>
      </c>
      <c r="AI31" s="5"/>
      <c r="AJ31" s="5"/>
      <c r="AK31" s="5"/>
      <c r="AL31" s="5"/>
      <c r="AM31" s="5"/>
      <c r="AN31" s="5"/>
      <c r="AO31" s="3">
        <v>5.0</v>
      </c>
      <c r="AP31" s="5"/>
      <c r="AQ31" s="5"/>
      <c r="AR31" s="5"/>
      <c r="AS31" s="5"/>
      <c r="AT31" s="5"/>
      <c r="AU31" s="5"/>
      <c r="AV31" s="3">
        <v>2.0</v>
      </c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</row>
    <row r="32">
      <c r="A32" s="4">
        <v>41435.32398148148</v>
      </c>
      <c r="B32" s="3" t="s">
        <v>97</v>
      </c>
      <c r="C32" s="3">
        <v>5.0</v>
      </c>
      <c r="D32" s="5"/>
      <c r="E32" s="5"/>
      <c r="F32" s="5"/>
      <c r="G32" s="5"/>
      <c r="H32" s="3">
        <v>4.0</v>
      </c>
      <c r="I32" s="5"/>
      <c r="J32" s="3">
        <v>3.0</v>
      </c>
      <c r="K32" s="5"/>
      <c r="L32" s="5"/>
      <c r="M32" s="5"/>
      <c r="N32" s="5"/>
      <c r="O32" s="5"/>
      <c r="P32" s="5"/>
      <c r="Q32" s="5"/>
      <c r="R32" s="3">
        <v>2.0</v>
      </c>
      <c r="S32" s="5"/>
      <c r="T32" s="5"/>
      <c r="U32" s="5"/>
      <c r="V32" s="5"/>
      <c r="W32" s="5"/>
      <c r="X32" s="5"/>
      <c r="Y32" s="5"/>
      <c r="Z32" s="3">
        <v>1.0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</row>
    <row r="33">
      <c r="A33" s="4">
        <v>41435.40556712963</v>
      </c>
      <c r="B33" s="3" t="s">
        <v>98</v>
      </c>
      <c r="C33" s="5"/>
      <c r="D33" s="5"/>
      <c r="E33" s="5"/>
      <c r="F33" s="5"/>
      <c r="G33" s="5"/>
      <c r="H33" s="3">
        <v>4.0</v>
      </c>
      <c r="I33" s="5"/>
      <c r="J33" s="5"/>
      <c r="K33" s="5"/>
      <c r="L33" s="5"/>
      <c r="M33" s="5"/>
      <c r="N33" s="5"/>
      <c r="O33" s="5"/>
      <c r="P33" s="3">
        <v>5.0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3">
        <v>1.0</v>
      </c>
      <c r="BD33" s="5"/>
      <c r="BE33" s="5"/>
      <c r="BF33" s="5"/>
      <c r="BG33" s="3">
        <v>3.0</v>
      </c>
      <c r="BH33" s="5"/>
      <c r="BI33" s="5"/>
      <c r="BJ33" s="5"/>
      <c r="BK33" s="5"/>
      <c r="BL33" s="5"/>
      <c r="BM33" s="5"/>
      <c r="BN33" s="5"/>
      <c r="BO33" s="3">
        <v>2.0</v>
      </c>
    </row>
    <row r="34">
      <c r="A34" s="4">
        <v>41435.77787037037</v>
      </c>
      <c r="B34" s="3" t="s">
        <v>99</v>
      </c>
      <c r="C34" s="5"/>
      <c r="D34" s="5"/>
      <c r="E34" s="5"/>
      <c r="F34" s="5"/>
      <c r="G34" s="5"/>
      <c r="H34" s="3">
        <v>4.0</v>
      </c>
      <c r="I34" s="5"/>
      <c r="J34" s="5"/>
      <c r="K34" s="3">
        <v>2.0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3">
        <v>5.0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3">
        <v>3.0</v>
      </c>
      <c r="AP34" s="5"/>
      <c r="AQ34" s="5"/>
      <c r="AR34" s="5"/>
      <c r="AS34" s="5"/>
      <c r="AT34" s="5"/>
      <c r="AU34" s="5"/>
      <c r="AV34" s="3">
        <v>1.0</v>
      </c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</row>
    <row r="35">
      <c r="A35" s="4">
        <v>41436.49386574074</v>
      </c>
      <c r="B35" s="3" t="s">
        <v>100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3">
        <v>2.0</v>
      </c>
      <c r="Q35" s="5"/>
      <c r="R35" s="5"/>
      <c r="S35" s="5"/>
      <c r="T35" s="5"/>
      <c r="U35" s="5"/>
      <c r="V35" s="5"/>
      <c r="W35" s="5"/>
      <c r="X35" s="5"/>
      <c r="Y35" s="3">
        <v>5.0</v>
      </c>
      <c r="Z35" s="5"/>
      <c r="AA35" s="5"/>
      <c r="AB35" s="5"/>
      <c r="AC35" s="5"/>
      <c r="AD35" s="5"/>
      <c r="AE35" s="5"/>
      <c r="AF35" s="5"/>
      <c r="AG35" s="3">
        <v>3.0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3">
        <v>4.0</v>
      </c>
      <c r="BC35" s="5"/>
      <c r="BD35" s="3">
        <v>1.0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</row>
    <row r="36">
      <c r="A36" s="4">
        <v>41437.10050925926</v>
      </c>
      <c r="B36" s="3" t="s">
        <v>101</v>
      </c>
      <c r="C36" s="5"/>
      <c r="D36" s="5"/>
      <c r="E36" s="5"/>
      <c r="F36" s="5"/>
      <c r="G36" s="5"/>
      <c r="H36" s="5"/>
      <c r="I36" s="3">
        <v>2.0</v>
      </c>
      <c r="J36" s="5"/>
      <c r="K36" s="5"/>
      <c r="L36" s="5"/>
      <c r="M36" s="5"/>
      <c r="N36" s="5"/>
      <c r="O36" s="5"/>
      <c r="P36" s="3">
        <v>1.0</v>
      </c>
      <c r="Q36" s="5"/>
      <c r="R36" s="5"/>
      <c r="S36" s="5"/>
      <c r="T36" s="3">
        <v>5.0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3">
        <v>4.0</v>
      </c>
      <c r="AN36" s="5"/>
      <c r="AO36" s="5"/>
      <c r="AP36" s="5"/>
      <c r="AQ36" s="5"/>
      <c r="AR36" s="5"/>
      <c r="AS36" s="5"/>
      <c r="AT36" s="5"/>
      <c r="AU36" s="5"/>
      <c r="AV36" s="3">
        <v>3.0</v>
      </c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</row>
    <row r="37">
      <c r="A37" s="4">
        <v>41437.235659722224</v>
      </c>
      <c r="B37" s="3" t="s">
        <v>102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3">
        <v>5.0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3">
        <v>4.0</v>
      </c>
      <c r="AV37" s="3">
        <v>2.0</v>
      </c>
      <c r="AW37" s="5"/>
      <c r="AX37" s="5"/>
      <c r="AY37" s="3">
        <v>1.0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3">
        <v>3.0</v>
      </c>
    </row>
    <row r="38">
      <c r="A38" s="4">
        <v>41437.56396990741</v>
      </c>
      <c r="B38" s="3" t="s">
        <v>103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3">
        <v>2.0</v>
      </c>
      <c r="AG38" s="3">
        <v>5.0</v>
      </c>
      <c r="AH38" s="5"/>
      <c r="AI38" s="5"/>
      <c r="AJ38" s="3">
        <v>4.0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3">
        <v>3.0</v>
      </c>
      <c r="BF38" s="5"/>
      <c r="BG38" s="5"/>
      <c r="BH38" s="5"/>
      <c r="BI38" s="5"/>
      <c r="BJ38" s="5"/>
      <c r="BK38" s="5"/>
      <c r="BL38" s="5"/>
      <c r="BM38" s="5"/>
      <c r="BN38" s="5"/>
      <c r="BO38" s="3">
        <v>1.0</v>
      </c>
    </row>
    <row r="39">
      <c r="A39" s="4">
        <v>41438.191296296296</v>
      </c>
      <c r="B39" s="3" t="s">
        <v>104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3">
        <v>3.0</v>
      </c>
      <c r="R39" s="5"/>
      <c r="S39" s="5"/>
      <c r="T39" s="3">
        <v>2.0</v>
      </c>
      <c r="U39" s="5"/>
      <c r="V39" s="5"/>
      <c r="W39" s="5"/>
      <c r="X39" s="5"/>
      <c r="Y39" s="5"/>
      <c r="Z39" s="3">
        <v>4.0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3">
        <v>1.0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3">
        <v>5.0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</row>
    <row r="40">
      <c r="A40" s="4">
        <v>41438.26173611111</v>
      </c>
      <c r="B40" s="3" t="s">
        <v>105</v>
      </c>
      <c r="C40" s="5"/>
      <c r="D40" s="3">
        <v>4.0</v>
      </c>
      <c r="E40" s="3">
        <v>2.0</v>
      </c>
      <c r="F40" s="5"/>
      <c r="G40" s="5"/>
      <c r="H40" s="3">
        <v>5.0</v>
      </c>
      <c r="I40" s="5"/>
      <c r="J40" s="5"/>
      <c r="K40" s="5"/>
      <c r="L40" s="5"/>
      <c r="M40" s="5"/>
      <c r="N40" s="5"/>
      <c r="O40" s="3">
        <v>3.0</v>
      </c>
      <c r="P40" s="5"/>
      <c r="Q40" s="5"/>
      <c r="R40" s="5"/>
      <c r="S40" s="5"/>
      <c r="T40" s="5"/>
      <c r="U40" s="5"/>
      <c r="V40" s="5"/>
      <c r="W40" s="5"/>
      <c r="X40" s="3">
        <v>1.0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</row>
    <row r="41">
      <c r="A41" s="4">
        <v>41438.39366898148</v>
      </c>
      <c r="B41" s="3" t="s">
        <v>106</v>
      </c>
      <c r="C41" s="5"/>
      <c r="D41" s="5"/>
      <c r="E41" s="5"/>
      <c r="F41" s="5"/>
      <c r="G41" s="5"/>
      <c r="H41" s="5"/>
      <c r="I41" s="5"/>
      <c r="J41" s="3">
        <v>4.0</v>
      </c>
      <c r="K41" s="5"/>
      <c r="L41" s="5"/>
      <c r="M41" s="5"/>
      <c r="N41" s="5"/>
      <c r="O41" s="5"/>
      <c r="P41" s="5"/>
      <c r="Q41" s="5"/>
      <c r="R41" s="5"/>
      <c r="S41" s="5"/>
      <c r="T41" s="3">
        <v>2.0</v>
      </c>
      <c r="U41" s="5"/>
      <c r="V41" s="5"/>
      <c r="W41" s="5"/>
      <c r="X41" s="5"/>
      <c r="Y41" s="5"/>
      <c r="Z41" s="3">
        <v>1.0</v>
      </c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3">
        <v>5.0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3">
        <v>3.0</v>
      </c>
    </row>
    <row r="42">
      <c r="A42" s="4">
        <v>41438.621458333335</v>
      </c>
      <c r="B42" s="3" t="s">
        <v>107</v>
      </c>
      <c r="C42" s="5"/>
      <c r="D42" s="5"/>
      <c r="E42" s="5"/>
      <c r="F42" s="5"/>
      <c r="G42" s="5"/>
      <c r="H42" s="5"/>
      <c r="I42" s="3">
        <v>4.0</v>
      </c>
      <c r="J42" s="5"/>
      <c r="K42" s="5"/>
      <c r="L42" s="5"/>
      <c r="M42" s="5"/>
      <c r="N42" s="5"/>
      <c r="O42" s="5"/>
      <c r="P42" s="5"/>
      <c r="Q42" s="3">
        <v>1.0</v>
      </c>
      <c r="R42" s="5"/>
      <c r="S42" s="5"/>
      <c r="T42" s="5"/>
      <c r="U42" s="5"/>
      <c r="V42" s="5"/>
      <c r="W42" s="5"/>
      <c r="X42" s="3">
        <v>2.0</v>
      </c>
      <c r="Y42" s="5"/>
      <c r="Z42" s="5"/>
      <c r="AA42" s="5"/>
      <c r="AB42" s="5"/>
      <c r="AC42" s="5"/>
      <c r="AD42" s="5"/>
      <c r="AE42" s="5"/>
      <c r="AF42" s="5"/>
      <c r="AG42" s="3">
        <v>5.0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3">
        <v>3.0</v>
      </c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</row>
    <row r="43">
      <c r="A43" s="4">
        <v>41439.015625</v>
      </c>
      <c r="B43" s="3" t="s">
        <v>108</v>
      </c>
      <c r="C43" s="5"/>
      <c r="D43" s="5"/>
      <c r="E43" s="5"/>
      <c r="F43" s="5"/>
      <c r="G43" s="5"/>
      <c r="H43" s="5"/>
      <c r="I43" s="5"/>
      <c r="J43" s="3">
        <v>4.0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3">
        <v>3.0</v>
      </c>
      <c r="AP43" s="5"/>
      <c r="AQ43" s="5"/>
      <c r="AR43" s="5"/>
      <c r="AS43" s="5"/>
      <c r="AT43" s="5"/>
      <c r="AU43" s="5"/>
      <c r="AV43" s="3">
        <v>5.0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>
        <v>1.0</v>
      </c>
      <c r="BM43" s="5"/>
      <c r="BN43" s="5"/>
      <c r="BO43" s="3">
        <v>2.0</v>
      </c>
    </row>
    <row r="44">
      <c r="A44" s="4">
        <v>41439.05474537037</v>
      </c>
      <c r="B44" s="3" t="s">
        <v>109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3">
        <v>1.0</v>
      </c>
      <c r="U44" s="5"/>
      <c r="V44" s="3">
        <v>4.0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3">
        <v>2.0</v>
      </c>
      <c r="AQ44" s="5"/>
      <c r="AR44" s="5"/>
      <c r="AS44" s="3">
        <v>3.0</v>
      </c>
      <c r="AT44" s="5"/>
      <c r="AU44" s="5"/>
      <c r="AV44" s="5"/>
      <c r="AW44" s="3">
        <v>5.0</v>
      </c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</row>
    <row r="45">
      <c r="A45" s="4">
        <v>41439.51482638889</v>
      </c>
      <c r="B45" s="3" t="s">
        <v>110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3">
        <v>3.0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3">
        <v>5.0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3">
        <v>2.0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3">
        <v>4.0</v>
      </c>
      <c r="BC45" s="5"/>
      <c r="BD45" s="5"/>
      <c r="BE45" s="5"/>
      <c r="BF45" s="5"/>
      <c r="BG45" s="5"/>
      <c r="BH45" s="5"/>
      <c r="BI45" s="5"/>
      <c r="BJ45" s="3">
        <v>1.0</v>
      </c>
      <c r="BK45" s="5"/>
      <c r="BL45" s="5"/>
      <c r="BM45" s="5"/>
      <c r="BN45" s="5"/>
      <c r="BO45" s="5"/>
    </row>
    <row r="46">
      <c r="A46" s="4">
        <v>41439.615590277775</v>
      </c>
      <c r="B46" s="3" t="s">
        <v>111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3">
        <v>4.0</v>
      </c>
      <c r="Q46" s="5"/>
      <c r="R46" s="5"/>
      <c r="S46" s="5"/>
      <c r="T46" s="5"/>
      <c r="U46" s="5"/>
      <c r="V46" s="5"/>
      <c r="W46" s="5"/>
      <c r="X46" s="5"/>
      <c r="Y46" s="5"/>
      <c r="Z46" s="3">
        <v>3.0</v>
      </c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3">
        <v>2.0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3">
        <v>1.0</v>
      </c>
      <c r="BD46" s="5"/>
      <c r="BE46" s="5"/>
      <c r="BF46" s="3">
        <v>5.0</v>
      </c>
      <c r="BG46" s="5"/>
      <c r="BH46" s="5"/>
      <c r="BI46" s="5"/>
      <c r="BJ46" s="5"/>
      <c r="BK46" s="5"/>
      <c r="BL46" s="5"/>
      <c r="BM46" s="5"/>
      <c r="BN46" s="5"/>
      <c r="BO46" s="5"/>
    </row>
    <row r="47">
      <c r="A47" s="4">
        <v>41439.64078703704</v>
      </c>
      <c r="B47" s="3" t="s">
        <v>112</v>
      </c>
      <c r="C47" s="5"/>
      <c r="D47" s="5"/>
      <c r="E47" s="5"/>
      <c r="F47" s="5"/>
      <c r="G47" s="5"/>
      <c r="H47" s="3">
        <v>2.0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3">
        <v>4.0</v>
      </c>
      <c r="AQ47" s="5"/>
      <c r="AR47" s="5"/>
      <c r="AS47" s="5"/>
      <c r="AT47" s="5"/>
      <c r="AU47" s="5"/>
      <c r="AV47" s="5"/>
      <c r="AW47" s="5"/>
      <c r="AX47" s="3">
        <v>3.0</v>
      </c>
      <c r="AY47" s="5"/>
      <c r="AZ47" s="5"/>
      <c r="BA47" s="5"/>
      <c r="BB47" s="3">
        <v>5.0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3">
        <v>1.0</v>
      </c>
    </row>
    <row r="48">
      <c r="A48" s="4">
        <v>41439.84119212963</v>
      </c>
      <c r="B48" s="3" t="s">
        <v>113</v>
      </c>
      <c r="C48" s="5"/>
      <c r="D48" s="5"/>
      <c r="E48" s="5"/>
      <c r="F48" s="5"/>
      <c r="G48" s="5"/>
      <c r="H48" s="3">
        <v>3.0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3">
        <v>5.0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3">
        <v>4.0</v>
      </c>
      <c r="AX48" s="5"/>
      <c r="AY48" s="5"/>
      <c r="AZ48" s="5"/>
      <c r="BA48" s="5"/>
      <c r="BB48" s="5"/>
      <c r="BC48" s="5"/>
      <c r="BD48" s="5"/>
      <c r="BE48" s="5"/>
      <c r="BF48" s="3">
        <v>2.0</v>
      </c>
      <c r="BG48" s="3">
        <v>1.0</v>
      </c>
      <c r="BH48" s="5"/>
      <c r="BI48" s="5"/>
      <c r="BJ48" s="5"/>
      <c r="BK48" s="5"/>
      <c r="BL48" s="5"/>
      <c r="BM48" s="5"/>
      <c r="BN48" s="5"/>
      <c r="BO48" s="5"/>
    </row>
    <row r="49">
      <c r="A49" s="4">
        <v>41440.46769675926</v>
      </c>
      <c r="B49" s="3" t="s">
        <v>114</v>
      </c>
      <c r="C49" s="5"/>
      <c r="D49" s="5"/>
      <c r="E49" s="5"/>
      <c r="F49" s="5"/>
      <c r="G49" s="5"/>
      <c r="H49" s="5"/>
      <c r="I49" s="3">
        <v>1.0</v>
      </c>
      <c r="J49" s="5"/>
      <c r="K49" s="5"/>
      <c r="L49" s="5"/>
      <c r="M49" s="5"/>
      <c r="N49" s="5"/>
      <c r="O49" s="5"/>
      <c r="P49" s="5"/>
      <c r="Q49" s="5"/>
      <c r="R49" s="3">
        <v>3.0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3">
        <v>4.0</v>
      </c>
      <c r="AD49" s="5"/>
      <c r="AE49" s="5"/>
      <c r="AF49" s="3">
        <v>2.0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3">
        <v>5.0</v>
      </c>
      <c r="BH49" s="5"/>
      <c r="BI49" s="5"/>
      <c r="BJ49" s="5"/>
      <c r="BK49" s="5"/>
      <c r="BL49" s="5"/>
      <c r="BM49" s="5"/>
      <c r="BN49" s="5"/>
      <c r="BO49" s="5"/>
    </row>
    <row r="50">
      <c r="A50" s="4">
        <v>41440.58199074074</v>
      </c>
      <c r="B50" s="3" t="s">
        <v>115</v>
      </c>
      <c r="C50" s="5"/>
      <c r="D50" s="5"/>
      <c r="E50" s="5"/>
      <c r="F50" s="5"/>
      <c r="G50" s="5"/>
      <c r="H50" s="3">
        <v>2.0</v>
      </c>
      <c r="I50" s="5"/>
      <c r="J50" s="3">
        <v>3.0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3">
        <v>4.0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3">
        <v>1.0</v>
      </c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3">
        <v>5.0</v>
      </c>
    </row>
    <row r="51">
      <c r="A51" s="4">
        <v>41440.644282407404</v>
      </c>
      <c r="B51" s="3" t="s">
        <v>116</v>
      </c>
      <c r="C51" s="5"/>
      <c r="D51" s="5"/>
      <c r="E51" s="5"/>
      <c r="F51" s="5"/>
      <c r="G51" s="5"/>
      <c r="H51" s="5"/>
      <c r="I51" s="5"/>
      <c r="J51" s="3">
        <v>1.0</v>
      </c>
      <c r="K51" s="3">
        <v>2.0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3">
        <v>3.0</v>
      </c>
      <c r="AA51" s="5"/>
      <c r="AB51" s="3">
        <v>4.0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3">
        <v>5.0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</row>
    <row r="52">
      <c r="A52" s="4">
        <v>41440.66563657407</v>
      </c>
      <c r="B52" s="3" t="s">
        <v>117</v>
      </c>
      <c r="C52" s="5"/>
      <c r="D52" s="5"/>
      <c r="E52" s="5"/>
      <c r="F52" s="5"/>
      <c r="G52" s="5"/>
      <c r="H52" s="3">
        <v>4.0</v>
      </c>
      <c r="I52" s="5"/>
      <c r="J52" s="5"/>
      <c r="K52" s="5"/>
      <c r="L52" s="5"/>
      <c r="M52" s="5"/>
      <c r="N52" s="5"/>
      <c r="O52" s="5"/>
      <c r="P52" s="3">
        <v>5.0</v>
      </c>
      <c r="Q52" s="5"/>
      <c r="R52" s="5"/>
      <c r="S52" s="5"/>
      <c r="T52" s="5"/>
      <c r="U52" s="5"/>
      <c r="V52" s="5"/>
      <c r="W52" s="3">
        <v>2.0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>
        <v>1.0</v>
      </c>
      <c r="AW52" s="3">
        <v>3.0</v>
      </c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</row>
    <row r="53">
      <c r="A53" s="4">
        <v>41440.71822916667</v>
      </c>
      <c r="B53" s="3" t="s">
        <v>118</v>
      </c>
      <c r="C53" s="5"/>
      <c r="D53" s="5"/>
      <c r="E53" s="5"/>
      <c r="F53" s="5"/>
      <c r="G53" s="5"/>
      <c r="H53" s="3">
        <v>1.0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3">
        <v>4.0</v>
      </c>
      <c r="U53" s="5"/>
      <c r="V53" s="5"/>
      <c r="W53" s="5"/>
      <c r="X53" s="5"/>
      <c r="Y53" s="5"/>
      <c r="Z53" s="5"/>
      <c r="AA53" s="5"/>
      <c r="AB53" s="5"/>
      <c r="AC53" s="3">
        <v>5.0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3">
        <v>3.0</v>
      </c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3">
        <v>2.0</v>
      </c>
      <c r="BO53" s="5"/>
    </row>
    <row r="54">
      <c r="A54" s="4">
        <v>41440.8075</v>
      </c>
      <c r="B54" s="3" t="s">
        <v>119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3">
        <v>1.0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3">
        <v>3.0</v>
      </c>
      <c r="AP54" s="3">
        <v>2.0</v>
      </c>
      <c r="AQ54" s="5"/>
      <c r="AR54" s="5"/>
      <c r="AS54" s="5"/>
      <c r="AT54" s="5"/>
      <c r="AU54" s="5"/>
      <c r="AV54" s="5"/>
      <c r="AW54" s="3">
        <v>5.0</v>
      </c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3">
        <v>4.0</v>
      </c>
    </row>
    <row r="55">
      <c r="A55" s="4">
        <v>41440.899664351855</v>
      </c>
      <c r="B55" s="3" t="s">
        <v>120</v>
      </c>
      <c r="C55" s="5"/>
      <c r="D55" s="5"/>
      <c r="E55" s="5"/>
      <c r="F55" s="5"/>
      <c r="G55" s="5"/>
      <c r="H55" s="5"/>
      <c r="I55" s="5"/>
      <c r="J55" s="3">
        <v>1.0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3">
        <v>3.0</v>
      </c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3">
        <v>2.0</v>
      </c>
      <c r="AQ55" s="5"/>
      <c r="AR55" s="5"/>
      <c r="AS55" s="5"/>
      <c r="AT55" s="5"/>
      <c r="AU55" s="5"/>
      <c r="AV55" s="5"/>
      <c r="AW55" s="3">
        <v>5.0</v>
      </c>
      <c r="AX55" s="5"/>
      <c r="AY55" s="5"/>
      <c r="AZ55" s="5"/>
      <c r="BA55" s="5"/>
      <c r="BB55" s="5"/>
      <c r="BC55" s="5"/>
      <c r="BD55" s="5"/>
      <c r="BE55" s="3">
        <v>4.0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</row>
    <row r="56">
      <c r="A56" s="4">
        <v>41440.961377314816</v>
      </c>
      <c r="B56" s="3" t="s">
        <v>121</v>
      </c>
      <c r="C56" s="5"/>
      <c r="D56" s="5"/>
      <c r="E56" s="5"/>
      <c r="F56" s="5"/>
      <c r="G56" s="5"/>
      <c r="H56" s="3">
        <v>5.0</v>
      </c>
      <c r="I56" s="5"/>
      <c r="J56" s="3">
        <v>4.0</v>
      </c>
      <c r="K56" s="3">
        <v>2.0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3">
        <v>3.0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3">
        <v>1.0</v>
      </c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</row>
    <row r="57">
      <c r="A57" s="4">
        <v>41440.96802083333</v>
      </c>
      <c r="B57" s="3" t="s">
        <v>122</v>
      </c>
      <c r="C57" s="5"/>
      <c r="D57" s="5"/>
      <c r="E57" s="5"/>
      <c r="F57" s="5"/>
      <c r="G57" s="5"/>
      <c r="H57" s="3">
        <v>3.0</v>
      </c>
      <c r="I57" s="5"/>
      <c r="J57" s="5"/>
      <c r="K57" s="5"/>
      <c r="L57" s="5"/>
      <c r="M57" s="5"/>
      <c r="N57" s="5"/>
      <c r="O57" s="5"/>
      <c r="P57" s="3">
        <v>2.0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3">
        <v>5.0</v>
      </c>
      <c r="AB57" s="5"/>
      <c r="AC57" s="5"/>
      <c r="AD57" s="5"/>
      <c r="AE57" s="5"/>
      <c r="AF57" s="3">
        <v>1.0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3">
        <v>4.0</v>
      </c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</row>
    <row r="58">
      <c r="A58" s="4">
        <v>41441.07976851852</v>
      </c>
      <c r="B58" s="3" t="s">
        <v>123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3">
        <v>5.0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3">
        <v>4.0</v>
      </c>
      <c r="AG58" s="3">
        <v>2.0</v>
      </c>
      <c r="AH58" s="5"/>
      <c r="AI58" s="5"/>
      <c r="AJ58" s="5"/>
      <c r="AK58" s="5"/>
      <c r="AL58" s="5"/>
      <c r="AM58" s="5"/>
      <c r="AN58" s="5"/>
      <c r="AO58" s="5"/>
      <c r="AP58" s="3">
        <v>1.0</v>
      </c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3">
        <v>3.0</v>
      </c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</row>
    <row r="59">
      <c r="A59" s="4">
        <v>41441.13989583333</v>
      </c>
      <c r="B59" s="3" t="s">
        <v>124</v>
      </c>
      <c r="C59" s="5"/>
      <c r="D59" s="5"/>
      <c r="E59" s="5"/>
      <c r="F59" s="5"/>
      <c r="G59" s="5"/>
      <c r="H59" s="3">
        <v>1.0</v>
      </c>
      <c r="I59" s="5"/>
      <c r="J59" s="3">
        <v>2.0</v>
      </c>
      <c r="K59" s="5"/>
      <c r="L59" s="5"/>
      <c r="M59" s="5"/>
      <c r="N59" s="5"/>
      <c r="O59" s="5"/>
      <c r="P59" s="5"/>
      <c r="Q59" s="3">
        <v>5.0</v>
      </c>
      <c r="R59" s="5"/>
      <c r="S59" s="5"/>
      <c r="T59" s="3">
        <v>4.0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3">
        <v>3.0</v>
      </c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</row>
  </sheetData>
  <drawing r:id="rId1"/>
</worksheet>
</file>
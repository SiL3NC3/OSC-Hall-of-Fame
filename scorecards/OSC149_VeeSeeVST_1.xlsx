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Results!$A$1:$J$19</definedName>
  </definedNames>
  <calcPr/>
</workbook>
</file>

<file path=xl/sharedStrings.xml><?xml version="1.0" encoding="utf-8"?>
<sst xmlns="http://schemas.openxmlformats.org/spreadsheetml/2006/main" count="109" uniqueCount="63">
  <si>
    <t>Name</t>
  </si>
  <si>
    <t>Score</t>
  </si>
  <si>
    <t>5's</t>
  </si>
  <si>
    <t>4's</t>
  </si>
  <si>
    <t>3's</t>
  </si>
  <si>
    <t>2's</t>
  </si>
  <si>
    <t>1's</t>
  </si>
  <si>
    <t>liqih - Evening Drops (fake raga)</t>
  </si>
  <si>
    <t>pts</t>
  </si>
  <si>
    <t>MilksterX - K's Groove</t>
  </si>
  <si>
    <t>MyLoFy - Very Calm Vibes</t>
  </si>
  <si>
    <t>treeheated - Airflow</t>
  </si>
  <si>
    <t>ELEX - Feeling Lucky</t>
  </si>
  <si>
    <t>dq</t>
  </si>
  <si>
    <t>bh9090 - further still</t>
  </si>
  <si>
    <t>miau - Virtual Cat Voltage</t>
  </si>
  <si>
    <t>Leonard Bowman - Pasigraphic</t>
  </si>
  <si>
    <t>doctorbob - VCVIV</t>
  </si>
  <si>
    <t>Ranoka - Midnight Jollywander</t>
  </si>
  <si>
    <t>gorgorgathgorgorgor - The Last Dance (until The Ai...</t>
  </si>
  <si>
    <t>emikaela - With Curious Eyes</t>
  </si>
  <si>
    <t>Darksynth FX - The Beauty Of Letting Go</t>
  </si>
  <si>
    <t>phankiejankie303 - Out Of Juice</t>
  </si>
  <si>
    <t>FrankH - Healing Fragment</t>
  </si>
  <si>
    <t>TheFrozenSea - No Mirror, No Frame</t>
  </si>
  <si>
    <t>MadMcMan - Wee bit of time</t>
  </si>
  <si>
    <t>garryO - Westcoast Worms</t>
  </si>
  <si>
    <t>Voter Name (KVR nick)</t>
  </si>
  <si>
    <t>Gen. Score *</t>
  </si>
  <si>
    <t>Darksynth FX</t>
  </si>
  <si>
    <t>doctorbob</t>
  </si>
  <si>
    <t>ELEX</t>
  </si>
  <si>
    <t>emikaela</t>
  </si>
  <si>
    <t>FrankH</t>
  </si>
  <si>
    <t>FrogsInPants</t>
  </si>
  <si>
    <t>GarryO</t>
  </si>
  <si>
    <t>Gorgorgathgorgorgor</t>
  </si>
  <si>
    <t>Leonard Bowman</t>
  </si>
  <si>
    <t>Liqih</t>
  </si>
  <si>
    <t>MadMcMan</t>
  </si>
  <si>
    <t>miau</t>
  </si>
  <si>
    <t>milksterx</t>
  </si>
  <si>
    <t>MyLoFy</t>
  </si>
  <si>
    <t>phankiejankie303</t>
  </si>
  <si>
    <t>Ranoka</t>
  </si>
  <si>
    <t>TheFrozenSea</t>
  </si>
  <si>
    <t>treeheated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</si>
  <si>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</si>
  <si>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</si>
  <si>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</si>
  <si>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</si>
  <si>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</si>
  <si>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</si>
  <si>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</si>
  <si>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</si>
  <si>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(Only 4 prizes this month, since there are less than 20 tracks, as per the rules)</t>
  </si>
  <si>
    <t>Pass</t>
  </si>
  <si>
    <t>N/A</t>
  </si>
  <si>
    <t>Luftrum lunaris</t>
  </si>
  <si>
    <t>DONE</t>
  </si>
  <si>
    <t>discoDSP Discovery</t>
  </si>
  <si>
    <t>SENT</t>
  </si>
  <si>
    <t>SoundGym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</si>
</sst>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i/>
      <color rgb="FF999999"/>
      <name val="Arial"/>
    </font>
    <font>
      <color rgb="FF666666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theme="1"/>
      <name val="Sans-serif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i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7" numFmtId="0" xfId="0" applyAlignment="1" applyFont="1">
      <alignment vertical="bottom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5" fontId="12" numFmtId="0" xfId="0" applyAlignment="1" applyFill="1" applyFont="1">
      <alignment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409575</xdr:colOff>
      <xdr:row>27</xdr:row>
      <xdr:rowOff>9525</xdr:rowOff>
    </xdr:from>
    <xdr:ext cx="2533650" cy="2533650"/>
    <xdr:pic>
      <xdr:nvPicPr>
        <xdr:cNvPr id="205357203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0.25"/>
    <col customWidth="1" min="3" max="3" width="4.0"/>
    <col customWidth="1" min="4" max="4" width="7.63"/>
    <col customWidth="1" min="5" max="9" width="6.25"/>
    <col customWidth="1" min="10" max="10" width="16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81.0</v>
      </c>
      <c r="D2" s="1" t="s">
        <v>8</v>
      </c>
      <c r="E2" s="8">
        <v>13.0</v>
      </c>
      <c r="F2" s="8">
        <v>3.0</v>
      </c>
      <c r="G2" s="8">
        <v>1.0</v>
      </c>
      <c r="H2" s="8">
        <v>0.0</v>
      </c>
      <c r="I2" s="8">
        <v>1.0</v>
      </c>
      <c r="J2" s="1"/>
    </row>
    <row r="3">
      <c r="A3" s="5">
        <v>2.0</v>
      </c>
      <c r="B3" s="6" t="s">
        <v>9</v>
      </c>
      <c r="C3" s="7">
        <v>76.0</v>
      </c>
      <c r="D3" s="1" t="s">
        <v>8</v>
      </c>
      <c r="E3" s="8">
        <v>10.0</v>
      </c>
      <c r="F3" s="8">
        <v>5.0</v>
      </c>
      <c r="G3" s="8">
        <v>1.0</v>
      </c>
      <c r="H3" s="8">
        <v>1.0</v>
      </c>
      <c r="I3" s="8">
        <v>1.0</v>
      </c>
    </row>
    <row r="4">
      <c r="A4" s="5">
        <v>3.0</v>
      </c>
      <c r="B4" s="6" t="s">
        <v>10</v>
      </c>
      <c r="C4" s="7">
        <v>75.0</v>
      </c>
      <c r="D4" s="1" t="s">
        <v>8</v>
      </c>
      <c r="E4" s="8">
        <v>7.0</v>
      </c>
      <c r="F4" s="8">
        <v>9.0</v>
      </c>
      <c r="G4" s="8">
        <v>1.0</v>
      </c>
      <c r="H4" s="8">
        <v>0.0</v>
      </c>
      <c r="I4" s="8">
        <v>1.0</v>
      </c>
    </row>
    <row r="5">
      <c r="A5" s="5">
        <v>4.0</v>
      </c>
      <c r="B5" s="6" t="s">
        <v>11</v>
      </c>
      <c r="C5" s="7">
        <v>73.0</v>
      </c>
      <c r="D5" s="1" t="s">
        <v>8</v>
      </c>
      <c r="E5" s="8">
        <v>6.0</v>
      </c>
      <c r="F5" s="8">
        <v>9.0</v>
      </c>
      <c r="G5" s="8">
        <v>2.0</v>
      </c>
      <c r="H5" s="8">
        <v>0.0</v>
      </c>
      <c r="I5" s="8">
        <v>1.0</v>
      </c>
    </row>
    <row r="6">
      <c r="A6" s="5">
        <v>5.0</v>
      </c>
      <c r="B6" s="6" t="s">
        <v>12</v>
      </c>
      <c r="C6" s="7">
        <v>71.0</v>
      </c>
      <c r="D6" s="1" t="s">
        <v>8</v>
      </c>
      <c r="E6" s="8">
        <v>5.0</v>
      </c>
      <c r="F6" s="8">
        <v>9.0</v>
      </c>
      <c r="G6" s="8">
        <v>3.0</v>
      </c>
      <c r="H6" s="8">
        <v>0.0</v>
      </c>
      <c r="I6" s="8">
        <v>1.0</v>
      </c>
      <c r="J6" s="1"/>
    </row>
    <row r="7">
      <c r="A7" s="9" t="s">
        <v>13</v>
      </c>
      <c r="B7" s="6" t="s">
        <v>14</v>
      </c>
      <c r="C7" s="7">
        <v>71.0</v>
      </c>
      <c r="D7" s="1" t="s">
        <v>8</v>
      </c>
      <c r="E7" s="8">
        <v>3.0</v>
      </c>
      <c r="F7" s="8">
        <v>11.0</v>
      </c>
      <c r="G7" s="8">
        <v>4.0</v>
      </c>
      <c r="H7" s="8">
        <v>0.0</v>
      </c>
      <c r="I7" s="8">
        <v>0.0</v>
      </c>
      <c r="J7" s="1"/>
    </row>
    <row r="8">
      <c r="A8" s="10">
        <v>6.0</v>
      </c>
      <c r="B8" s="6" t="s">
        <v>15</v>
      </c>
      <c r="C8" s="7">
        <v>67.0</v>
      </c>
      <c r="D8" s="1" t="s">
        <v>8</v>
      </c>
      <c r="E8" s="8">
        <v>3.0</v>
      </c>
      <c r="F8" s="8">
        <v>10.0</v>
      </c>
      <c r="G8" s="8">
        <v>3.0</v>
      </c>
      <c r="H8" s="8">
        <v>1.0</v>
      </c>
      <c r="I8" s="8">
        <v>1.0</v>
      </c>
    </row>
    <row r="9">
      <c r="A9" s="5">
        <v>7.0</v>
      </c>
      <c r="B9" s="6" t="s">
        <v>16</v>
      </c>
      <c r="C9" s="7">
        <v>65.0</v>
      </c>
      <c r="D9" s="1" t="s">
        <v>8</v>
      </c>
      <c r="E9" s="8">
        <v>3.0</v>
      </c>
      <c r="F9" s="8">
        <v>8.0</v>
      </c>
      <c r="G9" s="8">
        <v>5.0</v>
      </c>
      <c r="H9" s="8">
        <v>1.0</v>
      </c>
      <c r="I9" s="8">
        <v>1.0</v>
      </c>
      <c r="J9" s="1"/>
    </row>
    <row r="10">
      <c r="A10" s="5">
        <v>8.0</v>
      </c>
      <c r="B10" s="6" t="s">
        <v>17</v>
      </c>
      <c r="C10" s="7">
        <v>65.0</v>
      </c>
      <c r="D10" s="1" t="s">
        <v>8</v>
      </c>
      <c r="E10" s="8">
        <v>3.0</v>
      </c>
      <c r="F10" s="8">
        <v>7.0</v>
      </c>
      <c r="G10" s="8">
        <v>7.0</v>
      </c>
      <c r="H10" s="8">
        <v>0.0</v>
      </c>
      <c r="I10" s="8">
        <v>1.0</v>
      </c>
      <c r="J10" s="1"/>
    </row>
    <row r="11">
      <c r="A11" s="5">
        <v>9.0</v>
      </c>
      <c r="B11" s="6" t="s">
        <v>18</v>
      </c>
      <c r="C11" s="7">
        <v>63.0</v>
      </c>
      <c r="D11" s="1" t="s">
        <v>8</v>
      </c>
      <c r="E11" s="8">
        <v>1.0</v>
      </c>
      <c r="F11" s="8">
        <v>9.0</v>
      </c>
      <c r="G11" s="8">
        <v>7.0</v>
      </c>
      <c r="H11" s="8">
        <v>0.0</v>
      </c>
      <c r="I11" s="8">
        <v>1.0</v>
      </c>
    </row>
    <row r="12">
      <c r="A12" s="5">
        <v>10.0</v>
      </c>
      <c r="B12" s="6" t="s">
        <v>19</v>
      </c>
      <c r="C12" s="7">
        <v>62.0</v>
      </c>
      <c r="D12" s="1" t="s">
        <v>8</v>
      </c>
      <c r="E12" s="8">
        <v>0.0</v>
      </c>
      <c r="F12" s="8">
        <v>10.0</v>
      </c>
      <c r="G12" s="8">
        <v>7.0</v>
      </c>
      <c r="H12" s="8">
        <v>0.0</v>
      </c>
      <c r="I12" s="8">
        <v>1.0</v>
      </c>
      <c r="J12" s="1"/>
      <c r="M12" s="11"/>
    </row>
    <row r="13">
      <c r="A13" s="5">
        <v>11.0</v>
      </c>
      <c r="B13" s="6" t="s">
        <v>20</v>
      </c>
      <c r="C13" s="7">
        <v>60.0</v>
      </c>
      <c r="D13" s="1" t="s">
        <v>8</v>
      </c>
      <c r="E13" s="8">
        <v>1.0</v>
      </c>
      <c r="F13" s="8">
        <v>7.0</v>
      </c>
      <c r="G13" s="8">
        <v>8.0</v>
      </c>
      <c r="H13" s="8">
        <v>1.0</v>
      </c>
      <c r="I13" s="8">
        <v>1.0</v>
      </c>
      <c r="J13" s="1"/>
      <c r="M13" s="11"/>
    </row>
    <row r="14">
      <c r="A14" s="5">
        <v>12.0</v>
      </c>
      <c r="B14" s="6" t="s">
        <v>21</v>
      </c>
      <c r="C14" s="7">
        <v>59.0</v>
      </c>
      <c r="D14" s="1" t="s">
        <v>8</v>
      </c>
      <c r="E14" s="8">
        <v>1.0</v>
      </c>
      <c r="F14" s="8">
        <v>8.0</v>
      </c>
      <c r="G14" s="8">
        <v>5.0</v>
      </c>
      <c r="H14" s="8">
        <v>3.0</v>
      </c>
      <c r="I14" s="8">
        <v>1.0</v>
      </c>
      <c r="J14" s="1"/>
    </row>
    <row r="15">
      <c r="A15" s="5">
        <v>13.0</v>
      </c>
      <c r="B15" s="6" t="s">
        <v>22</v>
      </c>
      <c r="C15" s="7">
        <v>58.0</v>
      </c>
      <c r="D15" s="1" t="s">
        <v>8</v>
      </c>
      <c r="E15" s="8">
        <v>2.0</v>
      </c>
      <c r="F15" s="8">
        <v>5.0</v>
      </c>
      <c r="G15" s="8">
        <v>8.0</v>
      </c>
      <c r="H15" s="8">
        <v>1.0</v>
      </c>
      <c r="I15" s="8">
        <v>2.0</v>
      </c>
    </row>
    <row r="16">
      <c r="A16" s="5">
        <v>14.0</v>
      </c>
      <c r="B16" s="6" t="s">
        <v>23</v>
      </c>
      <c r="C16" s="7">
        <v>56.0</v>
      </c>
      <c r="D16" s="1" t="s">
        <v>8</v>
      </c>
      <c r="E16" s="8">
        <v>1.0</v>
      </c>
      <c r="F16" s="8">
        <v>4.0</v>
      </c>
      <c r="G16" s="8">
        <v>10.0</v>
      </c>
      <c r="H16" s="8">
        <v>2.0</v>
      </c>
      <c r="I16" s="8">
        <v>1.0</v>
      </c>
      <c r="J16" s="1"/>
    </row>
    <row r="17">
      <c r="A17" s="5">
        <v>15.0</v>
      </c>
      <c r="B17" s="6" t="s">
        <v>24</v>
      </c>
      <c r="C17" s="7">
        <v>54.0</v>
      </c>
      <c r="D17" s="1" t="s">
        <v>8</v>
      </c>
      <c r="E17" s="8">
        <v>1.0</v>
      </c>
      <c r="F17" s="8">
        <v>4.0</v>
      </c>
      <c r="G17" s="8">
        <v>9.0</v>
      </c>
      <c r="H17" s="8">
        <v>2.0</v>
      </c>
      <c r="I17" s="8">
        <v>2.0</v>
      </c>
    </row>
    <row r="18">
      <c r="A18" s="5">
        <v>16.0</v>
      </c>
      <c r="B18" s="6" t="s">
        <v>25</v>
      </c>
      <c r="C18" s="7">
        <v>51.0</v>
      </c>
      <c r="D18" s="1" t="s">
        <v>8</v>
      </c>
      <c r="E18" s="8">
        <v>0.0</v>
      </c>
      <c r="F18" s="8">
        <v>4.0</v>
      </c>
      <c r="G18" s="8">
        <v>9.0</v>
      </c>
      <c r="H18" s="8">
        <v>3.0</v>
      </c>
      <c r="I18" s="8">
        <v>2.0</v>
      </c>
      <c r="J18" s="1"/>
    </row>
    <row r="19">
      <c r="A19" s="5">
        <v>17.0</v>
      </c>
      <c r="B19" s="6" t="s">
        <v>26</v>
      </c>
      <c r="C19" s="7">
        <v>41.0</v>
      </c>
      <c r="D19" s="1" t="s">
        <v>8</v>
      </c>
      <c r="E19" s="8">
        <v>0.0</v>
      </c>
      <c r="F19" s="8">
        <v>0.0</v>
      </c>
      <c r="G19" s="8">
        <v>7.0</v>
      </c>
      <c r="H19" s="8">
        <v>9.0</v>
      </c>
      <c r="I19" s="8">
        <v>2.0</v>
      </c>
      <c r="J19" s="1"/>
    </row>
    <row r="112">
      <c r="F112" s="12"/>
      <c r="G112" s="1"/>
      <c r="H112" s="1"/>
      <c r="I112" s="1"/>
      <c r="J112" s="1"/>
      <c r="K112" s="1"/>
      <c r="L112" s="1"/>
    </row>
    <row r="113">
      <c r="F113" s="1"/>
      <c r="G113" s="1"/>
      <c r="H113" s="1"/>
      <c r="I113" s="1"/>
      <c r="J113" s="1"/>
      <c r="K113" s="1"/>
      <c r="L113" s="1"/>
    </row>
    <row r="114">
      <c r="F114" s="12"/>
      <c r="G114" s="1"/>
      <c r="H114" s="1"/>
      <c r="I114" s="1"/>
      <c r="J114" s="1"/>
      <c r="K114" s="1"/>
      <c r="L114" s="1"/>
    </row>
    <row r="115">
      <c r="F115" s="12"/>
      <c r="G115" s="1"/>
      <c r="H115" s="1"/>
      <c r="I115" s="1"/>
      <c r="J115" s="1"/>
      <c r="K115" s="1"/>
      <c r="L115" s="1"/>
    </row>
    <row r="116">
      <c r="F116" s="12"/>
      <c r="G116" s="1"/>
      <c r="H116" s="1"/>
      <c r="I116" s="1"/>
      <c r="J116" s="1"/>
      <c r="K116" s="1"/>
      <c r="L116" s="1"/>
    </row>
    <row r="117">
      <c r="F117" s="12"/>
      <c r="G117" s="1"/>
      <c r="H117" s="1"/>
      <c r="I117" s="1"/>
      <c r="J117" s="1"/>
      <c r="K117" s="1"/>
      <c r="L117" s="1"/>
    </row>
    <row r="118">
      <c r="F118" s="12"/>
      <c r="G118" s="1"/>
      <c r="H118" s="1"/>
      <c r="I118" s="1"/>
      <c r="J118" s="1"/>
      <c r="K118" s="1"/>
      <c r="L118" s="1"/>
    </row>
    <row r="119">
      <c r="F119" s="1"/>
      <c r="G119" s="1"/>
      <c r="H119" s="1"/>
      <c r="I119" s="1"/>
      <c r="J119" s="1"/>
      <c r="K119" s="1"/>
      <c r="L119" s="1"/>
    </row>
    <row r="120">
      <c r="F120" s="13"/>
      <c r="G120" s="1"/>
      <c r="H120" s="1"/>
      <c r="I120" s="1"/>
      <c r="J120" s="1"/>
      <c r="K120" s="1"/>
      <c r="L120" s="1"/>
    </row>
    <row r="121">
      <c r="F121" s="13"/>
      <c r="G121" s="1"/>
      <c r="H121" s="1"/>
      <c r="I121" s="1"/>
      <c r="J121" s="1"/>
      <c r="K121" s="1"/>
      <c r="L121" s="1"/>
    </row>
    <row r="122">
      <c r="F122" s="13"/>
      <c r="G122" s="1"/>
      <c r="H122" s="1"/>
      <c r="I122" s="1"/>
      <c r="J122" s="1"/>
      <c r="K122" s="1"/>
      <c r="L122" s="1"/>
    </row>
    <row r="123">
      <c r="F123" s="13"/>
      <c r="G123" s="1"/>
      <c r="H123" s="1"/>
      <c r="I123" s="1"/>
      <c r="J123" s="1"/>
      <c r="K123" s="1"/>
      <c r="L123" s="1"/>
    </row>
    <row r="124">
      <c r="F124" s="13"/>
      <c r="G124" s="1"/>
      <c r="H124" s="1"/>
      <c r="I124" s="1"/>
      <c r="J124" s="1"/>
      <c r="K124" s="1"/>
      <c r="L124" s="1"/>
    </row>
    <row r="125">
      <c r="F125" s="13"/>
      <c r="G125" s="1"/>
      <c r="H125" s="1"/>
      <c r="I125" s="1"/>
      <c r="J125" s="1"/>
      <c r="K125" s="1"/>
      <c r="L125" s="1"/>
    </row>
    <row r="126">
      <c r="F126" s="13"/>
      <c r="G126" s="1"/>
      <c r="H126" s="1"/>
      <c r="I126" s="1"/>
      <c r="J126" s="1"/>
      <c r="K126" s="1"/>
      <c r="L126" s="1"/>
    </row>
    <row r="127">
      <c r="F127" s="13"/>
      <c r="G127" s="1"/>
      <c r="H127" s="1"/>
      <c r="I127" s="1"/>
      <c r="J127" s="1"/>
      <c r="K127" s="1"/>
      <c r="L127" s="1"/>
    </row>
    <row r="128">
      <c r="F128" s="13"/>
      <c r="G128" s="1"/>
      <c r="H128" s="1"/>
      <c r="I128" s="1"/>
      <c r="J128" s="1"/>
      <c r="K128" s="1"/>
      <c r="L128" s="1"/>
    </row>
    <row r="129">
      <c r="F129" s="13"/>
      <c r="G129" s="1"/>
      <c r="H129" s="1"/>
      <c r="I129" s="1"/>
      <c r="J129" s="1"/>
      <c r="K129" s="1"/>
      <c r="L129" s="1"/>
    </row>
    <row r="130">
      <c r="F130" s="13"/>
      <c r="G130" s="1"/>
      <c r="H130" s="1"/>
      <c r="I130" s="1"/>
      <c r="J130" s="1"/>
      <c r="K130" s="1"/>
      <c r="L130" s="1"/>
    </row>
    <row r="131">
      <c r="F131" s="13"/>
      <c r="G131" s="1"/>
      <c r="H131" s="1"/>
      <c r="I131" s="1"/>
      <c r="J131" s="1"/>
      <c r="K131" s="1"/>
      <c r="L131" s="1"/>
    </row>
    <row r="132">
      <c r="F132" s="13"/>
      <c r="G132" s="1"/>
      <c r="H132" s="1"/>
      <c r="I132" s="1"/>
      <c r="J132" s="1"/>
      <c r="K132" s="1"/>
      <c r="L132" s="1"/>
    </row>
    <row r="133">
      <c r="F133" s="13"/>
      <c r="G133" s="1"/>
      <c r="H133" s="1"/>
      <c r="I133" s="1"/>
      <c r="J133" s="1"/>
      <c r="K133" s="1"/>
      <c r="L133" s="1"/>
    </row>
    <row r="134">
      <c r="F134" s="13"/>
      <c r="G134" s="1"/>
      <c r="H134" s="1"/>
      <c r="I134" s="1"/>
      <c r="J134" s="1"/>
      <c r="K134" s="1"/>
      <c r="L134" s="1"/>
    </row>
    <row r="135">
      <c r="F135" s="13"/>
      <c r="G135" s="1"/>
      <c r="H135" s="1"/>
      <c r="I135" s="1"/>
      <c r="J135" s="1"/>
      <c r="K135" s="1"/>
      <c r="L135" s="1"/>
    </row>
    <row r="136">
      <c r="F136" s="13"/>
      <c r="G136" s="1"/>
      <c r="H136" s="1"/>
      <c r="I136" s="1"/>
      <c r="J136" s="1"/>
      <c r="K136" s="1"/>
      <c r="L136" s="1"/>
    </row>
    <row r="137">
      <c r="F137" s="14"/>
      <c r="G137" s="1"/>
      <c r="H137" s="1"/>
      <c r="I137" s="1"/>
      <c r="J137" s="1"/>
      <c r="K137" s="1"/>
      <c r="L137" s="1"/>
    </row>
    <row r="138">
      <c r="F138" s="12"/>
      <c r="G138" s="1"/>
      <c r="H138" s="1"/>
      <c r="I138" s="1"/>
      <c r="J138" s="1"/>
      <c r="K138" s="1"/>
      <c r="L138" s="1"/>
    </row>
    <row r="139">
      <c r="F139" s="12"/>
      <c r="G139" s="1"/>
      <c r="H139" s="1"/>
      <c r="I139" s="1"/>
      <c r="J139" s="1"/>
      <c r="K139" s="1"/>
      <c r="L139" s="1"/>
    </row>
    <row r="140">
      <c r="F140" s="1"/>
      <c r="G140" s="1"/>
      <c r="H140" s="1"/>
      <c r="I140" s="1"/>
      <c r="J140" s="1"/>
      <c r="K140" s="1"/>
      <c r="L140" s="1"/>
    </row>
    <row r="141">
      <c r="F141" s="12"/>
      <c r="G141" s="1"/>
      <c r="H141" s="1"/>
      <c r="I141" s="1"/>
      <c r="J141" s="1"/>
      <c r="K141" s="1"/>
      <c r="L141" s="1"/>
    </row>
    <row r="142">
      <c r="F142" s="1"/>
      <c r="G142" s="1"/>
      <c r="H142" s="1"/>
      <c r="I142" s="1"/>
      <c r="J142" s="1"/>
      <c r="K142" s="1"/>
      <c r="L142" s="1"/>
    </row>
    <row r="143">
      <c r="F143" s="15"/>
      <c r="G143" s="1"/>
      <c r="H143" s="1"/>
      <c r="I143" s="1"/>
      <c r="J143" s="1"/>
      <c r="K143" s="1"/>
      <c r="L143" s="1"/>
    </row>
    <row r="144">
      <c r="F144" s="16"/>
      <c r="G144" s="1"/>
      <c r="H144" s="1"/>
      <c r="I144" s="1"/>
      <c r="J144" s="1"/>
      <c r="K144" s="1"/>
      <c r="L144" s="1"/>
    </row>
  </sheetData>
  <autoFilter ref="$A$1:$J$19">
    <sortState ref="A1:J19">
      <sortCondition descending="1" ref="C1:C19"/>
      <sortCondition descending="1" ref="E1:E1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19" width="9.38"/>
    <col customWidth="1" min="20" max="26" width="9.0"/>
  </cols>
  <sheetData>
    <row r="1">
      <c r="A1" s="17" t="s">
        <v>27</v>
      </c>
      <c r="B1" s="18" t="s">
        <v>14</v>
      </c>
      <c r="C1" s="19" t="s">
        <v>21</v>
      </c>
      <c r="D1" s="19" t="s">
        <v>17</v>
      </c>
      <c r="E1" s="19" t="s">
        <v>12</v>
      </c>
      <c r="F1" s="19" t="s">
        <v>20</v>
      </c>
      <c r="G1" s="19" t="s">
        <v>23</v>
      </c>
      <c r="H1" s="19" t="s">
        <v>26</v>
      </c>
      <c r="I1" s="19" t="s">
        <v>19</v>
      </c>
      <c r="J1" s="19" t="s">
        <v>16</v>
      </c>
      <c r="K1" s="19" t="s">
        <v>7</v>
      </c>
      <c r="L1" s="19" t="s">
        <v>25</v>
      </c>
      <c r="M1" s="19" t="s">
        <v>15</v>
      </c>
      <c r="N1" s="19" t="s">
        <v>9</v>
      </c>
      <c r="O1" s="19" t="s">
        <v>10</v>
      </c>
      <c r="P1" s="19" t="s">
        <v>22</v>
      </c>
      <c r="Q1" s="19" t="s">
        <v>18</v>
      </c>
      <c r="R1" s="19" t="s">
        <v>24</v>
      </c>
      <c r="S1" s="19" t="s">
        <v>11</v>
      </c>
      <c r="T1" s="20" t="s">
        <v>28</v>
      </c>
      <c r="U1" s="21"/>
      <c r="V1" s="6"/>
    </row>
    <row r="2">
      <c r="A2" s="22" t="s">
        <v>29</v>
      </c>
      <c r="B2" s="23">
        <v>3.0</v>
      </c>
      <c r="C2" s="24">
        <v>1.0</v>
      </c>
      <c r="D2" s="23">
        <v>3.0</v>
      </c>
      <c r="E2" s="23">
        <v>4.0</v>
      </c>
      <c r="F2" s="23">
        <v>3.0</v>
      </c>
      <c r="G2" s="23">
        <v>3.0</v>
      </c>
      <c r="H2" s="23">
        <v>3.0</v>
      </c>
      <c r="I2" s="23">
        <v>4.0</v>
      </c>
      <c r="J2" s="23">
        <v>3.0</v>
      </c>
      <c r="K2" s="23">
        <v>3.0</v>
      </c>
      <c r="L2" s="23">
        <v>3.0</v>
      </c>
      <c r="M2" s="23">
        <v>4.0</v>
      </c>
      <c r="N2" s="23">
        <v>4.0</v>
      </c>
      <c r="O2" s="23">
        <v>4.0</v>
      </c>
      <c r="P2" s="23">
        <v>3.0</v>
      </c>
      <c r="Q2" s="23">
        <v>3.0</v>
      </c>
      <c r="R2" s="23">
        <v>3.0</v>
      </c>
      <c r="S2" s="23">
        <v>4.0</v>
      </c>
      <c r="T2" s="25">
        <f t="shared" ref="T2:T19" si="1">SUM(B2:S2)</f>
        <v>58</v>
      </c>
      <c r="U2" s="26">
        <f t="shared" ref="U2:U19" si="2">(T2-$B$32)/$B$32</f>
        <v>-0.09059233449</v>
      </c>
      <c r="V2" s="6"/>
    </row>
    <row r="3">
      <c r="A3" s="22" t="s">
        <v>30</v>
      </c>
      <c r="B3" s="23">
        <v>4.0</v>
      </c>
      <c r="C3" s="23">
        <v>3.0</v>
      </c>
      <c r="D3" s="24">
        <v>1.0</v>
      </c>
      <c r="E3" s="23">
        <v>3.0</v>
      </c>
      <c r="F3" s="23">
        <v>3.0</v>
      </c>
      <c r="G3" s="23">
        <v>3.0</v>
      </c>
      <c r="H3" s="23">
        <v>2.0</v>
      </c>
      <c r="I3" s="23">
        <v>3.0</v>
      </c>
      <c r="J3" s="23">
        <v>2.0</v>
      </c>
      <c r="K3" s="23">
        <v>5.0</v>
      </c>
      <c r="L3" s="23">
        <v>3.0</v>
      </c>
      <c r="M3" s="23">
        <v>4.0</v>
      </c>
      <c r="N3" s="23">
        <v>4.0</v>
      </c>
      <c r="O3" s="23">
        <v>5.0</v>
      </c>
      <c r="P3" s="23">
        <v>3.0</v>
      </c>
      <c r="Q3" s="23">
        <v>3.0</v>
      </c>
      <c r="R3" s="23">
        <v>4.0</v>
      </c>
      <c r="S3" s="23">
        <v>5.0</v>
      </c>
      <c r="T3" s="25">
        <f t="shared" si="1"/>
        <v>60</v>
      </c>
      <c r="U3" s="26">
        <f t="shared" si="2"/>
        <v>-0.05923344948</v>
      </c>
      <c r="V3" s="6"/>
    </row>
    <row r="4">
      <c r="A4" s="22" t="s">
        <v>31</v>
      </c>
      <c r="B4" s="23">
        <v>3.0</v>
      </c>
      <c r="C4" s="23">
        <v>4.0</v>
      </c>
      <c r="D4" s="23">
        <v>3.0</v>
      </c>
      <c r="E4" s="24">
        <v>1.0</v>
      </c>
      <c r="F4" s="23">
        <v>4.0</v>
      </c>
      <c r="G4" s="23">
        <v>3.0</v>
      </c>
      <c r="H4" s="23">
        <v>2.0</v>
      </c>
      <c r="I4" s="23">
        <v>4.0</v>
      </c>
      <c r="J4" s="23">
        <v>3.0</v>
      </c>
      <c r="K4" s="23">
        <v>5.0</v>
      </c>
      <c r="L4" s="23">
        <v>2.0</v>
      </c>
      <c r="M4" s="23">
        <v>5.0</v>
      </c>
      <c r="N4" s="23">
        <v>5.0</v>
      </c>
      <c r="O4" s="23">
        <v>5.0</v>
      </c>
      <c r="P4" s="23">
        <v>3.0</v>
      </c>
      <c r="Q4" s="23">
        <v>4.0</v>
      </c>
      <c r="R4" s="23">
        <v>3.0</v>
      </c>
      <c r="S4" s="23">
        <v>5.0</v>
      </c>
      <c r="T4" s="25">
        <f t="shared" si="1"/>
        <v>64</v>
      </c>
      <c r="U4" s="26">
        <f t="shared" si="2"/>
        <v>0.003484320557</v>
      </c>
      <c r="V4" s="6"/>
    </row>
    <row r="5">
      <c r="A5" s="22" t="s">
        <v>32</v>
      </c>
      <c r="B5" s="23">
        <v>5.0</v>
      </c>
      <c r="C5" s="23">
        <v>3.0</v>
      </c>
      <c r="D5" s="23">
        <v>4.0</v>
      </c>
      <c r="E5" s="23">
        <v>4.0</v>
      </c>
      <c r="F5" s="24">
        <v>1.0</v>
      </c>
      <c r="G5" s="23">
        <v>3.0</v>
      </c>
      <c r="H5" s="23">
        <v>2.0</v>
      </c>
      <c r="I5" s="23">
        <v>4.0</v>
      </c>
      <c r="J5" s="23">
        <v>3.0</v>
      </c>
      <c r="K5" s="23">
        <v>5.0</v>
      </c>
      <c r="L5" s="23">
        <v>3.0</v>
      </c>
      <c r="M5" s="23">
        <v>4.0</v>
      </c>
      <c r="N5" s="23">
        <v>5.0</v>
      </c>
      <c r="O5" s="23">
        <v>4.0</v>
      </c>
      <c r="P5" s="23">
        <v>3.0</v>
      </c>
      <c r="Q5" s="23">
        <v>4.0</v>
      </c>
      <c r="R5" s="23">
        <v>3.0</v>
      </c>
      <c r="S5" s="23">
        <v>4.0</v>
      </c>
      <c r="T5" s="25">
        <f t="shared" si="1"/>
        <v>64</v>
      </c>
      <c r="U5" s="26">
        <f t="shared" si="2"/>
        <v>0.003484320557</v>
      </c>
      <c r="V5" s="6"/>
    </row>
    <row r="6">
      <c r="A6" s="22" t="s">
        <v>33</v>
      </c>
      <c r="B6" s="23">
        <v>5.0</v>
      </c>
      <c r="C6" s="23">
        <v>4.0</v>
      </c>
      <c r="D6" s="23">
        <v>4.0</v>
      </c>
      <c r="E6" s="23">
        <v>4.0</v>
      </c>
      <c r="F6" s="23">
        <v>3.0</v>
      </c>
      <c r="G6" s="24">
        <v>1.0</v>
      </c>
      <c r="H6" s="23">
        <v>3.0</v>
      </c>
      <c r="I6" s="23">
        <v>4.0</v>
      </c>
      <c r="J6" s="23">
        <v>5.0</v>
      </c>
      <c r="K6" s="23">
        <v>5.0</v>
      </c>
      <c r="L6" s="23">
        <v>3.0</v>
      </c>
      <c r="M6" s="23">
        <v>3.0</v>
      </c>
      <c r="N6" s="23">
        <v>3.0</v>
      </c>
      <c r="O6" s="23">
        <v>4.0</v>
      </c>
      <c r="P6" s="23">
        <v>3.0</v>
      </c>
      <c r="Q6" s="23">
        <v>4.0</v>
      </c>
      <c r="R6" s="23">
        <v>4.0</v>
      </c>
      <c r="S6" s="23">
        <v>3.0</v>
      </c>
      <c r="T6" s="25">
        <f t="shared" si="1"/>
        <v>65</v>
      </c>
      <c r="U6" s="26">
        <f t="shared" si="2"/>
        <v>0.01916376307</v>
      </c>
      <c r="V6" s="6"/>
    </row>
    <row r="7">
      <c r="A7" s="27" t="s">
        <v>34</v>
      </c>
      <c r="B7" s="23">
        <v>4.0</v>
      </c>
      <c r="C7" s="23">
        <v>4.0</v>
      </c>
      <c r="D7" s="23">
        <v>4.0</v>
      </c>
      <c r="E7" s="23">
        <v>4.0</v>
      </c>
      <c r="F7" s="23">
        <v>3.0</v>
      </c>
      <c r="G7" s="23">
        <v>4.0</v>
      </c>
      <c r="H7" s="23">
        <v>3.0</v>
      </c>
      <c r="I7" s="23">
        <v>4.0</v>
      </c>
      <c r="J7" s="23">
        <v>4.0</v>
      </c>
      <c r="K7" s="23">
        <v>5.0</v>
      </c>
      <c r="L7" s="23">
        <v>4.0</v>
      </c>
      <c r="M7" s="23">
        <v>3.0</v>
      </c>
      <c r="N7" s="23">
        <v>4.0</v>
      </c>
      <c r="O7" s="23">
        <v>4.0</v>
      </c>
      <c r="P7" s="23">
        <v>4.0</v>
      </c>
      <c r="Q7" s="23">
        <v>3.0</v>
      </c>
      <c r="R7" s="23">
        <v>3.0</v>
      </c>
      <c r="S7" s="23">
        <v>4.0</v>
      </c>
      <c r="T7" s="25">
        <f t="shared" si="1"/>
        <v>68</v>
      </c>
      <c r="U7" s="26">
        <f t="shared" si="2"/>
        <v>0.06620209059</v>
      </c>
      <c r="V7" s="6"/>
    </row>
    <row r="8">
      <c r="A8" s="22" t="s">
        <v>35</v>
      </c>
      <c r="B8" s="23">
        <v>4.0</v>
      </c>
      <c r="C8" s="23">
        <v>4.0</v>
      </c>
      <c r="D8" s="23">
        <v>4.0</v>
      </c>
      <c r="E8" s="23">
        <v>5.0</v>
      </c>
      <c r="F8" s="23">
        <v>4.0</v>
      </c>
      <c r="G8" s="23">
        <v>5.0</v>
      </c>
      <c r="H8" s="24">
        <v>1.0</v>
      </c>
      <c r="I8" s="23">
        <v>4.0</v>
      </c>
      <c r="J8" s="23">
        <v>4.0</v>
      </c>
      <c r="K8" s="23">
        <v>5.0</v>
      </c>
      <c r="L8" s="23">
        <v>4.0</v>
      </c>
      <c r="M8" s="23">
        <v>4.0</v>
      </c>
      <c r="N8" s="23">
        <v>4.0</v>
      </c>
      <c r="O8" s="23">
        <v>4.0</v>
      </c>
      <c r="P8" s="23">
        <v>4.0</v>
      </c>
      <c r="Q8" s="23">
        <v>4.0</v>
      </c>
      <c r="R8" s="23">
        <v>3.0</v>
      </c>
      <c r="S8" s="23">
        <v>4.0</v>
      </c>
      <c r="T8" s="25">
        <f t="shared" si="1"/>
        <v>71</v>
      </c>
      <c r="U8" s="26">
        <f t="shared" si="2"/>
        <v>0.1132404181</v>
      </c>
      <c r="V8" s="6"/>
    </row>
    <row r="9">
      <c r="A9" s="22" t="s">
        <v>36</v>
      </c>
      <c r="B9" s="23">
        <v>4.0</v>
      </c>
      <c r="C9" s="23">
        <v>2.0</v>
      </c>
      <c r="D9" s="23">
        <v>3.0</v>
      </c>
      <c r="E9" s="23">
        <v>4.0</v>
      </c>
      <c r="F9" s="23">
        <v>4.0</v>
      </c>
      <c r="G9" s="23">
        <v>3.0</v>
      </c>
      <c r="H9" s="23">
        <v>2.0</v>
      </c>
      <c r="I9" s="24">
        <v>1.0</v>
      </c>
      <c r="J9" s="23">
        <v>4.0</v>
      </c>
      <c r="K9" s="23">
        <v>4.0</v>
      </c>
      <c r="L9" s="23">
        <v>3.0</v>
      </c>
      <c r="M9" s="23">
        <v>4.0</v>
      </c>
      <c r="N9" s="23">
        <v>5.0</v>
      </c>
      <c r="O9" s="23">
        <v>5.0</v>
      </c>
      <c r="P9" s="23">
        <v>3.0</v>
      </c>
      <c r="Q9" s="23">
        <v>5.0</v>
      </c>
      <c r="R9" s="23">
        <v>4.0</v>
      </c>
      <c r="S9" s="23">
        <v>5.0</v>
      </c>
      <c r="T9" s="25">
        <f t="shared" si="1"/>
        <v>65</v>
      </c>
      <c r="U9" s="26">
        <f t="shared" si="2"/>
        <v>0.01916376307</v>
      </c>
      <c r="V9" s="6"/>
    </row>
    <row r="10">
      <c r="A10" s="22" t="s">
        <v>37</v>
      </c>
      <c r="B10" s="23">
        <v>4.0</v>
      </c>
      <c r="C10" s="23">
        <v>4.0</v>
      </c>
      <c r="D10" s="23">
        <v>4.0</v>
      </c>
      <c r="E10" s="23">
        <v>4.0</v>
      </c>
      <c r="F10" s="23">
        <v>4.0</v>
      </c>
      <c r="G10" s="23">
        <v>3.0</v>
      </c>
      <c r="H10" s="23">
        <v>3.0</v>
      </c>
      <c r="I10" s="23">
        <v>3.0</v>
      </c>
      <c r="J10" s="24">
        <v>1.0</v>
      </c>
      <c r="K10" s="23">
        <v>5.0</v>
      </c>
      <c r="L10" s="23">
        <v>3.0</v>
      </c>
      <c r="M10" s="23">
        <v>4.0</v>
      </c>
      <c r="N10" s="23">
        <v>5.0</v>
      </c>
      <c r="O10" s="23">
        <v>5.0</v>
      </c>
      <c r="P10" s="23">
        <v>3.0</v>
      </c>
      <c r="Q10" s="23">
        <v>3.0</v>
      </c>
      <c r="R10" s="23">
        <v>4.0</v>
      </c>
      <c r="S10" s="23">
        <v>5.0</v>
      </c>
      <c r="T10" s="25">
        <f t="shared" si="1"/>
        <v>67</v>
      </c>
      <c r="U10" s="26">
        <f t="shared" si="2"/>
        <v>0.05052264808</v>
      </c>
      <c r="V10" s="6"/>
    </row>
    <row r="11">
      <c r="A11" s="22" t="s">
        <v>38</v>
      </c>
      <c r="B11" s="23">
        <v>4.0</v>
      </c>
      <c r="C11" s="23">
        <v>4.0</v>
      </c>
      <c r="D11" s="23">
        <v>3.0</v>
      </c>
      <c r="E11" s="23">
        <v>5.0</v>
      </c>
      <c r="F11" s="23">
        <v>5.0</v>
      </c>
      <c r="G11" s="23">
        <v>3.0</v>
      </c>
      <c r="H11" s="23">
        <v>2.0</v>
      </c>
      <c r="I11" s="23">
        <v>3.0</v>
      </c>
      <c r="J11" s="23">
        <v>4.0</v>
      </c>
      <c r="K11" s="24">
        <v>1.0</v>
      </c>
      <c r="L11" s="23">
        <v>4.0</v>
      </c>
      <c r="M11" s="23">
        <v>4.0</v>
      </c>
      <c r="N11" s="23">
        <v>5.0</v>
      </c>
      <c r="O11" s="23">
        <v>4.0</v>
      </c>
      <c r="P11" s="23">
        <v>5.0</v>
      </c>
      <c r="Q11" s="23">
        <v>4.0</v>
      </c>
      <c r="R11" s="23">
        <v>5.0</v>
      </c>
      <c r="S11" s="23">
        <v>4.0</v>
      </c>
      <c r="T11" s="25">
        <f t="shared" si="1"/>
        <v>69</v>
      </c>
      <c r="U11" s="26">
        <f t="shared" si="2"/>
        <v>0.0818815331</v>
      </c>
      <c r="V11" s="6"/>
    </row>
    <row r="12">
      <c r="A12" s="22" t="s">
        <v>39</v>
      </c>
      <c r="B12" s="23">
        <v>4.0</v>
      </c>
      <c r="C12" s="23">
        <v>2.0</v>
      </c>
      <c r="D12" s="23">
        <v>3.0</v>
      </c>
      <c r="E12" s="23">
        <v>3.0</v>
      </c>
      <c r="F12" s="23">
        <v>3.0</v>
      </c>
      <c r="G12" s="23">
        <v>3.0</v>
      </c>
      <c r="H12" s="23">
        <v>1.0</v>
      </c>
      <c r="I12" s="23">
        <v>3.0</v>
      </c>
      <c r="J12" s="23">
        <v>4.0</v>
      </c>
      <c r="K12" s="23">
        <v>4.0</v>
      </c>
      <c r="L12" s="24">
        <v>1.0</v>
      </c>
      <c r="M12" s="23">
        <v>4.0</v>
      </c>
      <c r="N12" s="23">
        <v>5.0</v>
      </c>
      <c r="O12" s="23">
        <v>4.0</v>
      </c>
      <c r="P12" s="23">
        <v>3.0</v>
      </c>
      <c r="Q12" s="23">
        <v>3.0</v>
      </c>
      <c r="R12" s="23">
        <v>1.0</v>
      </c>
      <c r="S12" s="23">
        <v>4.0</v>
      </c>
      <c r="T12" s="25">
        <f t="shared" si="1"/>
        <v>55</v>
      </c>
      <c r="U12" s="26">
        <f t="shared" si="2"/>
        <v>-0.137630662</v>
      </c>
      <c r="V12" s="6"/>
    </row>
    <row r="13">
      <c r="A13" s="22" t="s">
        <v>40</v>
      </c>
      <c r="B13" s="23">
        <v>4.0</v>
      </c>
      <c r="C13" s="23">
        <v>3.0</v>
      </c>
      <c r="D13" s="23">
        <v>5.0</v>
      </c>
      <c r="E13" s="23">
        <v>4.0</v>
      </c>
      <c r="F13" s="23">
        <v>3.0</v>
      </c>
      <c r="G13" s="23">
        <v>4.0</v>
      </c>
      <c r="H13" s="23">
        <v>3.0</v>
      </c>
      <c r="I13" s="23">
        <v>3.0</v>
      </c>
      <c r="J13" s="23">
        <v>5.0</v>
      </c>
      <c r="K13" s="23">
        <v>5.0</v>
      </c>
      <c r="L13" s="23">
        <v>3.0</v>
      </c>
      <c r="M13" s="24">
        <v>1.0</v>
      </c>
      <c r="N13" s="23">
        <v>5.0</v>
      </c>
      <c r="O13" s="23">
        <v>4.0</v>
      </c>
      <c r="P13" s="23">
        <v>4.0</v>
      </c>
      <c r="Q13" s="23">
        <v>4.0</v>
      </c>
      <c r="R13" s="23">
        <v>3.0</v>
      </c>
      <c r="S13" s="23">
        <v>4.0</v>
      </c>
      <c r="T13" s="25">
        <f t="shared" si="1"/>
        <v>67</v>
      </c>
      <c r="U13" s="26">
        <f t="shared" si="2"/>
        <v>0.05052264808</v>
      </c>
      <c r="V13" s="6"/>
    </row>
    <row r="14">
      <c r="A14" s="22" t="s">
        <v>41</v>
      </c>
      <c r="B14" s="23">
        <v>4.0</v>
      </c>
      <c r="C14" s="23">
        <v>5.0</v>
      </c>
      <c r="D14" s="23">
        <v>5.0</v>
      </c>
      <c r="E14" s="23">
        <v>5.0</v>
      </c>
      <c r="F14" s="23">
        <v>3.0</v>
      </c>
      <c r="G14" s="23">
        <v>4.0</v>
      </c>
      <c r="H14" s="23">
        <v>3.0</v>
      </c>
      <c r="I14" s="23">
        <v>4.0</v>
      </c>
      <c r="J14" s="23">
        <v>4.0</v>
      </c>
      <c r="K14" s="23">
        <v>5.0</v>
      </c>
      <c r="L14" s="23">
        <v>3.0</v>
      </c>
      <c r="M14" s="23">
        <v>5.0</v>
      </c>
      <c r="N14" s="24">
        <v>1.0</v>
      </c>
      <c r="O14" s="23">
        <v>5.0</v>
      </c>
      <c r="P14" s="23">
        <v>5.0</v>
      </c>
      <c r="Q14" s="23">
        <v>4.0</v>
      </c>
      <c r="R14" s="23">
        <v>3.0</v>
      </c>
      <c r="S14" s="23">
        <v>5.0</v>
      </c>
      <c r="T14" s="25">
        <f t="shared" si="1"/>
        <v>73</v>
      </c>
      <c r="U14" s="26">
        <f t="shared" si="2"/>
        <v>0.1445993031</v>
      </c>
      <c r="V14" s="6"/>
    </row>
    <row r="15">
      <c r="A15" s="22" t="s">
        <v>42</v>
      </c>
      <c r="B15" s="23">
        <v>4.0</v>
      </c>
      <c r="C15" s="23">
        <v>3.0</v>
      </c>
      <c r="D15" s="23">
        <v>4.0</v>
      </c>
      <c r="E15" s="23">
        <v>5.0</v>
      </c>
      <c r="F15" s="23">
        <v>4.0</v>
      </c>
      <c r="G15" s="23">
        <v>3.0</v>
      </c>
      <c r="H15" s="23">
        <v>2.0</v>
      </c>
      <c r="I15" s="23">
        <v>4.0</v>
      </c>
      <c r="J15" s="23">
        <v>5.0</v>
      </c>
      <c r="K15" s="23">
        <v>4.0</v>
      </c>
      <c r="L15" s="23">
        <v>3.0</v>
      </c>
      <c r="M15" s="23">
        <v>4.0</v>
      </c>
      <c r="N15" s="23">
        <v>5.0</v>
      </c>
      <c r="O15" s="24">
        <v>1.0</v>
      </c>
      <c r="P15" s="23">
        <v>4.0</v>
      </c>
      <c r="Q15" s="23">
        <v>4.0</v>
      </c>
      <c r="R15" s="23">
        <v>3.0</v>
      </c>
      <c r="S15" s="23">
        <v>5.0</v>
      </c>
      <c r="T15" s="25">
        <f t="shared" si="1"/>
        <v>67</v>
      </c>
      <c r="U15" s="26">
        <f t="shared" si="2"/>
        <v>0.05052264808</v>
      </c>
      <c r="V15" s="6"/>
    </row>
    <row r="16">
      <c r="A16" s="22" t="s">
        <v>43</v>
      </c>
      <c r="B16" s="23">
        <v>4.0</v>
      </c>
      <c r="C16" s="23">
        <v>2.0</v>
      </c>
      <c r="D16" s="23">
        <v>3.0</v>
      </c>
      <c r="E16" s="23">
        <v>3.0</v>
      </c>
      <c r="F16" s="23">
        <v>2.0</v>
      </c>
      <c r="G16" s="23">
        <v>2.0</v>
      </c>
      <c r="H16" s="23">
        <v>3.0</v>
      </c>
      <c r="I16" s="23">
        <v>3.0</v>
      </c>
      <c r="J16" s="23">
        <v>4.0</v>
      </c>
      <c r="K16" s="23">
        <v>5.0</v>
      </c>
      <c r="L16" s="23">
        <v>2.0</v>
      </c>
      <c r="M16" s="23">
        <v>4.0</v>
      </c>
      <c r="N16" s="23">
        <v>4.0</v>
      </c>
      <c r="O16" s="23">
        <v>4.0</v>
      </c>
      <c r="P16" s="24">
        <v>1.0</v>
      </c>
      <c r="Q16" s="23">
        <v>3.0</v>
      </c>
      <c r="R16" s="23">
        <v>2.0</v>
      </c>
      <c r="S16" s="23">
        <v>3.0</v>
      </c>
      <c r="T16" s="25">
        <f t="shared" si="1"/>
        <v>54</v>
      </c>
      <c r="U16" s="26">
        <f t="shared" si="2"/>
        <v>-0.1533101045</v>
      </c>
      <c r="V16" s="6"/>
    </row>
    <row r="17">
      <c r="A17" s="22" t="s">
        <v>44</v>
      </c>
      <c r="B17" s="23">
        <v>3.0</v>
      </c>
      <c r="C17" s="23">
        <v>3.0</v>
      </c>
      <c r="D17" s="23">
        <v>4.0</v>
      </c>
      <c r="E17" s="23">
        <v>4.0</v>
      </c>
      <c r="F17" s="23">
        <v>4.0</v>
      </c>
      <c r="G17" s="23">
        <v>3.0</v>
      </c>
      <c r="H17" s="23">
        <v>2.0</v>
      </c>
      <c r="I17" s="23">
        <v>3.0</v>
      </c>
      <c r="J17" s="23">
        <v>4.0</v>
      </c>
      <c r="K17" s="23">
        <v>5.0</v>
      </c>
      <c r="L17" s="23">
        <v>2.0</v>
      </c>
      <c r="M17" s="23">
        <v>3.0</v>
      </c>
      <c r="N17" s="23">
        <v>5.0</v>
      </c>
      <c r="O17" s="23">
        <v>5.0</v>
      </c>
      <c r="P17" s="23">
        <v>2.0</v>
      </c>
      <c r="Q17" s="24">
        <v>1.0</v>
      </c>
      <c r="R17" s="23">
        <v>2.0</v>
      </c>
      <c r="S17" s="23">
        <v>4.0</v>
      </c>
      <c r="T17" s="25">
        <f t="shared" si="1"/>
        <v>59</v>
      </c>
      <c r="U17" s="26">
        <f t="shared" si="2"/>
        <v>-0.07491289199</v>
      </c>
      <c r="V17" s="6"/>
    </row>
    <row r="18">
      <c r="A18" s="22" t="s">
        <v>45</v>
      </c>
      <c r="B18" s="23">
        <v>3.0</v>
      </c>
      <c r="C18" s="23">
        <v>4.0</v>
      </c>
      <c r="D18" s="23">
        <v>3.0</v>
      </c>
      <c r="E18" s="23">
        <v>4.0</v>
      </c>
      <c r="F18" s="23">
        <v>3.0</v>
      </c>
      <c r="G18" s="23">
        <v>2.0</v>
      </c>
      <c r="H18" s="23">
        <v>2.0</v>
      </c>
      <c r="I18" s="23">
        <v>4.0</v>
      </c>
      <c r="J18" s="23">
        <v>3.0</v>
      </c>
      <c r="K18" s="23">
        <v>5.0</v>
      </c>
      <c r="L18" s="23">
        <v>1.0</v>
      </c>
      <c r="M18" s="23">
        <v>2.0</v>
      </c>
      <c r="N18" s="23">
        <v>2.0</v>
      </c>
      <c r="O18" s="23">
        <v>3.0</v>
      </c>
      <c r="P18" s="23">
        <v>1.0</v>
      </c>
      <c r="Q18" s="23">
        <v>3.0</v>
      </c>
      <c r="R18" s="24">
        <v>1.0</v>
      </c>
      <c r="S18" s="23">
        <v>4.0</v>
      </c>
      <c r="T18" s="25">
        <f t="shared" si="1"/>
        <v>50</v>
      </c>
      <c r="U18" s="26">
        <f t="shared" si="2"/>
        <v>-0.2160278746</v>
      </c>
      <c r="V18" s="6"/>
    </row>
    <row r="19">
      <c r="A19" s="22" t="s">
        <v>46</v>
      </c>
      <c r="B19" s="23">
        <v>5.0</v>
      </c>
      <c r="C19" s="23">
        <v>4.0</v>
      </c>
      <c r="D19" s="23">
        <v>5.0</v>
      </c>
      <c r="E19" s="23">
        <v>5.0</v>
      </c>
      <c r="F19" s="23">
        <v>4.0</v>
      </c>
      <c r="G19" s="23">
        <v>4.0</v>
      </c>
      <c r="H19" s="23">
        <v>2.0</v>
      </c>
      <c r="I19" s="23">
        <v>4.0</v>
      </c>
      <c r="J19" s="23">
        <v>3.0</v>
      </c>
      <c r="K19" s="23">
        <v>5.0</v>
      </c>
      <c r="L19" s="23">
        <v>4.0</v>
      </c>
      <c r="M19" s="23">
        <v>5.0</v>
      </c>
      <c r="N19" s="23">
        <v>5.0</v>
      </c>
      <c r="O19" s="23">
        <v>5.0</v>
      </c>
      <c r="P19" s="23">
        <v>4.0</v>
      </c>
      <c r="Q19" s="23">
        <v>4.0</v>
      </c>
      <c r="R19" s="23">
        <v>3.0</v>
      </c>
      <c r="S19" s="24">
        <v>1.0</v>
      </c>
      <c r="T19" s="25">
        <f t="shared" si="1"/>
        <v>72</v>
      </c>
      <c r="U19" s="26">
        <f t="shared" si="2"/>
        <v>0.1289198606</v>
      </c>
      <c r="V19" s="6"/>
    </row>
    <row r="20">
      <c r="A20" s="28" t="s">
        <v>1</v>
      </c>
      <c r="B20" s="29">
        <f t="shared" ref="B20:S20" si="3">SUM(B2:B19)</f>
        <v>71</v>
      </c>
      <c r="C20" s="29">
        <f t="shared" si="3"/>
        <v>59</v>
      </c>
      <c r="D20" s="29">
        <f t="shared" si="3"/>
        <v>65</v>
      </c>
      <c r="E20" s="29">
        <f t="shared" si="3"/>
        <v>71</v>
      </c>
      <c r="F20" s="29">
        <f t="shared" si="3"/>
        <v>60</v>
      </c>
      <c r="G20" s="29">
        <f t="shared" si="3"/>
        <v>56</v>
      </c>
      <c r="H20" s="29">
        <f t="shared" si="3"/>
        <v>41</v>
      </c>
      <c r="I20" s="29">
        <f t="shared" si="3"/>
        <v>62</v>
      </c>
      <c r="J20" s="29">
        <f t="shared" si="3"/>
        <v>65</v>
      </c>
      <c r="K20" s="29">
        <f t="shared" si="3"/>
        <v>81</v>
      </c>
      <c r="L20" s="29">
        <f t="shared" si="3"/>
        <v>51</v>
      </c>
      <c r="M20" s="29">
        <f t="shared" si="3"/>
        <v>67</v>
      </c>
      <c r="N20" s="29">
        <f t="shared" si="3"/>
        <v>76</v>
      </c>
      <c r="O20" s="29">
        <f t="shared" si="3"/>
        <v>75</v>
      </c>
      <c r="P20" s="29">
        <f t="shared" si="3"/>
        <v>58</v>
      </c>
      <c r="Q20" s="29">
        <f t="shared" si="3"/>
        <v>63</v>
      </c>
      <c r="R20" s="29">
        <f t="shared" si="3"/>
        <v>54</v>
      </c>
      <c r="S20" s="29">
        <f t="shared" si="3"/>
        <v>73</v>
      </c>
      <c r="T20" s="30" t="s">
        <v>47</v>
      </c>
      <c r="U20" s="21"/>
      <c r="V20" s="6"/>
    </row>
    <row r="21">
      <c r="A21" s="31" t="s">
        <v>2</v>
      </c>
      <c r="B21" s="32">
        <f t="shared" ref="B21:S21" si="4">COUNTIF(B2:B19,5)</f>
        <v>3</v>
      </c>
      <c r="C21" s="32">
        <f t="shared" si="4"/>
        <v>1</v>
      </c>
      <c r="D21" s="32">
        <f t="shared" si="4"/>
        <v>3</v>
      </c>
      <c r="E21" s="32">
        <f t="shared" si="4"/>
        <v>5</v>
      </c>
      <c r="F21" s="32">
        <f t="shared" si="4"/>
        <v>1</v>
      </c>
      <c r="G21" s="32">
        <f t="shared" si="4"/>
        <v>1</v>
      </c>
      <c r="H21" s="32">
        <f t="shared" si="4"/>
        <v>0</v>
      </c>
      <c r="I21" s="32">
        <f t="shared" si="4"/>
        <v>0</v>
      </c>
      <c r="J21" s="32">
        <f t="shared" si="4"/>
        <v>3</v>
      </c>
      <c r="K21" s="32">
        <f t="shared" si="4"/>
        <v>13</v>
      </c>
      <c r="L21" s="32">
        <f t="shared" si="4"/>
        <v>0</v>
      </c>
      <c r="M21" s="32">
        <f t="shared" si="4"/>
        <v>3</v>
      </c>
      <c r="N21" s="32">
        <f t="shared" si="4"/>
        <v>10</v>
      </c>
      <c r="O21" s="32">
        <f t="shared" si="4"/>
        <v>7</v>
      </c>
      <c r="P21" s="32">
        <f t="shared" si="4"/>
        <v>2</v>
      </c>
      <c r="Q21" s="32">
        <f t="shared" si="4"/>
        <v>1</v>
      </c>
      <c r="R21" s="32">
        <f t="shared" si="4"/>
        <v>1</v>
      </c>
      <c r="S21" s="32">
        <f t="shared" si="4"/>
        <v>6</v>
      </c>
      <c r="T21" s="33">
        <f t="shared" ref="T21:T25" si="6">SUM(B21:S21)</f>
        <v>60</v>
      </c>
      <c r="U21" s="34">
        <f t="shared" ref="U21:U26" si="7">T21/$T$26</f>
        <v>0.1851851852</v>
      </c>
      <c r="V21" s="6"/>
    </row>
    <row r="22">
      <c r="A22" s="31" t="s">
        <v>3</v>
      </c>
      <c r="B22" s="32">
        <f t="shared" ref="B22:S22" si="5">COUNTIF(B2:B19,4)</f>
        <v>11</v>
      </c>
      <c r="C22" s="32">
        <f t="shared" si="5"/>
        <v>8</v>
      </c>
      <c r="D22" s="32">
        <f t="shared" si="5"/>
        <v>7</v>
      </c>
      <c r="E22" s="32">
        <f t="shared" si="5"/>
        <v>9</v>
      </c>
      <c r="F22" s="32">
        <f t="shared" si="5"/>
        <v>7</v>
      </c>
      <c r="G22" s="32">
        <f t="shared" si="5"/>
        <v>4</v>
      </c>
      <c r="H22" s="32">
        <f t="shared" si="5"/>
        <v>0</v>
      </c>
      <c r="I22" s="32">
        <f t="shared" si="5"/>
        <v>10</v>
      </c>
      <c r="J22" s="32">
        <f t="shared" si="5"/>
        <v>8</v>
      </c>
      <c r="K22" s="32">
        <f t="shared" si="5"/>
        <v>3</v>
      </c>
      <c r="L22" s="32">
        <f t="shared" si="5"/>
        <v>4</v>
      </c>
      <c r="M22" s="32">
        <f t="shared" si="5"/>
        <v>10</v>
      </c>
      <c r="N22" s="32">
        <f t="shared" si="5"/>
        <v>5</v>
      </c>
      <c r="O22" s="32">
        <f t="shared" si="5"/>
        <v>9</v>
      </c>
      <c r="P22" s="32">
        <f t="shared" si="5"/>
        <v>5</v>
      </c>
      <c r="Q22" s="32">
        <f t="shared" si="5"/>
        <v>9</v>
      </c>
      <c r="R22" s="32">
        <f t="shared" si="5"/>
        <v>4</v>
      </c>
      <c r="S22" s="32">
        <f t="shared" si="5"/>
        <v>9</v>
      </c>
      <c r="T22" s="33">
        <f t="shared" si="6"/>
        <v>122</v>
      </c>
      <c r="U22" s="34">
        <f t="shared" si="7"/>
        <v>0.3765432099</v>
      </c>
      <c r="V22" s="6"/>
    </row>
    <row r="23">
      <c r="A23" s="31" t="s">
        <v>4</v>
      </c>
      <c r="B23" s="32">
        <f t="shared" ref="B23:S23" si="8">COUNTIF(B2:B19,3)</f>
        <v>4</v>
      </c>
      <c r="C23" s="32">
        <f t="shared" si="8"/>
        <v>5</v>
      </c>
      <c r="D23" s="32">
        <f t="shared" si="8"/>
        <v>7</v>
      </c>
      <c r="E23" s="32">
        <f t="shared" si="8"/>
        <v>3</v>
      </c>
      <c r="F23" s="32">
        <f t="shared" si="8"/>
        <v>8</v>
      </c>
      <c r="G23" s="32">
        <f t="shared" si="8"/>
        <v>10</v>
      </c>
      <c r="H23" s="32">
        <f t="shared" si="8"/>
        <v>7</v>
      </c>
      <c r="I23" s="32">
        <f t="shared" si="8"/>
        <v>7</v>
      </c>
      <c r="J23" s="32">
        <f t="shared" si="8"/>
        <v>5</v>
      </c>
      <c r="K23" s="32">
        <f t="shared" si="8"/>
        <v>1</v>
      </c>
      <c r="L23" s="32">
        <f t="shared" si="8"/>
        <v>9</v>
      </c>
      <c r="M23" s="32">
        <f t="shared" si="8"/>
        <v>3</v>
      </c>
      <c r="N23" s="32">
        <f t="shared" si="8"/>
        <v>1</v>
      </c>
      <c r="O23" s="32">
        <f t="shared" si="8"/>
        <v>1</v>
      </c>
      <c r="P23" s="32">
        <f t="shared" si="8"/>
        <v>8</v>
      </c>
      <c r="Q23" s="32">
        <f t="shared" si="8"/>
        <v>7</v>
      </c>
      <c r="R23" s="32">
        <f t="shared" si="8"/>
        <v>9</v>
      </c>
      <c r="S23" s="32">
        <f t="shared" si="8"/>
        <v>2</v>
      </c>
      <c r="T23" s="33">
        <f t="shared" si="6"/>
        <v>97</v>
      </c>
      <c r="U23" s="34">
        <f t="shared" si="7"/>
        <v>0.299382716</v>
      </c>
      <c r="V23" s="6"/>
    </row>
    <row r="24">
      <c r="A24" s="31" t="s">
        <v>5</v>
      </c>
      <c r="B24" s="32">
        <f t="shared" ref="B24:S24" si="9">COUNTIF(B2:B19,2)</f>
        <v>0</v>
      </c>
      <c r="C24" s="32">
        <f t="shared" si="9"/>
        <v>3</v>
      </c>
      <c r="D24" s="32">
        <f t="shared" si="9"/>
        <v>0</v>
      </c>
      <c r="E24" s="32">
        <f t="shared" si="9"/>
        <v>0</v>
      </c>
      <c r="F24" s="32">
        <f t="shared" si="9"/>
        <v>1</v>
      </c>
      <c r="G24" s="32">
        <f t="shared" si="9"/>
        <v>2</v>
      </c>
      <c r="H24" s="32">
        <f t="shared" si="9"/>
        <v>9</v>
      </c>
      <c r="I24" s="32">
        <f t="shared" si="9"/>
        <v>0</v>
      </c>
      <c r="J24" s="32">
        <f t="shared" si="9"/>
        <v>1</v>
      </c>
      <c r="K24" s="32">
        <f t="shared" si="9"/>
        <v>0</v>
      </c>
      <c r="L24" s="32">
        <f t="shared" si="9"/>
        <v>3</v>
      </c>
      <c r="M24" s="32">
        <f t="shared" si="9"/>
        <v>1</v>
      </c>
      <c r="N24" s="32">
        <f t="shared" si="9"/>
        <v>1</v>
      </c>
      <c r="O24" s="32">
        <f t="shared" si="9"/>
        <v>0</v>
      </c>
      <c r="P24" s="32">
        <f t="shared" si="9"/>
        <v>1</v>
      </c>
      <c r="Q24" s="32">
        <f t="shared" si="9"/>
        <v>0</v>
      </c>
      <c r="R24" s="32">
        <f t="shared" si="9"/>
        <v>2</v>
      </c>
      <c r="S24" s="32">
        <f t="shared" si="9"/>
        <v>0</v>
      </c>
      <c r="T24" s="33">
        <f t="shared" si="6"/>
        <v>24</v>
      </c>
      <c r="U24" s="34">
        <f t="shared" si="7"/>
        <v>0.07407407407</v>
      </c>
      <c r="V24" s="6"/>
    </row>
    <row r="25">
      <c r="A25" s="31" t="s">
        <v>6</v>
      </c>
      <c r="B25" s="32">
        <f t="shared" ref="B25:S25" si="10">COUNTIF(B2:B19,1)</f>
        <v>0</v>
      </c>
      <c r="C25" s="32">
        <f t="shared" si="10"/>
        <v>1</v>
      </c>
      <c r="D25" s="32">
        <f t="shared" si="10"/>
        <v>1</v>
      </c>
      <c r="E25" s="32">
        <f t="shared" si="10"/>
        <v>1</v>
      </c>
      <c r="F25" s="32">
        <f t="shared" si="10"/>
        <v>1</v>
      </c>
      <c r="G25" s="32">
        <f t="shared" si="10"/>
        <v>1</v>
      </c>
      <c r="H25" s="32">
        <f t="shared" si="10"/>
        <v>2</v>
      </c>
      <c r="I25" s="32">
        <f t="shared" si="10"/>
        <v>1</v>
      </c>
      <c r="J25" s="32">
        <f t="shared" si="10"/>
        <v>1</v>
      </c>
      <c r="K25" s="32">
        <f t="shared" si="10"/>
        <v>1</v>
      </c>
      <c r="L25" s="32">
        <f t="shared" si="10"/>
        <v>2</v>
      </c>
      <c r="M25" s="32">
        <f t="shared" si="10"/>
        <v>1</v>
      </c>
      <c r="N25" s="32">
        <f t="shared" si="10"/>
        <v>1</v>
      </c>
      <c r="O25" s="32">
        <f t="shared" si="10"/>
        <v>1</v>
      </c>
      <c r="P25" s="32">
        <f t="shared" si="10"/>
        <v>2</v>
      </c>
      <c r="Q25" s="32">
        <f t="shared" si="10"/>
        <v>1</v>
      </c>
      <c r="R25" s="32">
        <f t="shared" si="10"/>
        <v>2</v>
      </c>
      <c r="S25" s="32">
        <f t="shared" si="10"/>
        <v>1</v>
      </c>
      <c r="T25" s="33">
        <f t="shared" si="6"/>
        <v>21</v>
      </c>
      <c r="U25" s="34">
        <f t="shared" si="7"/>
        <v>0.06481481481</v>
      </c>
      <c r="V25" s="6"/>
    </row>
    <row r="26">
      <c r="A26" s="3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33">
        <f>SUM(T21:T25)</f>
        <v>324</v>
      </c>
      <c r="U26" s="34">
        <f t="shared" si="7"/>
        <v>1</v>
      </c>
      <c r="V26" s="6"/>
    </row>
    <row r="27">
      <c r="A27" s="3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3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36" t="s">
        <v>48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37" t="s">
        <v>49</v>
      </c>
      <c r="B32" s="38">
        <f>AVERAGE(T2:T19)</f>
        <v>63.77777778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8.38"/>
  </cols>
  <sheetData>
    <row r="1">
      <c r="A1" s="39" t="s">
        <v>50</v>
      </c>
      <c r="B1" s="40" t="s">
        <v>51</v>
      </c>
      <c r="C1" s="40" t="s">
        <v>52</v>
      </c>
      <c r="D1" s="40" t="s">
        <v>53</v>
      </c>
      <c r="E1" s="40" t="s">
        <v>54</v>
      </c>
      <c r="F1" s="41" t="s">
        <v>55</v>
      </c>
    </row>
    <row r="2">
      <c r="A2" s="42">
        <v>1.0</v>
      </c>
      <c r="B2" s="6" t="s">
        <v>7</v>
      </c>
      <c r="C2" s="43" t="s">
        <v>56</v>
      </c>
      <c r="D2" s="1"/>
      <c r="E2" s="43" t="s">
        <v>57</v>
      </c>
    </row>
    <row r="3">
      <c r="A3" s="42">
        <v>2.0</v>
      </c>
      <c r="B3" s="6" t="s">
        <v>9</v>
      </c>
      <c r="C3" s="43" t="s">
        <v>58</v>
      </c>
      <c r="D3" s="1"/>
      <c r="E3" s="43" t="s">
        <v>59</v>
      </c>
    </row>
    <row r="4">
      <c r="A4" s="42">
        <v>3.0</v>
      </c>
      <c r="B4" s="6" t="s">
        <v>10</v>
      </c>
      <c r="C4" s="43" t="s">
        <v>60</v>
      </c>
      <c r="D4" s="1"/>
      <c r="E4" s="43" t="s">
        <v>61</v>
      </c>
    </row>
    <row r="5">
      <c r="A5" s="42">
        <v>4.0</v>
      </c>
      <c r="B5" s="6" t="s">
        <v>11</v>
      </c>
      <c r="C5" s="43" t="s">
        <v>62</v>
      </c>
      <c r="D5" s="1"/>
      <c r="E5" s="43" t="s">
        <v>61</v>
      </c>
    </row>
    <row r="6">
      <c r="B6" s="1"/>
      <c r="C6" s="1"/>
      <c r="D6" s="1"/>
      <c r="E6" s="1"/>
    </row>
  </sheetData>
  <drawing r:id="rId1"/>
</worksheet>
</file>
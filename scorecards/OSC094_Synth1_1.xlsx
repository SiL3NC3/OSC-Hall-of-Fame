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Results!" sheetId="2" r:id="rId5"/>
  </sheets>
  <definedNames>
    <definedName hidden="1" localSheetId="1" name="_xlnm._FilterDatabase">'Results!'!$A$1:$D$51</definedName>
  </definedNames>
  <calcPr/>
</workbook>
</file>

<file path=xl/sharedStrings.xml><?xml version="1.0" encoding="utf-8"?>
<sst xmlns="http://schemas.openxmlformats.org/spreadsheetml/2006/main" count="216" uniqueCount="113">
  <si>
    <t>Voter Name (KVR nick)</t>
  </si>
  <si>
    <t>.jon  - Minor Canon For Ichiro - San</t>
  </si>
  <si>
    <t>574X  - 2017 Dance Party!</t>
  </si>
  <si>
    <t>Aluode - Synth 1</t>
  </si>
  <si>
    <t>Ango / Andrej - Zgodba o machku in ptichku</t>
  </si>
  <si>
    <t>asi4  - Two Lights</t>
  </si>
  <si>
    <t>bh9090  - The Cross Forest</t>
  </si>
  <si>
    <t>Bhy  - Piggyback Tactics</t>
  </si>
  <si>
    <t>BobFish  - Four</t>
  </si>
  <si>
    <t>Brainzistor  - Everything Above Us</t>
  </si>
  <si>
    <t>ChilledPanda  - The Wait (Sombre Reflections)</t>
  </si>
  <si>
    <t>Cricetus  - Mighty Rodent</t>
  </si>
  <si>
    <t>Cruba  - Collruthban</t>
  </si>
  <si>
    <t>CymaticCreation / Dreamforgestar - αOri</t>
  </si>
  <si>
    <t>d34dmeat  - No Sleep</t>
  </si>
  <si>
    <t>Darksynth FX  - Contemplation</t>
  </si>
  <si>
    <t>Dee.P.Tree - KVR OSC Synth1  Work In Progress</t>
  </si>
  <si>
    <t>DoctorBob  - Floating with Synth1</t>
  </si>
  <si>
    <t>DriscollMusick  - Sad Machine (2016)</t>
  </si>
  <si>
    <t>e@rs  - Your Life</t>
  </si>
  <si>
    <t>Frostline  - DecSynth1REV7c2b</t>
  </si>
  <si>
    <t>J.Ruegg  - StarRain</t>
  </si>
  <si>
    <t>Jasinski - ZawnZong</t>
  </si>
  <si>
    <t>Jazzaria - Baby Dinosaur from Outer Space</t>
  </si>
  <si>
    <t>jet2  - heaven can wait</t>
  </si>
  <si>
    <t>jeye_musik  - Blackjack NNW Slash Provincialism</t>
  </si>
  <si>
    <t>jmqjmq - Jumbo(osc94)</t>
  </si>
  <si>
    <t>Liqih - You And Many Sides</t>
  </si>
  <si>
    <t>Loris  - The Power Of One</t>
  </si>
  <si>
    <t>MaZe 6000  - Trying To Summon The Phoenix</t>
  </si>
  <si>
    <t>OnTrackP  - Full CIrcle</t>
  </si>
  <si>
    <t>Opoint - BeforeTheyKnew</t>
  </si>
  <si>
    <t>Paree - Dark Magic</t>
  </si>
  <si>
    <t>Photonic  - Signal Lost</t>
  </si>
  <si>
    <t>Programator2  - Polarized Spaces</t>
  </si>
  <si>
    <t>Richard Semper  - We Are GO</t>
  </si>
  <si>
    <t>Rockingricky  - Sentimental Night</t>
  </si>
  <si>
    <t>RuediRena  - Bierccident</t>
  </si>
  <si>
    <t>sfiks  - hectic life</t>
  </si>
  <si>
    <t>slautir  - OSC94</t>
  </si>
  <si>
    <t>Taron  - BornIntoSynth</t>
  </si>
  <si>
    <t>TheNeverScene  - Scrap Metal</t>
  </si>
  <si>
    <t>Toggleaudio  - Helsinki</t>
  </si>
  <si>
    <t>toxiciron  - My God</t>
  </si>
  <si>
    <t>TrojakEW - FTL</t>
  </si>
  <si>
    <t>V-Future - 4th Dimension</t>
  </si>
  <si>
    <t>Wagtunes  - Pyramids Of Raji Kahn</t>
  </si>
  <si>
    <t>WYG_E - C.S.F.T.C.</t>
  </si>
  <si>
    <t>Yeager  - Ripcord</t>
  </si>
  <si>
    <t>zarf  - recoverMe</t>
  </si>
  <si>
    <t>_A_O_ - Grand Opening</t>
  </si>
  <si>
    <t>Generosity Score*</t>
  </si>
  <si>
    <t>.jon</t>
  </si>
  <si>
    <t>574X</t>
  </si>
  <si>
    <t>aluode</t>
  </si>
  <si>
    <t>Andrej</t>
  </si>
  <si>
    <t>asi4</t>
  </si>
  <si>
    <t>bh9090</t>
  </si>
  <si>
    <t>bhy</t>
  </si>
  <si>
    <t>bjporter</t>
  </si>
  <si>
    <t>Bob Fish / rkarpin1</t>
  </si>
  <si>
    <t>Brainzistor</t>
  </si>
  <si>
    <t>chilledpanda</t>
  </si>
  <si>
    <t>Cricetus</t>
  </si>
  <si>
    <t>Cruba</t>
  </si>
  <si>
    <t>Cymaticcreation</t>
  </si>
  <si>
    <t>d34dmeat</t>
  </si>
  <si>
    <t>Darksynth FX</t>
  </si>
  <si>
    <t>doctorbob</t>
  </si>
  <si>
    <t>DriscollMusick</t>
  </si>
  <si>
    <t>e@rs</t>
  </si>
  <si>
    <t>Frostline</t>
  </si>
  <si>
    <t>J.Ruegg</t>
  </si>
  <si>
    <t>Jazzaria</t>
  </si>
  <si>
    <t>jet2</t>
  </si>
  <si>
    <t>jeye_musik</t>
  </si>
  <si>
    <t>jmqjmq</t>
  </si>
  <si>
    <t>Liqih</t>
  </si>
  <si>
    <t>MaZe 6000</t>
  </si>
  <si>
    <t>ontrackp</t>
  </si>
  <si>
    <t>Paree</t>
  </si>
  <si>
    <t>Photonic</t>
  </si>
  <si>
    <t>Programator2</t>
  </si>
  <si>
    <t>psmacmur</t>
  </si>
  <si>
    <t>rghvdberg</t>
  </si>
  <si>
    <t>Richard Semper</t>
  </si>
  <si>
    <t>Rockingricky</t>
  </si>
  <si>
    <t>RuediRena</t>
  </si>
  <si>
    <t>sfiks</t>
  </si>
  <si>
    <t>slautir</t>
  </si>
  <si>
    <t>Taron</t>
  </si>
  <si>
    <t>toggleaudio</t>
  </si>
  <si>
    <t>TrojakEW</t>
  </si>
  <si>
    <t>V-Future</t>
  </si>
  <si>
    <t>wagtunes</t>
  </si>
  <si>
    <t>WYG_E</t>
  </si>
  <si>
    <t>Yeager</t>
  </si>
  <si>
    <t>zarf</t>
  </si>
  <si>
    <t>_A_O_</t>
  </si>
  <si>
    <t>Score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</si>
  <si>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</si>
  <si>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</si>
  <si>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</si>
  <si>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</si>
  <si>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</si>
  <si>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</si>
  <si>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</si>
  <si>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</si>
  <si>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(Red is outlier under average)</t>
  </si>
  <si>
    <t>Name</t>
  </si>
  <si>
    <t>pts</t>
  </si>
  <si>
    <t>dq</t>
  </si>
  <si>
    <t>Dee.P.Tree - Work In Progress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</si>
</sst>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/>
    <font>
      <color rgb="FF999999"/>
      <name val="Arial"/>
    </font>
    <font>
      <name val="Arial"/>
    </font>
    <font>
      <color rgb="FF666666"/>
      <name val="Arial"/>
    </font>
    <font>
      <i/>
      <sz val="11.0"/>
      <color rgb="FF666666"/>
      <name val="Arial"/>
    </font>
    <font>
      <color rgb="FF666666"/>
      <name val="Calibri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sz val="18.0"/>
      <name val="Arial"/>
    </font>
    <font>
      <color rgb="FFCCCCCC"/>
    </font>
    <font>
      <sz val="11.0"/>
      <color rgb="FF66666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1" numFmtId="0" xfId="0" applyAlignment="1" applyFill="1" applyFont="1">
      <alignment readingOrder="0"/>
    </xf>
    <xf borderId="0" fillId="0" fontId="4" numFmtId="0" xfId="0" applyAlignment="1" applyFont="1">
      <alignment horizontal="right" vertical="bottom"/>
    </xf>
    <xf borderId="0" fillId="0" fontId="4" numFmtId="9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0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1" xfId="0" applyAlignment="1" applyFont="1" applyNumberFormat="1">
      <alignment horizontal="right" vertical="bottom"/>
    </xf>
    <xf borderId="0" fillId="0" fontId="10" numFmtId="0" xfId="0" applyAlignment="1" applyFont="1">
      <alignment horizontal="left" shrinkToFit="0" vertical="bottom" wrapText="0"/>
    </xf>
    <xf borderId="0" fillId="0" fontId="11" numFmtId="0" xfId="0" applyAlignment="1" applyFont="1">
      <alignment readingOrder="0"/>
    </xf>
    <xf borderId="0" fillId="0" fontId="3" numFmtId="0" xfId="0" applyAlignment="1" applyFont="1">
      <alignment horizontal="left" vertical="bottom"/>
    </xf>
    <xf borderId="0" fillId="0" fontId="1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51" width="3.38"/>
    <col customWidth="1" min="52" max="52" width="4.63"/>
    <col customWidth="1" min="53" max="53" width="5.38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2" t="s">
        <v>51</v>
      </c>
      <c r="BA1" s="3"/>
    </row>
    <row r="2" ht="18.75" customHeight="1">
      <c r="A2" s="1" t="s">
        <v>52</v>
      </c>
      <c r="B2" s="4">
        <v>1.0</v>
      </c>
      <c r="C2" s="1">
        <v>3.0</v>
      </c>
      <c r="D2" s="1">
        <v>2.0</v>
      </c>
      <c r="E2" s="1">
        <v>4.0</v>
      </c>
      <c r="F2" s="1">
        <v>4.0</v>
      </c>
      <c r="G2" s="1">
        <v>4.0</v>
      </c>
      <c r="H2" s="1">
        <v>5.0</v>
      </c>
      <c r="I2" s="1">
        <v>4.0</v>
      </c>
      <c r="J2" s="1">
        <v>1.0</v>
      </c>
      <c r="K2" s="1">
        <v>2.0</v>
      </c>
      <c r="L2" s="1">
        <v>1.0</v>
      </c>
      <c r="M2" s="1">
        <v>3.0</v>
      </c>
      <c r="N2" s="1">
        <v>3.0</v>
      </c>
      <c r="O2" s="1">
        <v>2.0</v>
      </c>
      <c r="P2" s="1">
        <v>1.0</v>
      </c>
      <c r="Q2" s="1">
        <v>1.0</v>
      </c>
      <c r="R2" s="1">
        <v>4.0</v>
      </c>
      <c r="S2" s="1">
        <v>4.0</v>
      </c>
      <c r="T2" s="1">
        <v>3.0</v>
      </c>
      <c r="U2" s="1">
        <v>1.0</v>
      </c>
      <c r="V2" s="1">
        <v>2.0</v>
      </c>
      <c r="W2" s="1">
        <v>2.0</v>
      </c>
      <c r="X2" s="1">
        <v>3.0</v>
      </c>
      <c r="Y2" s="1">
        <v>3.0</v>
      </c>
      <c r="Z2" s="1">
        <v>4.0</v>
      </c>
      <c r="AA2" s="1">
        <v>2.0</v>
      </c>
      <c r="AB2" s="1">
        <v>2.0</v>
      </c>
      <c r="AC2" s="1">
        <v>3.0</v>
      </c>
      <c r="AD2" s="1">
        <v>3.0</v>
      </c>
      <c r="AE2" s="1">
        <v>1.0</v>
      </c>
      <c r="AF2" s="1">
        <v>5.0</v>
      </c>
      <c r="AG2" s="1">
        <v>1.0</v>
      </c>
      <c r="AH2" s="1">
        <v>3.0</v>
      </c>
      <c r="AI2" s="1">
        <v>4.0</v>
      </c>
      <c r="AJ2" s="1">
        <v>3.0</v>
      </c>
      <c r="AK2" s="1">
        <v>2.0</v>
      </c>
      <c r="AL2" s="1">
        <v>1.0</v>
      </c>
      <c r="AM2" s="1">
        <v>1.0</v>
      </c>
      <c r="AN2" s="1">
        <v>4.0</v>
      </c>
      <c r="AO2" s="1">
        <v>5.0</v>
      </c>
      <c r="AP2" s="1">
        <v>3.0</v>
      </c>
      <c r="AQ2" s="1">
        <v>5.0</v>
      </c>
      <c r="AR2" s="1">
        <v>2.0</v>
      </c>
      <c r="AS2" s="1">
        <v>1.0</v>
      </c>
      <c r="AT2" s="1">
        <v>4.0</v>
      </c>
      <c r="AU2" s="1">
        <v>2.0</v>
      </c>
      <c r="AV2" s="1">
        <v>4.0</v>
      </c>
      <c r="AW2" s="1">
        <v>4.0</v>
      </c>
      <c r="AX2" s="1">
        <v>4.0</v>
      </c>
      <c r="AY2" s="1">
        <v>4.0</v>
      </c>
      <c r="AZ2" s="5">
        <f t="shared" ref="AZ2:AZ48" si="1">SUM(B2:AY2)</f>
        <v>140</v>
      </c>
      <c r="BA2" s="6">
        <f t="shared" ref="BA2:BA48" si="2">(AZ2-$B$58)/AZ2
</f>
        <v>-0.2250759878</v>
      </c>
    </row>
    <row r="3" ht="18.75" customHeight="1">
      <c r="A3" s="1" t="s">
        <v>53</v>
      </c>
      <c r="B3" s="1">
        <v>3.0</v>
      </c>
      <c r="C3" s="4">
        <v>1.0</v>
      </c>
      <c r="D3" s="1">
        <v>5.0</v>
      </c>
      <c r="E3" s="1">
        <v>2.0</v>
      </c>
      <c r="F3" s="1">
        <v>5.0</v>
      </c>
      <c r="G3" s="1">
        <v>5.0</v>
      </c>
      <c r="H3" s="1">
        <v>5.0</v>
      </c>
      <c r="I3" s="1">
        <v>5.0</v>
      </c>
      <c r="J3" s="1">
        <v>4.0</v>
      </c>
      <c r="K3" s="1">
        <v>5.0</v>
      </c>
      <c r="L3" s="1">
        <v>4.0</v>
      </c>
      <c r="M3" s="1">
        <v>4.0</v>
      </c>
      <c r="N3" s="1">
        <v>5.0</v>
      </c>
      <c r="O3" s="1">
        <v>5.0</v>
      </c>
      <c r="P3" s="1">
        <v>4.0</v>
      </c>
      <c r="Q3" s="1">
        <v>4.0</v>
      </c>
      <c r="R3" s="1">
        <v>4.0</v>
      </c>
      <c r="S3" s="1">
        <v>3.0</v>
      </c>
      <c r="T3" s="1">
        <v>3.0</v>
      </c>
      <c r="U3" s="1">
        <v>5.0</v>
      </c>
      <c r="V3" s="1">
        <v>5.0</v>
      </c>
      <c r="W3" s="1">
        <v>4.0</v>
      </c>
      <c r="X3" s="1">
        <v>4.0</v>
      </c>
      <c r="Y3" s="1">
        <v>5.0</v>
      </c>
      <c r="Z3" s="1">
        <v>5.0</v>
      </c>
      <c r="AA3" s="1">
        <v>4.0</v>
      </c>
      <c r="AB3" s="1">
        <v>4.0</v>
      </c>
      <c r="AC3" s="1">
        <v>3.0</v>
      </c>
      <c r="AD3" s="1">
        <v>5.0</v>
      </c>
      <c r="AE3" s="1">
        <v>5.0</v>
      </c>
      <c r="AF3" s="1">
        <v>5.0</v>
      </c>
      <c r="AG3" s="1">
        <v>4.0</v>
      </c>
      <c r="AH3" s="1">
        <v>5.0</v>
      </c>
      <c r="AI3" s="1">
        <v>5.0</v>
      </c>
      <c r="AJ3" s="1">
        <v>4.0</v>
      </c>
      <c r="AK3" s="1">
        <v>4.0</v>
      </c>
      <c r="AL3" s="1">
        <v>2.0</v>
      </c>
      <c r="AM3" s="1">
        <v>3.0</v>
      </c>
      <c r="AN3" s="1">
        <v>4.0</v>
      </c>
      <c r="AO3" s="1">
        <v>5.0</v>
      </c>
      <c r="AP3" s="1">
        <v>4.0</v>
      </c>
      <c r="AQ3" s="1">
        <v>5.0</v>
      </c>
      <c r="AR3" s="1">
        <v>5.0</v>
      </c>
      <c r="AS3" s="1">
        <v>5.0</v>
      </c>
      <c r="AT3" s="1">
        <v>5.0</v>
      </c>
      <c r="AU3" s="1">
        <v>4.0</v>
      </c>
      <c r="AV3" s="1">
        <v>4.0</v>
      </c>
      <c r="AW3" s="1">
        <v>5.0</v>
      </c>
      <c r="AX3" s="1">
        <v>5.0</v>
      </c>
      <c r="AY3" s="1">
        <v>2.0</v>
      </c>
      <c r="AZ3" s="5">
        <f t="shared" si="1"/>
        <v>210</v>
      </c>
      <c r="BA3" s="6">
        <f t="shared" si="2"/>
        <v>0.1832826748</v>
      </c>
    </row>
    <row r="4" ht="18.75" customHeight="1">
      <c r="A4" s="1" t="s">
        <v>54</v>
      </c>
      <c r="B4" s="1">
        <v>4.0</v>
      </c>
      <c r="C4" s="1">
        <v>4.0</v>
      </c>
      <c r="D4" s="4">
        <v>1.0</v>
      </c>
      <c r="E4" s="1">
        <v>3.0</v>
      </c>
      <c r="F4" s="1">
        <v>4.0</v>
      </c>
      <c r="G4" s="1">
        <v>4.0</v>
      </c>
      <c r="H4" s="1">
        <v>5.0</v>
      </c>
      <c r="I4" s="1">
        <v>5.0</v>
      </c>
      <c r="J4" s="1">
        <v>5.0</v>
      </c>
      <c r="K4" s="1">
        <v>4.0</v>
      </c>
      <c r="L4" s="1">
        <v>4.0</v>
      </c>
      <c r="M4" s="1">
        <v>4.0</v>
      </c>
      <c r="N4" s="1">
        <v>5.0</v>
      </c>
      <c r="O4" s="1">
        <v>5.0</v>
      </c>
      <c r="P4" s="1">
        <v>4.0</v>
      </c>
      <c r="Q4" s="1">
        <v>4.0</v>
      </c>
      <c r="R4" s="1">
        <v>5.0</v>
      </c>
      <c r="S4" s="1">
        <v>4.0</v>
      </c>
      <c r="T4" s="1">
        <v>4.0</v>
      </c>
      <c r="U4" s="1">
        <v>4.0</v>
      </c>
      <c r="V4" s="1">
        <v>5.0</v>
      </c>
      <c r="W4" s="1">
        <v>5.0</v>
      </c>
      <c r="X4" s="1">
        <v>4.0</v>
      </c>
      <c r="Y4" s="1">
        <v>4.0</v>
      </c>
      <c r="Z4" s="1">
        <v>4.0</v>
      </c>
      <c r="AA4" s="1">
        <v>5.0</v>
      </c>
      <c r="AB4" s="1">
        <v>4.0</v>
      </c>
      <c r="AC4" s="1">
        <v>4.0</v>
      </c>
      <c r="AD4" s="1">
        <v>4.0</v>
      </c>
      <c r="AE4" s="1">
        <v>4.0</v>
      </c>
      <c r="AF4" s="1">
        <v>5.0</v>
      </c>
      <c r="AG4" s="1">
        <v>4.0</v>
      </c>
      <c r="AH4" s="1">
        <v>5.0</v>
      </c>
      <c r="AI4" s="1">
        <v>5.0</v>
      </c>
      <c r="AJ4" s="1">
        <v>4.0</v>
      </c>
      <c r="AK4" s="1">
        <v>5.0</v>
      </c>
      <c r="AL4" s="1">
        <v>4.0</v>
      </c>
      <c r="AM4" s="1">
        <v>4.0</v>
      </c>
      <c r="AN4" s="1">
        <v>4.0</v>
      </c>
      <c r="AO4" s="1">
        <v>5.0</v>
      </c>
      <c r="AP4" s="1">
        <v>5.0</v>
      </c>
      <c r="AQ4" s="1">
        <v>5.0</v>
      </c>
      <c r="AR4" s="1">
        <v>5.0</v>
      </c>
      <c r="AS4" s="1">
        <v>4.0</v>
      </c>
      <c r="AT4" s="1">
        <v>5.0</v>
      </c>
      <c r="AU4" s="1">
        <v>4.0</v>
      </c>
      <c r="AV4" s="1">
        <v>4.0</v>
      </c>
      <c r="AW4" s="1">
        <v>4.0</v>
      </c>
      <c r="AX4" s="1">
        <v>5.0</v>
      </c>
      <c r="AY4" s="1">
        <v>4.0</v>
      </c>
      <c r="AZ4" s="5">
        <f t="shared" si="1"/>
        <v>215</v>
      </c>
      <c r="BA4" s="6">
        <f t="shared" si="2"/>
        <v>0.2022761009</v>
      </c>
    </row>
    <row r="5" ht="18.75" customHeight="1">
      <c r="A5" s="1" t="s">
        <v>55</v>
      </c>
      <c r="B5" s="1">
        <v>5.0</v>
      </c>
      <c r="C5" s="1">
        <v>4.0</v>
      </c>
      <c r="D5" s="1">
        <v>5.0</v>
      </c>
      <c r="E5" s="4">
        <v>1.0</v>
      </c>
      <c r="F5" s="1">
        <v>5.0</v>
      </c>
      <c r="G5" s="1">
        <v>4.0</v>
      </c>
      <c r="H5" s="1">
        <v>4.0</v>
      </c>
      <c r="I5" s="1">
        <v>5.0</v>
      </c>
      <c r="J5" s="1">
        <v>5.0</v>
      </c>
      <c r="K5" s="1">
        <v>4.0</v>
      </c>
      <c r="L5" s="1">
        <v>4.0</v>
      </c>
      <c r="M5" s="1">
        <v>5.0</v>
      </c>
      <c r="N5" s="1">
        <v>5.0</v>
      </c>
      <c r="O5" s="1">
        <v>4.0</v>
      </c>
      <c r="P5" s="1">
        <v>5.0</v>
      </c>
      <c r="Q5" s="1">
        <v>4.0</v>
      </c>
      <c r="R5" s="1">
        <v>5.0</v>
      </c>
      <c r="S5" s="1">
        <v>5.0</v>
      </c>
      <c r="T5" s="1">
        <v>4.0</v>
      </c>
      <c r="U5" s="1">
        <v>5.0</v>
      </c>
      <c r="V5" s="1">
        <v>4.0</v>
      </c>
      <c r="W5" s="1">
        <v>4.0</v>
      </c>
      <c r="X5" s="1">
        <v>4.0</v>
      </c>
      <c r="Y5" s="1">
        <v>4.0</v>
      </c>
      <c r="Z5" s="1">
        <v>5.0</v>
      </c>
      <c r="AA5" s="1">
        <v>4.0</v>
      </c>
      <c r="AB5" s="1">
        <v>4.0</v>
      </c>
      <c r="AC5" s="1">
        <v>4.0</v>
      </c>
      <c r="AD5" s="1">
        <v>4.0</v>
      </c>
      <c r="AE5" s="1">
        <v>4.0</v>
      </c>
      <c r="AF5" s="1">
        <v>5.0</v>
      </c>
      <c r="AG5" s="1">
        <v>4.0</v>
      </c>
      <c r="AH5" s="1">
        <v>4.0</v>
      </c>
      <c r="AI5" s="1">
        <v>5.0</v>
      </c>
      <c r="AJ5" s="1">
        <v>5.0</v>
      </c>
      <c r="AK5" s="1">
        <v>5.0</v>
      </c>
      <c r="AL5" s="1">
        <v>5.0</v>
      </c>
      <c r="AM5" s="1">
        <v>4.0</v>
      </c>
      <c r="AN5" s="1">
        <v>5.0</v>
      </c>
      <c r="AO5" s="1">
        <v>5.0</v>
      </c>
      <c r="AP5" s="1">
        <v>4.0</v>
      </c>
      <c r="AQ5" s="1">
        <v>4.0</v>
      </c>
      <c r="AR5" s="1">
        <v>4.0</v>
      </c>
      <c r="AS5" s="1">
        <v>4.0</v>
      </c>
      <c r="AT5" s="1">
        <v>5.0</v>
      </c>
      <c r="AU5" s="1">
        <v>4.0</v>
      </c>
      <c r="AV5" s="1">
        <v>4.0</v>
      </c>
      <c r="AW5" s="1">
        <v>5.0</v>
      </c>
      <c r="AX5" s="1">
        <v>5.0</v>
      </c>
      <c r="AY5" s="1">
        <v>4.0</v>
      </c>
      <c r="AZ5" s="5">
        <f t="shared" si="1"/>
        <v>219</v>
      </c>
      <c r="BA5" s="6">
        <f t="shared" si="2"/>
        <v>0.2168464005</v>
      </c>
    </row>
    <row r="6" ht="18.75" customHeight="1">
      <c r="A6" s="1" t="s">
        <v>56</v>
      </c>
      <c r="B6" s="1">
        <v>4.0</v>
      </c>
      <c r="C6" s="1">
        <v>4.0</v>
      </c>
      <c r="D6" s="1">
        <v>3.0</v>
      </c>
      <c r="E6" s="1">
        <v>2.0</v>
      </c>
      <c r="F6" s="4">
        <v>1.0</v>
      </c>
      <c r="G6" s="1">
        <v>4.0</v>
      </c>
      <c r="H6" s="1">
        <v>4.0</v>
      </c>
      <c r="I6" s="1">
        <v>4.0</v>
      </c>
      <c r="J6" s="1">
        <v>4.0</v>
      </c>
      <c r="K6" s="1">
        <v>4.0</v>
      </c>
      <c r="L6" s="1">
        <v>3.0</v>
      </c>
      <c r="M6" s="1">
        <v>3.0</v>
      </c>
      <c r="N6" s="1">
        <v>5.0</v>
      </c>
      <c r="O6" s="1">
        <v>4.0</v>
      </c>
      <c r="P6" s="1">
        <v>2.0</v>
      </c>
      <c r="Q6" s="1">
        <v>4.0</v>
      </c>
      <c r="R6" s="1">
        <v>2.0</v>
      </c>
      <c r="S6" s="1">
        <v>3.0</v>
      </c>
      <c r="T6" s="1">
        <v>3.0</v>
      </c>
      <c r="U6" s="1">
        <v>3.0</v>
      </c>
      <c r="V6" s="1">
        <v>4.0</v>
      </c>
      <c r="W6" s="1">
        <v>5.0</v>
      </c>
      <c r="X6" s="1">
        <v>3.0</v>
      </c>
      <c r="Y6" s="1">
        <v>4.0</v>
      </c>
      <c r="Z6" s="1">
        <v>4.0</v>
      </c>
      <c r="AA6" s="1">
        <v>3.0</v>
      </c>
      <c r="AB6" s="1">
        <v>4.0</v>
      </c>
      <c r="AC6" s="1">
        <v>2.0</v>
      </c>
      <c r="AD6" s="1">
        <v>4.0</v>
      </c>
      <c r="AE6" s="1">
        <v>4.0</v>
      </c>
      <c r="AF6" s="1">
        <v>5.0</v>
      </c>
      <c r="AG6" s="1">
        <v>3.0</v>
      </c>
      <c r="AH6" s="1">
        <v>4.0</v>
      </c>
      <c r="AI6" s="1">
        <v>4.0</v>
      </c>
      <c r="AJ6" s="1">
        <v>4.0</v>
      </c>
      <c r="AK6" s="1">
        <v>3.0</v>
      </c>
      <c r="AL6" s="1">
        <v>3.0</v>
      </c>
      <c r="AM6" s="1">
        <v>3.0</v>
      </c>
      <c r="AN6" s="1">
        <v>2.0</v>
      </c>
      <c r="AO6" s="1">
        <v>5.0</v>
      </c>
      <c r="AP6" s="1">
        <v>3.0</v>
      </c>
      <c r="AQ6" s="1">
        <v>5.0</v>
      </c>
      <c r="AR6" s="1">
        <v>4.0</v>
      </c>
      <c r="AS6" s="1">
        <v>4.0</v>
      </c>
      <c r="AT6" s="1">
        <v>4.0</v>
      </c>
      <c r="AU6" s="1">
        <v>3.0</v>
      </c>
      <c r="AV6" s="1">
        <v>3.0</v>
      </c>
      <c r="AW6" s="1">
        <v>5.0</v>
      </c>
      <c r="AX6" s="1">
        <v>5.0</v>
      </c>
      <c r="AY6" s="1">
        <v>3.0</v>
      </c>
      <c r="AZ6" s="5">
        <f t="shared" si="1"/>
        <v>178</v>
      </c>
      <c r="BA6" s="6">
        <f t="shared" si="2"/>
        <v>0.03645708821</v>
      </c>
    </row>
    <row r="7" ht="18.75" customHeight="1">
      <c r="A7" s="1" t="s">
        <v>57</v>
      </c>
      <c r="B7" s="1">
        <v>4.0</v>
      </c>
      <c r="C7" s="1">
        <v>4.0</v>
      </c>
      <c r="D7" s="1">
        <v>4.0</v>
      </c>
      <c r="E7" s="1">
        <v>2.0</v>
      </c>
      <c r="F7" s="1">
        <v>3.0</v>
      </c>
      <c r="G7" s="4">
        <v>1.0</v>
      </c>
      <c r="H7" s="1">
        <v>5.0</v>
      </c>
      <c r="I7" s="1">
        <v>4.0</v>
      </c>
      <c r="J7" s="1">
        <v>3.0</v>
      </c>
      <c r="K7" s="1">
        <v>3.0</v>
      </c>
      <c r="L7" s="1">
        <v>3.0</v>
      </c>
      <c r="M7" s="1">
        <v>4.0</v>
      </c>
      <c r="N7" s="1">
        <v>4.0</v>
      </c>
      <c r="O7" s="1">
        <v>3.0</v>
      </c>
      <c r="P7" s="1">
        <v>3.0</v>
      </c>
      <c r="Q7" s="1">
        <v>2.0</v>
      </c>
      <c r="R7" s="1">
        <v>4.0</v>
      </c>
      <c r="S7" s="1">
        <v>3.0</v>
      </c>
      <c r="T7" s="1">
        <v>3.0</v>
      </c>
      <c r="U7" s="1">
        <v>3.0</v>
      </c>
      <c r="V7" s="1">
        <v>5.0</v>
      </c>
      <c r="W7" s="1">
        <v>4.0</v>
      </c>
      <c r="X7" s="1">
        <v>2.0</v>
      </c>
      <c r="Y7" s="1">
        <v>3.0</v>
      </c>
      <c r="Z7" s="1">
        <v>4.0</v>
      </c>
      <c r="AA7" s="1">
        <v>4.0</v>
      </c>
      <c r="AB7" s="1">
        <v>3.0</v>
      </c>
      <c r="AC7" s="1">
        <v>3.0</v>
      </c>
      <c r="AD7" s="1">
        <v>3.0</v>
      </c>
      <c r="AE7" s="1">
        <v>4.0</v>
      </c>
      <c r="AF7" s="1">
        <v>4.0</v>
      </c>
      <c r="AG7" s="1">
        <v>3.0</v>
      </c>
      <c r="AH7" s="1">
        <v>3.0</v>
      </c>
      <c r="AI7" s="1">
        <v>4.0</v>
      </c>
      <c r="AJ7" s="1">
        <v>4.0</v>
      </c>
      <c r="AK7" s="1">
        <v>2.0</v>
      </c>
      <c r="AL7" s="1">
        <v>3.0</v>
      </c>
      <c r="AM7" s="1">
        <v>3.0</v>
      </c>
      <c r="AN7" s="1">
        <v>4.0</v>
      </c>
      <c r="AO7" s="1">
        <v>4.0</v>
      </c>
      <c r="AP7" s="1">
        <v>3.0</v>
      </c>
      <c r="AQ7" s="1">
        <v>4.0</v>
      </c>
      <c r="AR7" s="1">
        <v>3.0</v>
      </c>
      <c r="AS7" s="1">
        <v>4.0</v>
      </c>
      <c r="AT7" s="1">
        <v>4.0</v>
      </c>
      <c r="AU7" s="1">
        <v>3.0</v>
      </c>
      <c r="AV7" s="1">
        <v>3.0</v>
      </c>
      <c r="AW7" s="1">
        <v>4.0</v>
      </c>
      <c r="AX7" s="1">
        <v>4.0</v>
      </c>
      <c r="AY7" s="1">
        <v>3.0</v>
      </c>
      <c r="AZ7" s="5">
        <f t="shared" si="1"/>
        <v>169</v>
      </c>
      <c r="BA7" s="6">
        <f t="shared" si="2"/>
        <v>-0.01485584792</v>
      </c>
    </row>
    <row r="8" ht="18.75" customHeight="1">
      <c r="A8" s="1" t="s">
        <v>58</v>
      </c>
      <c r="B8" s="1">
        <v>4.0</v>
      </c>
      <c r="C8" s="1">
        <v>4.0</v>
      </c>
      <c r="D8" s="1">
        <v>3.0</v>
      </c>
      <c r="E8" s="1">
        <v>2.0</v>
      </c>
      <c r="F8" s="1">
        <v>4.0</v>
      </c>
      <c r="G8" s="1">
        <v>5.0</v>
      </c>
      <c r="H8" s="4">
        <v>1.0</v>
      </c>
      <c r="I8" s="1">
        <v>4.0</v>
      </c>
      <c r="J8" s="1">
        <v>3.0</v>
      </c>
      <c r="K8" s="1">
        <v>4.0</v>
      </c>
      <c r="L8" s="1">
        <v>2.0</v>
      </c>
      <c r="M8" s="1">
        <v>3.0</v>
      </c>
      <c r="N8" s="1">
        <v>4.0</v>
      </c>
      <c r="O8" s="1">
        <v>5.0</v>
      </c>
      <c r="P8" s="1">
        <v>3.0</v>
      </c>
      <c r="Q8" s="1">
        <v>3.0</v>
      </c>
      <c r="R8" s="1">
        <v>3.0</v>
      </c>
      <c r="S8" s="1">
        <v>3.0</v>
      </c>
      <c r="T8" s="1">
        <v>3.0</v>
      </c>
      <c r="U8" s="1">
        <v>3.0</v>
      </c>
      <c r="V8" s="1">
        <v>5.0</v>
      </c>
      <c r="W8" s="1">
        <v>5.0</v>
      </c>
      <c r="X8" s="1">
        <v>2.0</v>
      </c>
      <c r="Y8" s="1">
        <v>4.0</v>
      </c>
      <c r="Z8" s="1">
        <v>4.0</v>
      </c>
      <c r="AA8" s="1">
        <v>5.0</v>
      </c>
      <c r="AB8" s="1">
        <v>3.0</v>
      </c>
      <c r="AC8" s="1">
        <v>5.0</v>
      </c>
      <c r="AD8" s="1">
        <v>3.0</v>
      </c>
      <c r="AE8" s="1">
        <v>2.0</v>
      </c>
      <c r="AF8" s="1">
        <v>4.0</v>
      </c>
      <c r="AG8" s="1">
        <v>3.0</v>
      </c>
      <c r="AH8" s="1">
        <v>5.0</v>
      </c>
      <c r="AI8" s="1">
        <v>4.0</v>
      </c>
      <c r="AJ8" s="1">
        <v>4.0</v>
      </c>
      <c r="AK8" s="1">
        <v>2.0</v>
      </c>
      <c r="AL8" s="1">
        <v>3.0</v>
      </c>
      <c r="AM8" s="1">
        <v>3.0</v>
      </c>
      <c r="AN8" s="1">
        <v>3.0</v>
      </c>
      <c r="AO8" s="1">
        <v>5.0</v>
      </c>
      <c r="AP8" s="1">
        <v>5.0</v>
      </c>
      <c r="AQ8" s="1">
        <v>5.0</v>
      </c>
      <c r="AR8" s="1">
        <v>3.0</v>
      </c>
      <c r="AS8" s="1">
        <v>4.0</v>
      </c>
      <c r="AT8" s="1">
        <v>4.0</v>
      </c>
      <c r="AU8" s="1">
        <v>3.0</v>
      </c>
      <c r="AV8" s="1">
        <v>2.0</v>
      </c>
      <c r="AW8" s="1">
        <v>4.0</v>
      </c>
      <c r="AX8" s="1">
        <v>5.0</v>
      </c>
      <c r="AY8" s="1">
        <v>2.0</v>
      </c>
      <c r="AZ8" s="5">
        <f t="shared" si="1"/>
        <v>177</v>
      </c>
      <c r="BA8" s="6">
        <f t="shared" si="2"/>
        <v>0.03101334295</v>
      </c>
    </row>
    <row r="9" ht="18.75" customHeight="1">
      <c r="A9" s="1" t="s">
        <v>59</v>
      </c>
      <c r="B9" s="1">
        <v>3.0</v>
      </c>
      <c r="C9" s="1">
        <v>4.0</v>
      </c>
      <c r="D9" s="1">
        <v>3.0</v>
      </c>
      <c r="E9" s="1">
        <v>3.0</v>
      </c>
      <c r="F9" s="1">
        <v>4.0</v>
      </c>
      <c r="G9" s="1">
        <v>3.0</v>
      </c>
      <c r="H9" s="1">
        <v>4.0</v>
      </c>
      <c r="I9" s="1">
        <v>4.0</v>
      </c>
      <c r="J9" s="1">
        <v>4.0</v>
      </c>
      <c r="K9" s="1">
        <v>4.0</v>
      </c>
      <c r="L9" s="1">
        <v>3.0</v>
      </c>
      <c r="M9" s="1">
        <v>4.0</v>
      </c>
      <c r="N9" s="1">
        <v>4.0</v>
      </c>
      <c r="O9" s="1">
        <v>4.0</v>
      </c>
      <c r="P9" s="1">
        <v>3.0</v>
      </c>
      <c r="Q9" s="1">
        <v>2.0</v>
      </c>
      <c r="R9" s="1">
        <v>4.0</v>
      </c>
      <c r="S9" s="1">
        <v>4.0</v>
      </c>
      <c r="T9" s="1">
        <v>4.0</v>
      </c>
      <c r="U9" s="1">
        <v>4.0</v>
      </c>
      <c r="V9" s="1">
        <v>4.0</v>
      </c>
      <c r="W9" s="1">
        <v>4.0</v>
      </c>
      <c r="X9" s="1">
        <v>3.0</v>
      </c>
      <c r="Y9" s="1">
        <v>4.0</v>
      </c>
      <c r="Z9" s="1">
        <v>3.0</v>
      </c>
      <c r="AA9" s="1">
        <v>5.0</v>
      </c>
      <c r="AB9" s="1">
        <v>3.0</v>
      </c>
      <c r="AC9" s="1">
        <v>3.0</v>
      </c>
      <c r="AD9" s="1">
        <v>4.0</v>
      </c>
      <c r="AE9" s="1">
        <v>4.0</v>
      </c>
      <c r="AF9" s="1">
        <v>4.0</v>
      </c>
      <c r="AG9" s="1">
        <v>3.0</v>
      </c>
      <c r="AH9" s="1">
        <v>4.0</v>
      </c>
      <c r="AI9" s="1">
        <v>5.0</v>
      </c>
      <c r="AJ9" s="1">
        <v>4.0</v>
      </c>
      <c r="AK9" s="1">
        <v>4.0</v>
      </c>
      <c r="AL9" s="1">
        <v>4.0</v>
      </c>
      <c r="AM9" s="1">
        <v>3.0</v>
      </c>
      <c r="AN9" s="1">
        <v>4.0</v>
      </c>
      <c r="AO9" s="1">
        <v>4.0</v>
      </c>
      <c r="AP9" s="1">
        <v>4.0</v>
      </c>
      <c r="AQ9" s="1">
        <v>3.0</v>
      </c>
      <c r="AR9" s="1">
        <v>5.0</v>
      </c>
      <c r="AS9" s="1">
        <v>4.0</v>
      </c>
      <c r="AT9" s="1">
        <v>5.0</v>
      </c>
      <c r="AU9" s="1">
        <v>3.0</v>
      </c>
      <c r="AV9" s="1">
        <v>4.0</v>
      </c>
      <c r="AW9" s="1">
        <v>4.0</v>
      </c>
      <c r="AX9" s="1">
        <v>4.0</v>
      </c>
      <c r="AY9" s="1">
        <v>3.0</v>
      </c>
      <c r="AZ9" s="5">
        <f t="shared" si="1"/>
        <v>187</v>
      </c>
      <c r="BA9" s="6">
        <f t="shared" si="2"/>
        <v>0.08283081124</v>
      </c>
    </row>
    <row r="10" ht="18.75" customHeight="1">
      <c r="A10" s="1" t="s">
        <v>60</v>
      </c>
      <c r="B10" s="1">
        <v>2.0</v>
      </c>
      <c r="C10" s="1">
        <v>4.0</v>
      </c>
      <c r="D10" s="1">
        <v>1.0</v>
      </c>
      <c r="E10" s="1">
        <v>1.0</v>
      </c>
      <c r="F10" s="1">
        <v>3.0</v>
      </c>
      <c r="G10" s="1">
        <v>4.0</v>
      </c>
      <c r="H10" s="1">
        <v>5.0</v>
      </c>
      <c r="I10" s="4">
        <v>1.0</v>
      </c>
      <c r="J10" s="1">
        <v>4.0</v>
      </c>
      <c r="K10" s="1">
        <v>4.0</v>
      </c>
      <c r="L10" s="1">
        <v>2.0</v>
      </c>
      <c r="M10" s="1">
        <v>3.0</v>
      </c>
      <c r="N10" s="1">
        <v>3.0</v>
      </c>
      <c r="O10" s="1">
        <v>2.0</v>
      </c>
      <c r="P10" s="1">
        <v>2.0</v>
      </c>
      <c r="Q10" s="1">
        <v>1.0</v>
      </c>
      <c r="R10" s="1">
        <v>3.0</v>
      </c>
      <c r="S10" s="1">
        <v>1.0</v>
      </c>
      <c r="T10" s="1">
        <v>1.0</v>
      </c>
      <c r="U10" s="1">
        <v>3.0</v>
      </c>
      <c r="V10" s="1">
        <v>5.0</v>
      </c>
      <c r="W10" s="1">
        <v>4.0</v>
      </c>
      <c r="X10" s="1">
        <v>2.0</v>
      </c>
      <c r="Y10" s="1">
        <v>3.0</v>
      </c>
      <c r="Z10" s="1">
        <v>3.0</v>
      </c>
      <c r="AA10" s="1">
        <v>4.0</v>
      </c>
      <c r="AB10" s="1">
        <v>3.0</v>
      </c>
      <c r="AC10" s="1">
        <v>3.0</v>
      </c>
      <c r="AD10" s="1">
        <v>3.0</v>
      </c>
      <c r="AE10" s="1">
        <v>2.0</v>
      </c>
      <c r="AF10" s="1">
        <v>1.0</v>
      </c>
      <c r="AG10" s="1">
        <v>2.0</v>
      </c>
      <c r="AH10" s="1">
        <v>5.0</v>
      </c>
      <c r="AI10" s="1">
        <v>4.0</v>
      </c>
      <c r="AJ10" s="1">
        <v>3.0</v>
      </c>
      <c r="AK10" s="1">
        <v>3.0</v>
      </c>
      <c r="AL10" s="1">
        <v>3.0</v>
      </c>
      <c r="AM10" s="1">
        <v>4.0</v>
      </c>
      <c r="AN10" s="1">
        <v>2.0</v>
      </c>
      <c r="AO10" s="1">
        <v>5.0</v>
      </c>
      <c r="AP10" s="1">
        <v>5.0</v>
      </c>
      <c r="AQ10" s="1">
        <v>3.0</v>
      </c>
      <c r="AR10" s="1">
        <v>3.0</v>
      </c>
      <c r="AS10" s="1">
        <v>4.0</v>
      </c>
      <c r="AT10" s="1">
        <v>4.0</v>
      </c>
      <c r="AU10" s="1">
        <v>3.0</v>
      </c>
      <c r="AV10" s="1">
        <v>3.0</v>
      </c>
      <c r="AW10" s="1">
        <v>5.0</v>
      </c>
      <c r="AX10" s="1">
        <v>4.0</v>
      </c>
      <c r="AY10" s="1">
        <v>3.0</v>
      </c>
      <c r="AZ10" s="5">
        <f t="shared" si="1"/>
        <v>151</v>
      </c>
      <c r="BA10" s="6">
        <f t="shared" si="2"/>
        <v>-0.1358320417</v>
      </c>
    </row>
    <row r="11" ht="18.75" customHeight="1">
      <c r="A11" s="1" t="s">
        <v>61</v>
      </c>
      <c r="B11" s="1">
        <v>2.0</v>
      </c>
      <c r="C11" s="1">
        <v>3.0</v>
      </c>
      <c r="D11" s="1">
        <v>3.0</v>
      </c>
      <c r="E11" s="1">
        <v>1.0</v>
      </c>
      <c r="F11" s="1">
        <v>4.0</v>
      </c>
      <c r="G11" s="1">
        <v>4.0</v>
      </c>
      <c r="H11" s="1">
        <v>4.0</v>
      </c>
      <c r="I11" s="1">
        <v>4.0</v>
      </c>
      <c r="J11" s="4">
        <v>1.0</v>
      </c>
      <c r="K11" s="1">
        <v>4.0</v>
      </c>
      <c r="L11" s="1">
        <v>2.0</v>
      </c>
      <c r="M11" s="1">
        <v>3.0</v>
      </c>
      <c r="N11" s="1">
        <v>4.0</v>
      </c>
      <c r="O11" s="1">
        <v>4.0</v>
      </c>
      <c r="P11" s="1">
        <v>3.0</v>
      </c>
      <c r="Q11" s="1">
        <v>3.0</v>
      </c>
      <c r="R11" s="1">
        <v>3.0</v>
      </c>
      <c r="S11" s="1">
        <v>2.0</v>
      </c>
      <c r="T11" s="1">
        <v>3.0</v>
      </c>
      <c r="U11" s="1">
        <v>3.0</v>
      </c>
      <c r="V11" s="1">
        <v>4.0</v>
      </c>
      <c r="W11" s="1">
        <v>4.0</v>
      </c>
      <c r="X11" s="1">
        <v>2.0</v>
      </c>
      <c r="Y11" s="1">
        <v>4.0</v>
      </c>
      <c r="Z11" s="1">
        <v>3.0</v>
      </c>
      <c r="AA11" s="1">
        <v>4.0</v>
      </c>
      <c r="AB11" s="1">
        <v>3.0</v>
      </c>
      <c r="AC11" s="1">
        <v>3.0</v>
      </c>
      <c r="AD11" s="1">
        <v>3.0</v>
      </c>
      <c r="AE11" s="1">
        <v>3.0</v>
      </c>
      <c r="AF11" s="1">
        <v>4.0</v>
      </c>
      <c r="AG11" s="1">
        <v>3.0</v>
      </c>
      <c r="AH11" s="1">
        <v>5.0</v>
      </c>
      <c r="AI11" s="1">
        <v>4.0</v>
      </c>
      <c r="AJ11" s="1">
        <v>4.0</v>
      </c>
      <c r="AK11" s="1">
        <v>2.0</v>
      </c>
      <c r="AL11" s="1">
        <v>3.0</v>
      </c>
      <c r="AM11" s="1">
        <v>3.0</v>
      </c>
      <c r="AN11" s="1">
        <v>4.0</v>
      </c>
      <c r="AO11" s="1">
        <v>5.0</v>
      </c>
      <c r="AP11" s="1">
        <v>5.0</v>
      </c>
      <c r="AQ11" s="1">
        <v>4.0</v>
      </c>
      <c r="AR11" s="1">
        <v>4.0</v>
      </c>
      <c r="AS11" s="1">
        <v>3.0</v>
      </c>
      <c r="AT11" s="1">
        <v>4.0</v>
      </c>
      <c r="AU11" s="1">
        <v>2.0</v>
      </c>
      <c r="AV11" s="1">
        <v>3.0</v>
      </c>
      <c r="AW11" s="1">
        <v>4.0</v>
      </c>
      <c r="AX11" s="1">
        <v>5.0</v>
      </c>
      <c r="AY11" s="1">
        <v>3.0</v>
      </c>
      <c r="AZ11" s="5">
        <f t="shared" si="1"/>
        <v>167</v>
      </c>
      <c r="BA11" s="6">
        <f t="shared" si="2"/>
        <v>-0.02700981017</v>
      </c>
    </row>
    <row r="12" ht="18.75" customHeight="1">
      <c r="A12" s="1" t="s">
        <v>62</v>
      </c>
      <c r="B12" s="1">
        <v>3.0</v>
      </c>
      <c r="C12" s="1">
        <v>4.0</v>
      </c>
      <c r="D12" s="1">
        <v>3.0</v>
      </c>
      <c r="E12" s="1">
        <v>3.0</v>
      </c>
      <c r="F12" s="1">
        <v>4.0</v>
      </c>
      <c r="G12" s="1">
        <v>4.0</v>
      </c>
      <c r="H12" s="1">
        <v>4.0</v>
      </c>
      <c r="I12" s="1">
        <v>3.0</v>
      </c>
      <c r="J12" s="1">
        <v>5.0</v>
      </c>
      <c r="K12" s="4">
        <v>1.0</v>
      </c>
      <c r="L12" s="1">
        <v>2.0</v>
      </c>
      <c r="M12" s="1">
        <v>4.0</v>
      </c>
      <c r="N12" s="1">
        <v>4.0</v>
      </c>
      <c r="O12" s="1">
        <v>3.0</v>
      </c>
      <c r="P12" s="1">
        <v>3.0</v>
      </c>
      <c r="Q12" s="1">
        <v>2.0</v>
      </c>
      <c r="R12" s="1">
        <v>3.0</v>
      </c>
      <c r="S12" s="1">
        <v>3.0</v>
      </c>
      <c r="T12" s="1">
        <v>3.0</v>
      </c>
      <c r="U12" s="1">
        <v>3.0</v>
      </c>
      <c r="V12" s="1">
        <v>4.0</v>
      </c>
      <c r="W12" s="1">
        <v>4.0</v>
      </c>
      <c r="X12" s="1">
        <v>2.0</v>
      </c>
      <c r="Y12" s="1">
        <v>3.0</v>
      </c>
      <c r="Z12" s="1">
        <v>3.0</v>
      </c>
      <c r="AA12" s="1">
        <v>4.0</v>
      </c>
      <c r="AB12" s="1">
        <v>3.0</v>
      </c>
      <c r="AC12" s="1">
        <v>4.0</v>
      </c>
      <c r="AD12" s="1">
        <v>5.0</v>
      </c>
      <c r="AE12" s="1">
        <v>3.0</v>
      </c>
      <c r="AF12" s="1">
        <v>3.0</v>
      </c>
      <c r="AG12" s="1">
        <v>3.0</v>
      </c>
      <c r="AH12" s="1">
        <v>4.0</v>
      </c>
      <c r="AI12" s="1">
        <v>3.0</v>
      </c>
      <c r="AJ12" s="1">
        <v>4.0</v>
      </c>
      <c r="AK12" s="1">
        <v>2.0</v>
      </c>
      <c r="AL12" s="1">
        <v>4.0</v>
      </c>
      <c r="AM12" s="1">
        <v>3.0</v>
      </c>
      <c r="AN12" s="1">
        <v>3.0</v>
      </c>
      <c r="AO12" s="1">
        <v>5.0</v>
      </c>
      <c r="AP12" s="1">
        <v>3.0</v>
      </c>
      <c r="AQ12" s="1">
        <v>4.0</v>
      </c>
      <c r="AR12" s="1">
        <v>3.0</v>
      </c>
      <c r="AS12" s="1">
        <v>4.0</v>
      </c>
      <c r="AT12" s="1">
        <v>3.0</v>
      </c>
      <c r="AU12" s="1">
        <v>2.0</v>
      </c>
      <c r="AV12" s="1">
        <v>4.0</v>
      </c>
      <c r="AW12" s="1">
        <v>4.0</v>
      </c>
      <c r="AX12" s="1">
        <v>4.0</v>
      </c>
      <c r="AY12" s="1">
        <v>3.0</v>
      </c>
      <c r="AZ12" s="5">
        <f t="shared" si="1"/>
        <v>167</v>
      </c>
      <c r="BA12" s="6">
        <f t="shared" si="2"/>
        <v>-0.02700981017</v>
      </c>
    </row>
    <row r="13" ht="18.75" customHeight="1">
      <c r="A13" s="1" t="s">
        <v>63</v>
      </c>
      <c r="B13" s="1">
        <v>3.0</v>
      </c>
      <c r="C13" s="1">
        <v>4.0</v>
      </c>
      <c r="D13" s="1">
        <v>4.0</v>
      </c>
      <c r="E13" s="1">
        <v>2.0</v>
      </c>
      <c r="F13" s="1">
        <v>4.0</v>
      </c>
      <c r="G13" s="1">
        <v>3.0</v>
      </c>
      <c r="H13" s="1">
        <v>3.0</v>
      </c>
      <c r="I13" s="1">
        <v>4.0</v>
      </c>
      <c r="J13" s="1">
        <v>4.0</v>
      </c>
      <c r="K13" s="1">
        <v>4.0</v>
      </c>
      <c r="L13" s="4">
        <v>1.0</v>
      </c>
      <c r="M13" s="1">
        <v>3.0</v>
      </c>
      <c r="N13" s="1">
        <v>3.0</v>
      </c>
      <c r="O13" s="1">
        <v>4.0</v>
      </c>
      <c r="P13" s="1">
        <v>4.0</v>
      </c>
      <c r="Q13" s="1">
        <v>2.0</v>
      </c>
      <c r="R13" s="1">
        <v>3.0</v>
      </c>
      <c r="S13" s="1">
        <v>3.0</v>
      </c>
      <c r="T13" s="1">
        <v>3.0</v>
      </c>
      <c r="U13" s="1">
        <v>3.0</v>
      </c>
      <c r="V13" s="1">
        <v>5.0</v>
      </c>
      <c r="W13" s="1">
        <v>4.0</v>
      </c>
      <c r="X13" s="1">
        <v>3.0</v>
      </c>
      <c r="Y13" s="1">
        <v>3.0</v>
      </c>
      <c r="Z13" s="1">
        <v>3.0</v>
      </c>
      <c r="AA13" s="1">
        <v>3.0</v>
      </c>
      <c r="AB13" s="1">
        <v>3.0</v>
      </c>
      <c r="AC13" s="1">
        <v>4.0</v>
      </c>
      <c r="AD13" s="1">
        <v>3.0</v>
      </c>
      <c r="AE13" s="1">
        <v>3.0</v>
      </c>
      <c r="AF13" s="1">
        <v>3.0</v>
      </c>
      <c r="AG13" s="1">
        <v>2.0</v>
      </c>
      <c r="AH13" s="1">
        <v>4.0</v>
      </c>
      <c r="AI13" s="1">
        <v>5.0</v>
      </c>
      <c r="AJ13" s="1">
        <v>3.0</v>
      </c>
      <c r="AK13" s="1">
        <v>3.0</v>
      </c>
      <c r="AL13" s="1">
        <v>2.0</v>
      </c>
      <c r="AM13" s="1">
        <v>2.0</v>
      </c>
      <c r="AN13" s="1">
        <v>3.0</v>
      </c>
      <c r="AO13" s="1">
        <v>3.0</v>
      </c>
      <c r="AP13" s="1">
        <v>4.0</v>
      </c>
      <c r="AQ13" s="1">
        <v>3.0</v>
      </c>
      <c r="AR13" s="1">
        <v>4.0</v>
      </c>
      <c r="AS13" s="1">
        <v>4.0</v>
      </c>
      <c r="AT13" s="1">
        <v>5.0</v>
      </c>
      <c r="AU13" s="1">
        <v>3.0</v>
      </c>
      <c r="AV13" s="1">
        <v>4.0</v>
      </c>
      <c r="AW13" s="1">
        <v>3.0</v>
      </c>
      <c r="AX13" s="1">
        <v>3.0</v>
      </c>
      <c r="AY13" s="1">
        <v>2.0</v>
      </c>
      <c r="AZ13" s="5">
        <f t="shared" si="1"/>
        <v>163</v>
      </c>
      <c r="BA13" s="6">
        <f t="shared" si="2"/>
        <v>-0.05221250489</v>
      </c>
    </row>
    <row r="14" ht="18.75" customHeight="1">
      <c r="A14" s="1" t="s">
        <v>64</v>
      </c>
      <c r="B14" s="1">
        <v>2.0</v>
      </c>
      <c r="C14" s="1">
        <v>4.0</v>
      </c>
      <c r="D14" s="1">
        <v>3.0</v>
      </c>
      <c r="E14" s="1">
        <v>1.0</v>
      </c>
      <c r="F14" s="1">
        <v>3.0</v>
      </c>
      <c r="G14" s="1">
        <v>4.0</v>
      </c>
      <c r="H14" s="1">
        <v>3.0</v>
      </c>
      <c r="I14" s="1">
        <v>4.0</v>
      </c>
      <c r="J14" s="1">
        <v>4.0</v>
      </c>
      <c r="K14" s="1">
        <v>3.0</v>
      </c>
      <c r="L14" s="1">
        <v>2.0</v>
      </c>
      <c r="M14" s="4">
        <v>1.0</v>
      </c>
      <c r="N14" s="1">
        <v>3.0</v>
      </c>
      <c r="O14" s="1">
        <v>3.0</v>
      </c>
      <c r="P14" s="1">
        <v>2.0</v>
      </c>
      <c r="Q14" s="1">
        <v>3.0</v>
      </c>
      <c r="R14" s="1">
        <v>3.0</v>
      </c>
      <c r="S14" s="1">
        <v>1.0</v>
      </c>
      <c r="T14" s="1">
        <v>2.0</v>
      </c>
      <c r="U14" s="1">
        <v>5.0</v>
      </c>
      <c r="V14" s="1">
        <v>5.0</v>
      </c>
      <c r="W14" s="1">
        <v>3.0</v>
      </c>
      <c r="X14" s="1">
        <v>2.0</v>
      </c>
      <c r="Y14" s="1">
        <v>3.0</v>
      </c>
      <c r="Z14" s="1">
        <v>2.0</v>
      </c>
      <c r="AA14" s="1">
        <v>3.0</v>
      </c>
      <c r="AB14" s="1">
        <v>3.0</v>
      </c>
      <c r="AC14" s="1">
        <v>2.0</v>
      </c>
      <c r="AD14" s="1">
        <v>2.0</v>
      </c>
      <c r="AE14" s="1">
        <v>4.0</v>
      </c>
      <c r="AF14" s="1">
        <v>3.0</v>
      </c>
      <c r="AG14" s="1">
        <v>2.0</v>
      </c>
      <c r="AH14" s="1">
        <v>5.0</v>
      </c>
      <c r="AI14" s="1">
        <v>3.0</v>
      </c>
      <c r="AJ14" s="1">
        <v>3.0</v>
      </c>
      <c r="AK14" s="1">
        <v>3.0</v>
      </c>
      <c r="AL14" s="1">
        <v>3.0</v>
      </c>
      <c r="AM14" s="1">
        <v>2.0</v>
      </c>
      <c r="AN14" s="1">
        <v>2.0</v>
      </c>
      <c r="AO14" s="1">
        <v>3.0</v>
      </c>
      <c r="AP14" s="1">
        <v>3.0</v>
      </c>
      <c r="AQ14" s="1">
        <v>5.0</v>
      </c>
      <c r="AR14" s="1">
        <v>2.0</v>
      </c>
      <c r="AS14" s="1">
        <v>3.0</v>
      </c>
      <c r="AT14" s="1">
        <v>2.0</v>
      </c>
      <c r="AU14" s="1">
        <v>2.0</v>
      </c>
      <c r="AV14" s="1">
        <v>3.0</v>
      </c>
      <c r="AW14" s="1">
        <v>3.0</v>
      </c>
      <c r="AX14" s="1">
        <v>4.0</v>
      </c>
      <c r="AY14" s="1">
        <v>3.0</v>
      </c>
      <c r="AZ14" s="5">
        <f t="shared" si="1"/>
        <v>144</v>
      </c>
      <c r="BA14" s="6">
        <f t="shared" si="2"/>
        <v>-0.1910460993</v>
      </c>
    </row>
    <row r="15" ht="18.75" customHeight="1">
      <c r="A15" s="1" t="s">
        <v>65</v>
      </c>
      <c r="B15" s="1">
        <v>3.0</v>
      </c>
      <c r="C15" s="1">
        <v>4.0</v>
      </c>
      <c r="D15" s="1">
        <v>4.0</v>
      </c>
      <c r="E15" s="1">
        <v>4.0</v>
      </c>
      <c r="F15" s="1">
        <v>5.0</v>
      </c>
      <c r="G15" s="1">
        <v>4.0</v>
      </c>
      <c r="H15" s="1">
        <v>4.0</v>
      </c>
      <c r="I15" s="1">
        <v>4.0</v>
      </c>
      <c r="J15" s="1">
        <v>4.0</v>
      </c>
      <c r="K15" s="1">
        <v>4.0</v>
      </c>
      <c r="L15" s="1">
        <v>3.0</v>
      </c>
      <c r="M15" s="1">
        <v>4.0</v>
      </c>
      <c r="N15" s="4">
        <v>1.0</v>
      </c>
      <c r="O15" s="1">
        <v>4.0</v>
      </c>
      <c r="P15" s="1">
        <v>3.0</v>
      </c>
      <c r="Q15" s="1">
        <v>4.0</v>
      </c>
      <c r="R15" s="1">
        <v>5.0</v>
      </c>
      <c r="S15" s="1">
        <v>4.0</v>
      </c>
      <c r="T15" s="1">
        <v>4.0</v>
      </c>
      <c r="U15" s="1">
        <v>4.0</v>
      </c>
      <c r="V15" s="1">
        <v>4.0</v>
      </c>
      <c r="W15" s="1">
        <v>5.0</v>
      </c>
      <c r="X15" s="1">
        <v>4.0</v>
      </c>
      <c r="Y15" s="1">
        <v>4.0</v>
      </c>
      <c r="Z15" s="1">
        <v>4.0</v>
      </c>
      <c r="AA15" s="1">
        <v>4.0</v>
      </c>
      <c r="AB15" s="1">
        <v>4.0</v>
      </c>
      <c r="AC15" s="1">
        <v>4.0</v>
      </c>
      <c r="AD15" s="1">
        <v>5.0</v>
      </c>
      <c r="AE15" s="1">
        <v>4.0</v>
      </c>
      <c r="AF15" s="1">
        <v>4.0</v>
      </c>
      <c r="AG15" s="1">
        <v>3.0</v>
      </c>
      <c r="AH15" s="1">
        <v>5.0</v>
      </c>
      <c r="AI15" s="1">
        <v>4.0</v>
      </c>
      <c r="AJ15" s="1">
        <v>5.0</v>
      </c>
      <c r="AK15" s="1">
        <v>4.0</v>
      </c>
      <c r="AL15" s="1">
        <v>4.0</v>
      </c>
      <c r="AM15" s="1">
        <v>3.0</v>
      </c>
      <c r="AN15" s="1">
        <v>3.0</v>
      </c>
      <c r="AO15" s="1">
        <v>5.0</v>
      </c>
      <c r="AP15" s="1">
        <v>4.0</v>
      </c>
      <c r="AQ15" s="1">
        <v>5.0</v>
      </c>
      <c r="AR15" s="1">
        <v>4.0</v>
      </c>
      <c r="AS15" s="1">
        <v>4.0</v>
      </c>
      <c r="AT15" s="1">
        <v>4.0</v>
      </c>
      <c r="AU15" s="1">
        <v>3.0</v>
      </c>
      <c r="AV15" s="1">
        <v>4.0</v>
      </c>
      <c r="AW15" s="1">
        <v>5.0</v>
      </c>
      <c r="AX15" s="1">
        <v>4.0</v>
      </c>
      <c r="AY15" s="1">
        <v>3.0</v>
      </c>
      <c r="AZ15" s="5">
        <f t="shared" si="1"/>
        <v>198</v>
      </c>
      <c r="BA15" s="6">
        <f t="shared" si="2"/>
        <v>0.1337846551</v>
      </c>
    </row>
    <row r="16" ht="18.75" customHeight="1">
      <c r="A16" s="1" t="s">
        <v>66</v>
      </c>
      <c r="B16" s="1">
        <v>1.0</v>
      </c>
      <c r="C16" s="1">
        <v>4.0</v>
      </c>
      <c r="D16" s="1">
        <v>3.0</v>
      </c>
      <c r="E16" s="1">
        <v>1.0</v>
      </c>
      <c r="F16" s="1">
        <v>3.0</v>
      </c>
      <c r="G16" s="1">
        <v>4.0</v>
      </c>
      <c r="H16" s="1">
        <v>3.0</v>
      </c>
      <c r="I16" s="1">
        <v>2.0</v>
      </c>
      <c r="J16" s="1">
        <v>4.0</v>
      </c>
      <c r="K16" s="1">
        <v>3.0</v>
      </c>
      <c r="L16" s="1">
        <v>1.0</v>
      </c>
      <c r="M16" s="1">
        <v>2.0</v>
      </c>
      <c r="N16" s="1">
        <v>2.0</v>
      </c>
      <c r="O16" s="4">
        <v>1.0</v>
      </c>
      <c r="P16" s="1">
        <v>4.0</v>
      </c>
      <c r="Q16" s="1">
        <v>2.0</v>
      </c>
      <c r="R16" s="1">
        <v>1.0</v>
      </c>
      <c r="S16" s="1">
        <v>3.0</v>
      </c>
      <c r="T16" s="1">
        <v>3.0</v>
      </c>
      <c r="U16" s="1">
        <v>1.0</v>
      </c>
      <c r="V16" s="1">
        <v>4.0</v>
      </c>
      <c r="W16" s="1">
        <v>4.0</v>
      </c>
      <c r="X16" s="1">
        <v>2.0</v>
      </c>
      <c r="Y16" s="1">
        <v>3.0</v>
      </c>
      <c r="Z16" s="1">
        <v>3.0</v>
      </c>
      <c r="AA16" s="1">
        <v>1.0</v>
      </c>
      <c r="AB16" s="1">
        <v>4.0</v>
      </c>
      <c r="AC16" s="1">
        <v>3.0</v>
      </c>
      <c r="AD16" s="1">
        <v>5.0</v>
      </c>
      <c r="AE16" s="1">
        <v>3.0</v>
      </c>
      <c r="AF16" s="1">
        <v>3.0</v>
      </c>
      <c r="AG16" s="1">
        <v>4.0</v>
      </c>
      <c r="AH16" s="1">
        <v>2.0</v>
      </c>
      <c r="AI16" s="1">
        <v>3.0</v>
      </c>
      <c r="AJ16" s="1">
        <v>2.0</v>
      </c>
      <c r="AK16" s="1">
        <v>1.0</v>
      </c>
      <c r="AL16" s="1">
        <v>4.0</v>
      </c>
      <c r="AM16" s="1">
        <v>3.0</v>
      </c>
      <c r="AN16" s="1">
        <v>4.0</v>
      </c>
      <c r="AO16" s="1">
        <v>4.0</v>
      </c>
      <c r="AP16" s="1">
        <v>4.0</v>
      </c>
      <c r="AQ16" s="1">
        <v>4.0</v>
      </c>
      <c r="AR16" s="1">
        <v>5.0</v>
      </c>
      <c r="AS16" s="1">
        <v>4.0</v>
      </c>
      <c r="AT16" s="1">
        <v>4.0</v>
      </c>
      <c r="AU16" s="1">
        <v>2.0</v>
      </c>
      <c r="AV16" s="1">
        <v>3.0</v>
      </c>
      <c r="AW16" s="1">
        <v>4.0</v>
      </c>
      <c r="AX16" s="1">
        <v>5.0</v>
      </c>
      <c r="AY16" s="1">
        <v>2.0</v>
      </c>
      <c r="AZ16" s="5">
        <f t="shared" si="1"/>
        <v>147</v>
      </c>
      <c r="BA16" s="6">
        <f t="shared" si="2"/>
        <v>-0.166739036</v>
      </c>
    </row>
    <row r="17" ht="18.75" customHeight="1">
      <c r="A17" s="1" t="s">
        <v>67</v>
      </c>
      <c r="B17" s="1">
        <v>3.0</v>
      </c>
      <c r="C17" s="1">
        <v>4.0</v>
      </c>
      <c r="D17" s="1">
        <v>3.0</v>
      </c>
      <c r="E17" s="1">
        <v>2.0</v>
      </c>
      <c r="F17" s="1">
        <v>4.0</v>
      </c>
      <c r="G17" s="1">
        <v>3.0</v>
      </c>
      <c r="H17" s="1">
        <v>3.0</v>
      </c>
      <c r="I17" s="1">
        <v>4.0</v>
      </c>
      <c r="J17" s="1">
        <v>3.0</v>
      </c>
      <c r="K17" s="1">
        <v>3.0</v>
      </c>
      <c r="L17" s="1">
        <v>4.0</v>
      </c>
      <c r="M17" s="1">
        <v>3.0</v>
      </c>
      <c r="N17" s="1">
        <v>3.0</v>
      </c>
      <c r="O17" s="1">
        <v>4.0</v>
      </c>
      <c r="P17" s="4">
        <v>1.0</v>
      </c>
      <c r="Q17" s="1">
        <v>3.0</v>
      </c>
      <c r="R17" s="1">
        <v>4.0</v>
      </c>
      <c r="S17" s="1">
        <v>3.0</v>
      </c>
      <c r="T17" s="1">
        <v>3.0</v>
      </c>
      <c r="U17" s="1">
        <v>3.0</v>
      </c>
      <c r="V17" s="1">
        <v>4.0</v>
      </c>
      <c r="W17" s="1">
        <v>4.0</v>
      </c>
      <c r="X17" s="1">
        <v>3.0</v>
      </c>
      <c r="Y17" s="1">
        <v>4.0</v>
      </c>
      <c r="Z17" s="1">
        <v>3.0</v>
      </c>
      <c r="AA17" s="1">
        <v>3.0</v>
      </c>
      <c r="AB17" s="1">
        <v>3.0</v>
      </c>
      <c r="AC17" s="1">
        <v>3.0</v>
      </c>
      <c r="AD17" s="1">
        <v>3.0</v>
      </c>
      <c r="AE17" s="1">
        <v>4.0</v>
      </c>
      <c r="AF17" s="1">
        <v>3.0</v>
      </c>
      <c r="AG17" s="1">
        <v>3.0</v>
      </c>
      <c r="AH17" s="1">
        <v>3.0</v>
      </c>
      <c r="AI17" s="1">
        <v>4.0</v>
      </c>
      <c r="AJ17" s="1">
        <v>4.0</v>
      </c>
      <c r="AK17" s="1">
        <v>4.0</v>
      </c>
      <c r="AL17" s="1">
        <v>3.0</v>
      </c>
      <c r="AM17" s="1">
        <v>3.0</v>
      </c>
      <c r="AN17" s="1">
        <v>3.0</v>
      </c>
      <c r="AO17" s="1">
        <v>3.0</v>
      </c>
      <c r="AP17" s="1">
        <v>4.0</v>
      </c>
      <c r="AQ17" s="1">
        <v>3.0</v>
      </c>
      <c r="AR17" s="1">
        <v>4.0</v>
      </c>
      <c r="AS17" s="1">
        <v>4.0</v>
      </c>
      <c r="AT17" s="1">
        <v>5.0</v>
      </c>
      <c r="AU17" s="1">
        <v>3.0</v>
      </c>
      <c r="AV17" s="1">
        <v>3.0</v>
      </c>
      <c r="AW17" s="1">
        <v>3.0</v>
      </c>
      <c r="AX17" s="1">
        <v>3.0</v>
      </c>
      <c r="AY17" s="1">
        <v>3.0</v>
      </c>
      <c r="AZ17" s="5">
        <f t="shared" si="1"/>
        <v>165</v>
      </c>
      <c r="BA17" s="6">
        <f t="shared" si="2"/>
        <v>-0.03945841393</v>
      </c>
    </row>
    <row r="18" ht="18.75" customHeight="1">
      <c r="A18" s="1" t="s">
        <v>68</v>
      </c>
      <c r="B18" s="1">
        <v>3.0</v>
      </c>
      <c r="C18" s="1">
        <v>3.0</v>
      </c>
      <c r="D18" s="1">
        <v>3.0</v>
      </c>
      <c r="E18" s="1">
        <v>1.0</v>
      </c>
      <c r="F18" s="1">
        <v>3.0</v>
      </c>
      <c r="G18" s="1">
        <v>4.0</v>
      </c>
      <c r="H18" s="1">
        <v>3.0</v>
      </c>
      <c r="I18" s="1">
        <v>5.0</v>
      </c>
      <c r="J18" s="1">
        <v>3.0</v>
      </c>
      <c r="K18" s="1">
        <v>4.0</v>
      </c>
      <c r="L18" s="1">
        <v>3.0</v>
      </c>
      <c r="M18" s="1">
        <v>3.0</v>
      </c>
      <c r="N18" s="1">
        <v>3.0</v>
      </c>
      <c r="O18" s="1">
        <v>3.0</v>
      </c>
      <c r="P18" s="1">
        <v>3.0</v>
      </c>
      <c r="Q18" s="1">
        <v>3.0</v>
      </c>
      <c r="R18" s="4">
        <v>1.0</v>
      </c>
      <c r="S18" s="1">
        <v>3.0</v>
      </c>
      <c r="T18" s="1">
        <v>3.0</v>
      </c>
      <c r="U18" s="1">
        <v>3.0</v>
      </c>
      <c r="V18" s="1">
        <v>4.0</v>
      </c>
      <c r="W18" s="1">
        <v>4.0</v>
      </c>
      <c r="X18" s="1">
        <v>3.0</v>
      </c>
      <c r="Y18" s="1">
        <v>3.0</v>
      </c>
      <c r="Z18" s="1">
        <v>3.0</v>
      </c>
      <c r="AA18" s="1">
        <v>3.0</v>
      </c>
      <c r="AB18" s="1">
        <v>4.0</v>
      </c>
      <c r="AC18" s="1">
        <v>4.0</v>
      </c>
      <c r="AD18" s="1">
        <v>3.0</v>
      </c>
      <c r="AE18" s="1">
        <v>4.0</v>
      </c>
      <c r="AF18" s="1">
        <v>4.0</v>
      </c>
      <c r="AG18" s="1">
        <v>2.0</v>
      </c>
      <c r="AH18" s="1">
        <v>5.0</v>
      </c>
      <c r="AI18" s="1">
        <v>3.0</v>
      </c>
      <c r="AJ18" s="1">
        <v>4.0</v>
      </c>
      <c r="AK18" s="1">
        <v>3.0</v>
      </c>
      <c r="AL18" s="1">
        <v>3.0</v>
      </c>
      <c r="AM18" s="1">
        <v>3.0</v>
      </c>
      <c r="AN18" s="1">
        <v>3.0</v>
      </c>
      <c r="AO18" s="1">
        <v>4.0</v>
      </c>
      <c r="AP18" s="1">
        <v>3.0</v>
      </c>
      <c r="AQ18" s="1">
        <v>5.0</v>
      </c>
      <c r="AR18" s="1">
        <v>3.0</v>
      </c>
      <c r="AS18" s="1">
        <v>3.0</v>
      </c>
      <c r="AT18" s="1">
        <v>3.0</v>
      </c>
      <c r="AU18" s="1">
        <v>3.0</v>
      </c>
      <c r="AV18" s="1">
        <v>3.0</v>
      </c>
      <c r="AW18" s="1">
        <v>5.0</v>
      </c>
      <c r="AX18" s="1">
        <v>4.0</v>
      </c>
      <c r="AY18" s="1">
        <v>3.0</v>
      </c>
      <c r="AZ18" s="5">
        <f t="shared" si="1"/>
        <v>164</v>
      </c>
      <c r="BA18" s="6">
        <f t="shared" si="2"/>
        <v>-0.04579657499</v>
      </c>
    </row>
    <row r="19" ht="18.75" customHeight="1">
      <c r="A19" s="1" t="s">
        <v>69</v>
      </c>
      <c r="B19" s="1">
        <v>2.0</v>
      </c>
      <c r="C19" s="1">
        <v>3.0</v>
      </c>
      <c r="D19" s="1">
        <v>3.0</v>
      </c>
      <c r="E19" s="1">
        <v>4.0</v>
      </c>
      <c r="F19" s="1">
        <v>3.0</v>
      </c>
      <c r="G19" s="1">
        <v>2.0</v>
      </c>
      <c r="H19" s="1">
        <v>3.0</v>
      </c>
      <c r="I19" s="1">
        <v>3.0</v>
      </c>
      <c r="J19" s="1">
        <v>4.0</v>
      </c>
      <c r="K19" s="1">
        <v>4.0</v>
      </c>
      <c r="L19" s="1">
        <v>4.0</v>
      </c>
      <c r="M19" s="1">
        <v>2.0</v>
      </c>
      <c r="N19" s="1">
        <v>5.0</v>
      </c>
      <c r="O19" s="1">
        <v>3.0</v>
      </c>
      <c r="P19" s="1">
        <v>3.0</v>
      </c>
      <c r="Q19" s="1">
        <v>3.0</v>
      </c>
      <c r="R19" s="1">
        <v>4.0</v>
      </c>
      <c r="S19" s="4">
        <v>1.0</v>
      </c>
      <c r="T19" s="1">
        <v>3.0</v>
      </c>
      <c r="U19" s="1">
        <v>5.0</v>
      </c>
      <c r="V19" s="1">
        <v>4.0</v>
      </c>
      <c r="W19" s="1">
        <v>3.0</v>
      </c>
      <c r="X19" s="1">
        <v>2.0</v>
      </c>
      <c r="Y19" s="1">
        <v>3.0</v>
      </c>
      <c r="Z19" s="1">
        <v>3.0</v>
      </c>
      <c r="AA19" s="1">
        <v>3.0</v>
      </c>
      <c r="AB19" s="1">
        <v>3.0</v>
      </c>
      <c r="AC19" s="1">
        <v>4.0</v>
      </c>
      <c r="AD19" s="1">
        <v>2.0</v>
      </c>
      <c r="AE19" s="1">
        <v>3.0</v>
      </c>
      <c r="AF19" s="1">
        <v>3.0</v>
      </c>
      <c r="AG19" s="1">
        <v>2.0</v>
      </c>
      <c r="AH19" s="1">
        <v>3.0</v>
      </c>
      <c r="AI19" s="1">
        <v>4.0</v>
      </c>
      <c r="AJ19" s="1">
        <v>4.0</v>
      </c>
      <c r="AK19" s="1">
        <v>3.0</v>
      </c>
      <c r="AL19" s="1">
        <v>3.0</v>
      </c>
      <c r="AM19" s="1">
        <v>3.0</v>
      </c>
      <c r="AN19" s="1">
        <v>2.0</v>
      </c>
      <c r="AO19" s="1">
        <v>4.0</v>
      </c>
      <c r="AP19" s="1">
        <v>2.0</v>
      </c>
      <c r="AQ19" s="1">
        <v>3.0</v>
      </c>
      <c r="AR19" s="1">
        <v>3.0</v>
      </c>
      <c r="AS19" s="1">
        <v>3.0</v>
      </c>
      <c r="AT19" s="1">
        <v>3.0</v>
      </c>
      <c r="AU19" s="1">
        <v>3.0</v>
      </c>
      <c r="AV19" s="1">
        <v>5.0</v>
      </c>
      <c r="AW19" s="1">
        <v>4.0</v>
      </c>
      <c r="AX19" s="1">
        <v>4.0</v>
      </c>
      <c r="AY19" s="1">
        <v>4.0</v>
      </c>
      <c r="AZ19" s="5">
        <f t="shared" si="1"/>
        <v>159</v>
      </c>
      <c r="BA19" s="6">
        <f t="shared" si="2"/>
        <v>-0.07868325974</v>
      </c>
    </row>
    <row r="20" ht="18.75" customHeight="1">
      <c r="A20" s="1" t="s">
        <v>70</v>
      </c>
      <c r="B20" s="1">
        <v>3.0</v>
      </c>
      <c r="C20" s="1">
        <v>3.0</v>
      </c>
      <c r="D20" s="1">
        <v>3.0</v>
      </c>
      <c r="E20" s="1">
        <v>1.0</v>
      </c>
      <c r="F20" s="1">
        <v>3.0</v>
      </c>
      <c r="G20" s="1">
        <v>4.0</v>
      </c>
      <c r="H20" s="1">
        <v>2.0</v>
      </c>
      <c r="I20" s="1">
        <v>4.0</v>
      </c>
      <c r="J20" s="1">
        <v>3.0</v>
      </c>
      <c r="K20" s="1">
        <v>3.0</v>
      </c>
      <c r="L20" s="1">
        <v>3.0</v>
      </c>
      <c r="M20" s="1">
        <v>3.0</v>
      </c>
      <c r="N20" s="1">
        <v>4.0</v>
      </c>
      <c r="O20" s="1">
        <v>2.0</v>
      </c>
      <c r="P20" s="1">
        <v>2.0</v>
      </c>
      <c r="Q20" s="1">
        <v>2.0</v>
      </c>
      <c r="R20" s="1">
        <v>4.0</v>
      </c>
      <c r="S20" s="1">
        <v>1.0</v>
      </c>
      <c r="T20" s="4">
        <v>1.0</v>
      </c>
      <c r="U20" s="1">
        <v>3.0</v>
      </c>
      <c r="V20" s="1">
        <v>3.0</v>
      </c>
      <c r="W20" s="1">
        <v>5.0</v>
      </c>
      <c r="X20" s="1">
        <v>2.0</v>
      </c>
      <c r="Y20" s="1">
        <v>2.0</v>
      </c>
      <c r="Z20" s="1">
        <v>3.0</v>
      </c>
      <c r="AA20" s="1">
        <v>3.0</v>
      </c>
      <c r="AB20" s="1">
        <v>2.0</v>
      </c>
      <c r="AC20" s="1">
        <v>2.0</v>
      </c>
      <c r="AD20" s="1">
        <v>4.0</v>
      </c>
      <c r="AE20" s="1">
        <v>2.0</v>
      </c>
      <c r="AF20" s="1">
        <v>3.0</v>
      </c>
      <c r="AG20" s="1">
        <v>3.0</v>
      </c>
      <c r="AH20" s="1">
        <v>4.0</v>
      </c>
      <c r="AI20" s="1">
        <v>5.0</v>
      </c>
      <c r="AJ20" s="1">
        <v>5.0</v>
      </c>
      <c r="AK20" s="1">
        <v>3.0</v>
      </c>
      <c r="AL20" s="1">
        <v>3.0</v>
      </c>
      <c r="AM20" s="1">
        <v>2.0</v>
      </c>
      <c r="AN20" s="1">
        <v>2.0</v>
      </c>
      <c r="AO20" s="1">
        <v>3.0</v>
      </c>
      <c r="AP20" s="1">
        <v>3.0</v>
      </c>
      <c r="AQ20" s="1">
        <v>2.0</v>
      </c>
      <c r="AR20" s="1">
        <v>3.0</v>
      </c>
      <c r="AS20" s="1">
        <v>4.0</v>
      </c>
      <c r="AT20" s="1">
        <v>4.0</v>
      </c>
      <c r="AU20" s="1">
        <v>2.0</v>
      </c>
      <c r="AV20" s="1">
        <v>3.0</v>
      </c>
      <c r="AW20" s="1">
        <v>4.0</v>
      </c>
      <c r="AX20" s="1">
        <v>3.0</v>
      </c>
      <c r="AY20" s="1">
        <v>2.0</v>
      </c>
      <c r="AZ20" s="5">
        <f t="shared" si="1"/>
        <v>145</v>
      </c>
      <c r="BA20" s="6">
        <f t="shared" si="2"/>
        <v>-0.1828319883</v>
      </c>
    </row>
    <row r="21" ht="18.75" customHeight="1">
      <c r="A21" s="1" t="s">
        <v>71</v>
      </c>
      <c r="B21" s="1">
        <v>3.0</v>
      </c>
      <c r="C21" s="1">
        <v>4.0</v>
      </c>
      <c r="D21" s="1">
        <v>3.0</v>
      </c>
      <c r="E21" s="1">
        <v>3.0</v>
      </c>
      <c r="F21" s="1">
        <v>4.0</v>
      </c>
      <c r="G21" s="1">
        <v>4.0</v>
      </c>
      <c r="H21" s="1">
        <v>5.0</v>
      </c>
      <c r="I21" s="1">
        <v>3.0</v>
      </c>
      <c r="J21" s="1">
        <v>5.0</v>
      </c>
      <c r="K21" s="1">
        <v>4.0</v>
      </c>
      <c r="L21" s="1">
        <v>3.0</v>
      </c>
      <c r="M21" s="1">
        <v>4.0</v>
      </c>
      <c r="N21" s="1">
        <v>4.0</v>
      </c>
      <c r="O21" s="1">
        <v>4.0</v>
      </c>
      <c r="P21" s="1">
        <v>3.0</v>
      </c>
      <c r="Q21" s="1">
        <v>3.0</v>
      </c>
      <c r="R21" s="1">
        <v>4.0</v>
      </c>
      <c r="S21" s="1">
        <v>4.0</v>
      </c>
      <c r="T21" s="1">
        <v>3.0</v>
      </c>
      <c r="U21" s="4">
        <v>1.0</v>
      </c>
      <c r="V21" s="1">
        <v>5.0</v>
      </c>
      <c r="W21" s="1">
        <v>5.0</v>
      </c>
      <c r="X21" s="1">
        <v>4.0</v>
      </c>
      <c r="Y21" s="1">
        <v>3.0</v>
      </c>
      <c r="Z21" s="1">
        <v>4.0</v>
      </c>
      <c r="AA21" s="1">
        <v>3.0</v>
      </c>
      <c r="AB21" s="1">
        <v>3.0</v>
      </c>
      <c r="AC21" s="1">
        <v>3.0</v>
      </c>
      <c r="AD21" s="1">
        <v>3.0</v>
      </c>
      <c r="AE21" s="1">
        <v>3.0</v>
      </c>
      <c r="AF21" s="1">
        <v>4.0</v>
      </c>
      <c r="AG21" s="1">
        <v>3.0</v>
      </c>
      <c r="AH21" s="1">
        <v>4.0</v>
      </c>
      <c r="AI21" s="1">
        <v>4.0</v>
      </c>
      <c r="AJ21" s="1">
        <v>3.0</v>
      </c>
      <c r="AK21" s="1">
        <v>3.0</v>
      </c>
      <c r="AL21" s="1">
        <v>4.0</v>
      </c>
      <c r="AM21" s="1">
        <v>4.0</v>
      </c>
      <c r="AN21" s="1">
        <v>3.0</v>
      </c>
      <c r="AO21" s="1">
        <v>5.0</v>
      </c>
      <c r="AP21" s="1">
        <v>5.0</v>
      </c>
      <c r="AQ21" s="1">
        <v>4.0</v>
      </c>
      <c r="AR21" s="1">
        <v>4.0</v>
      </c>
      <c r="AS21" s="1">
        <v>4.0</v>
      </c>
      <c r="AT21" s="1">
        <v>4.0</v>
      </c>
      <c r="AU21" s="1">
        <v>3.0</v>
      </c>
      <c r="AV21" s="1">
        <v>4.0</v>
      </c>
      <c r="AW21" s="1">
        <v>4.0</v>
      </c>
      <c r="AX21" s="1">
        <v>4.0</v>
      </c>
      <c r="AY21" s="1">
        <v>3.0</v>
      </c>
      <c r="AZ21" s="5">
        <f t="shared" si="1"/>
        <v>183</v>
      </c>
      <c r="BA21" s="6">
        <f t="shared" si="2"/>
        <v>0.06278339728</v>
      </c>
    </row>
    <row r="22" ht="18.75" customHeight="1">
      <c r="A22" s="1" t="s">
        <v>72</v>
      </c>
      <c r="B22" s="1">
        <v>2.0</v>
      </c>
      <c r="C22" s="1">
        <v>3.0</v>
      </c>
      <c r="D22" s="1">
        <v>3.0</v>
      </c>
      <c r="E22" s="1">
        <v>2.0</v>
      </c>
      <c r="F22" s="1">
        <v>4.0</v>
      </c>
      <c r="G22" s="1">
        <v>3.0</v>
      </c>
      <c r="H22" s="1">
        <v>3.0</v>
      </c>
      <c r="I22" s="1">
        <v>4.0</v>
      </c>
      <c r="J22" s="1">
        <v>3.0</v>
      </c>
      <c r="K22" s="1">
        <v>3.0</v>
      </c>
      <c r="L22" s="1">
        <v>2.0</v>
      </c>
      <c r="M22" s="1">
        <v>3.0</v>
      </c>
      <c r="N22" s="1">
        <v>3.0</v>
      </c>
      <c r="O22" s="1">
        <v>3.0</v>
      </c>
      <c r="P22" s="1">
        <v>2.0</v>
      </c>
      <c r="Q22" s="1">
        <v>2.0</v>
      </c>
      <c r="R22" s="1">
        <v>4.0</v>
      </c>
      <c r="S22" s="1">
        <v>2.0</v>
      </c>
      <c r="T22" s="1">
        <v>3.0</v>
      </c>
      <c r="U22" s="1">
        <v>3.0</v>
      </c>
      <c r="V22" s="4">
        <v>1.0</v>
      </c>
      <c r="W22" s="1">
        <v>5.0</v>
      </c>
      <c r="X22" s="1">
        <v>3.0</v>
      </c>
      <c r="Y22" s="1">
        <v>3.0</v>
      </c>
      <c r="Z22" s="1">
        <v>3.0</v>
      </c>
      <c r="AA22" s="1">
        <v>3.0</v>
      </c>
      <c r="AB22" s="1">
        <v>3.0</v>
      </c>
      <c r="AC22" s="1">
        <v>3.0</v>
      </c>
      <c r="AD22" s="1">
        <v>2.0</v>
      </c>
      <c r="AE22" s="1">
        <v>3.0</v>
      </c>
      <c r="AF22" s="1">
        <v>3.0</v>
      </c>
      <c r="AG22" s="1">
        <v>2.0</v>
      </c>
      <c r="AH22" s="1">
        <v>5.0</v>
      </c>
      <c r="AI22" s="1">
        <v>3.0</v>
      </c>
      <c r="AJ22" s="1">
        <v>3.0</v>
      </c>
      <c r="AK22" s="1">
        <v>3.0</v>
      </c>
      <c r="AL22" s="1">
        <v>3.0</v>
      </c>
      <c r="AM22" s="1">
        <v>3.0</v>
      </c>
      <c r="AN22" s="1">
        <v>3.0</v>
      </c>
      <c r="AO22" s="1">
        <v>3.0</v>
      </c>
      <c r="AP22" s="1">
        <v>4.0</v>
      </c>
      <c r="AQ22" s="1">
        <v>4.0</v>
      </c>
      <c r="AR22" s="1">
        <v>3.0</v>
      </c>
      <c r="AS22" s="1">
        <v>3.0</v>
      </c>
      <c r="AT22" s="1">
        <v>3.0</v>
      </c>
      <c r="AU22" s="1">
        <v>3.0</v>
      </c>
      <c r="AV22" s="1">
        <v>3.0</v>
      </c>
      <c r="AW22" s="1">
        <v>4.0</v>
      </c>
      <c r="AX22" s="1">
        <v>5.0</v>
      </c>
      <c r="AY22" s="1">
        <v>3.0</v>
      </c>
      <c r="AZ22" s="5">
        <f t="shared" si="1"/>
        <v>152</v>
      </c>
      <c r="BA22" s="6">
        <f t="shared" si="2"/>
        <v>-0.1283594625</v>
      </c>
    </row>
    <row r="23" ht="18.75" customHeight="1">
      <c r="A23" s="1" t="s">
        <v>73</v>
      </c>
      <c r="B23" s="1">
        <v>4.0</v>
      </c>
      <c r="C23" s="1">
        <v>2.0</v>
      </c>
      <c r="D23" s="1">
        <v>4.0</v>
      </c>
      <c r="E23" s="1">
        <v>2.0</v>
      </c>
      <c r="F23" s="1">
        <v>3.0</v>
      </c>
      <c r="G23" s="1">
        <v>3.0</v>
      </c>
      <c r="H23" s="1">
        <v>3.0</v>
      </c>
      <c r="I23" s="1">
        <v>4.0</v>
      </c>
      <c r="J23" s="1">
        <v>4.0</v>
      </c>
      <c r="K23" s="1">
        <v>3.0</v>
      </c>
      <c r="L23" s="1">
        <v>2.0</v>
      </c>
      <c r="M23" s="1">
        <v>3.0</v>
      </c>
      <c r="N23" s="1">
        <v>3.0</v>
      </c>
      <c r="O23" s="1">
        <v>4.0</v>
      </c>
      <c r="P23" s="1">
        <v>2.0</v>
      </c>
      <c r="Q23" s="1">
        <v>2.0</v>
      </c>
      <c r="R23" s="1">
        <v>3.0</v>
      </c>
      <c r="S23" s="1">
        <v>5.0</v>
      </c>
      <c r="T23" s="1">
        <v>2.0</v>
      </c>
      <c r="U23" s="1">
        <v>4.0</v>
      </c>
      <c r="V23" s="1">
        <v>2.0</v>
      </c>
      <c r="W23" s="1">
        <v>2.0</v>
      </c>
      <c r="X23" s="4">
        <v>1.0</v>
      </c>
      <c r="Y23" s="1">
        <v>3.0</v>
      </c>
      <c r="Z23" s="1">
        <v>4.0</v>
      </c>
      <c r="AA23" s="1">
        <v>3.0</v>
      </c>
      <c r="AB23" s="1">
        <v>4.0</v>
      </c>
      <c r="AC23" s="1">
        <v>3.0</v>
      </c>
      <c r="AD23" s="1">
        <v>2.0</v>
      </c>
      <c r="AE23" s="1">
        <v>5.0</v>
      </c>
      <c r="AF23" s="1">
        <v>4.0</v>
      </c>
      <c r="AG23" s="1">
        <v>1.0</v>
      </c>
      <c r="AH23" s="1">
        <v>5.0</v>
      </c>
      <c r="AI23" s="1">
        <v>4.0</v>
      </c>
      <c r="AJ23" s="1">
        <v>4.0</v>
      </c>
      <c r="AK23" s="1">
        <v>4.0</v>
      </c>
      <c r="AL23" s="1">
        <v>2.0</v>
      </c>
      <c r="AM23" s="1">
        <v>5.0</v>
      </c>
      <c r="AN23" s="1">
        <v>3.0</v>
      </c>
      <c r="AO23" s="1">
        <v>4.0</v>
      </c>
      <c r="AP23" s="1">
        <v>2.0</v>
      </c>
      <c r="AQ23" s="1">
        <v>3.0</v>
      </c>
      <c r="AR23" s="1">
        <v>3.0</v>
      </c>
      <c r="AS23" s="1">
        <v>3.0</v>
      </c>
      <c r="AT23" s="1">
        <v>2.0</v>
      </c>
      <c r="AU23" s="1">
        <v>3.0</v>
      </c>
      <c r="AV23" s="1">
        <v>5.0</v>
      </c>
      <c r="AW23" s="1">
        <v>3.0</v>
      </c>
      <c r="AX23" s="1">
        <v>3.0</v>
      </c>
      <c r="AY23" s="1">
        <v>5.0</v>
      </c>
      <c r="AZ23" s="5">
        <f t="shared" si="1"/>
        <v>159</v>
      </c>
      <c r="BA23" s="6">
        <f t="shared" si="2"/>
        <v>-0.07868325974</v>
      </c>
    </row>
    <row r="24" ht="18.75" customHeight="1">
      <c r="A24" s="1" t="s">
        <v>74</v>
      </c>
      <c r="B24" s="1">
        <v>4.0</v>
      </c>
      <c r="C24" s="1">
        <v>2.0</v>
      </c>
      <c r="D24" s="1">
        <v>5.0</v>
      </c>
      <c r="E24" s="1">
        <v>1.0</v>
      </c>
      <c r="F24" s="1">
        <v>5.0</v>
      </c>
      <c r="G24" s="1">
        <v>2.0</v>
      </c>
      <c r="H24" s="1">
        <v>1.0</v>
      </c>
      <c r="I24" s="1">
        <v>2.0</v>
      </c>
      <c r="J24" s="1">
        <v>2.0</v>
      </c>
      <c r="K24" s="1">
        <v>2.0</v>
      </c>
      <c r="L24" s="1">
        <v>1.0</v>
      </c>
      <c r="M24" s="1">
        <v>4.0</v>
      </c>
      <c r="N24" s="1">
        <v>1.0</v>
      </c>
      <c r="O24" s="1">
        <v>3.0</v>
      </c>
      <c r="P24" s="1">
        <v>1.0</v>
      </c>
      <c r="Q24" s="1">
        <v>1.0</v>
      </c>
      <c r="R24" s="1">
        <v>2.0</v>
      </c>
      <c r="S24" s="1">
        <v>3.0</v>
      </c>
      <c r="T24" s="1">
        <v>1.0</v>
      </c>
      <c r="U24" s="1">
        <v>2.0</v>
      </c>
      <c r="V24" s="1">
        <v>4.0</v>
      </c>
      <c r="W24" s="1">
        <v>3.0</v>
      </c>
      <c r="X24" s="1">
        <v>1.0</v>
      </c>
      <c r="Y24" s="4">
        <v>1.0</v>
      </c>
      <c r="Z24" s="1">
        <v>1.0</v>
      </c>
      <c r="AA24" s="1">
        <v>1.0</v>
      </c>
      <c r="AB24" s="1">
        <v>1.0</v>
      </c>
      <c r="AC24" s="1">
        <v>1.0</v>
      </c>
      <c r="AD24" s="1">
        <v>1.0</v>
      </c>
      <c r="AE24" s="1">
        <v>2.0</v>
      </c>
      <c r="AF24" s="1">
        <v>2.0</v>
      </c>
      <c r="AG24" s="1">
        <v>1.0</v>
      </c>
      <c r="AH24" s="1">
        <v>3.0</v>
      </c>
      <c r="AI24" s="1">
        <v>1.0</v>
      </c>
      <c r="AJ24" s="1">
        <v>1.0</v>
      </c>
      <c r="AK24" s="1">
        <v>1.0</v>
      </c>
      <c r="AL24" s="1">
        <v>1.0</v>
      </c>
      <c r="AM24" s="1">
        <v>5.0</v>
      </c>
      <c r="AN24" s="1">
        <v>1.0</v>
      </c>
      <c r="AO24" s="1">
        <v>1.0</v>
      </c>
      <c r="AP24" s="1">
        <v>3.0</v>
      </c>
      <c r="AQ24" s="1">
        <v>3.0</v>
      </c>
      <c r="AR24" s="1">
        <v>2.0</v>
      </c>
      <c r="AS24" s="1">
        <v>3.0</v>
      </c>
      <c r="AT24" s="1">
        <v>3.0</v>
      </c>
      <c r="AU24" s="1">
        <v>1.0</v>
      </c>
      <c r="AV24" s="1">
        <v>1.0</v>
      </c>
      <c r="AW24" s="1">
        <v>4.0</v>
      </c>
      <c r="AX24" s="1">
        <v>2.0</v>
      </c>
      <c r="AY24" s="1">
        <v>1.0</v>
      </c>
      <c r="AZ24" s="5">
        <f t="shared" si="1"/>
        <v>101</v>
      </c>
      <c r="BA24" s="6">
        <f t="shared" si="2"/>
        <v>-0.6981251317</v>
      </c>
    </row>
    <row r="25" ht="18.75" customHeight="1">
      <c r="A25" s="1" t="s">
        <v>75</v>
      </c>
      <c r="B25" s="1">
        <v>4.0</v>
      </c>
      <c r="C25" s="1">
        <v>3.0</v>
      </c>
      <c r="D25" s="1">
        <v>4.0</v>
      </c>
      <c r="E25" s="1">
        <v>1.0</v>
      </c>
      <c r="F25" s="1">
        <v>5.0</v>
      </c>
      <c r="G25" s="1">
        <v>4.0</v>
      </c>
      <c r="H25" s="1">
        <v>5.0</v>
      </c>
      <c r="I25" s="1">
        <v>4.0</v>
      </c>
      <c r="J25" s="1">
        <v>4.0</v>
      </c>
      <c r="K25" s="1">
        <v>3.0</v>
      </c>
      <c r="L25" s="1">
        <v>2.0</v>
      </c>
      <c r="M25" s="1">
        <v>4.0</v>
      </c>
      <c r="N25" s="1">
        <v>5.0</v>
      </c>
      <c r="O25" s="1">
        <v>4.0</v>
      </c>
      <c r="P25" s="1">
        <v>2.0</v>
      </c>
      <c r="Q25" s="1">
        <v>3.0</v>
      </c>
      <c r="R25" s="1">
        <v>4.0</v>
      </c>
      <c r="S25" s="1">
        <v>2.0</v>
      </c>
      <c r="T25" s="1">
        <v>2.0</v>
      </c>
      <c r="U25" s="1">
        <v>3.0</v>
      </c>
      <c r="V25" s="1">
        <v>4.0</v>
      </c>
      <c r="W25" s="1">
        <v>4.0</v>
      </c>
      <c r="X25" s="1">
        <v>1.0</v>
      </c>
      <c r="Y25" s="1">
        <v>3.0</v>
      </c>
      <c r="Z25" s="4">
        <v>1.0</v>
      </c>
      <c r="AA25" s="1">
        <v>3.0</v>
      </c>
      <c r="AB25" s="1">
        <v>2.0</v>
      </c>
      <c r="AC25" s="1">
        <v>3.0</v>
      </c>
      <c r="AD25" s="1">
        <v>4.0</v>
      </c>
      <c r="AE25" s="1">
        <v>2.0</v>
      </c>
      <c r="AF25" s="1">
        <v>3.0</v>
      </c>
      <c r="AG25" s="1">
        <v>2.0</v>
      </c>
      <c r="AH25" s="1">
        <v>5.0</v>
      </c>
      <c r="AI25" s="1">
        <v>4.0</v>
      </c>
      <c r="AJ25" s="1">
        <v>3.0</v>
      </c>
      <c r="AK25" s="1">
        <v>2.0</v>
      </c>
      <c r="AL25" s="1">
        <v>2.0</v>
      </c>
      <c r="AM25" s="1">
        <v>2.0</v>
      </c>
      <c r="AN25" s="1">
        <v>3.0</v>
      </c>
      <c r="AO25" s="1">
        <v>5.0</v>
      </c>
      <c r="AP25" s="1">
        <v>3.0</v>
      </c>
      <c r="AQ25" s="1">
        <v>2.0</v>
      </c>
      <c r="AR25" s="1">
        <v>4.0</v>
      </c>
      <c r="AS25" s="1">
        <v>3.0</v>
      </c>
      <c r="AT25" s="1">
        <v>3.0</v>
      </c>
      <c r="AU25" s="1">
        <v>3.0</v>
      </c>
      <c r="AV25" s="1">
        <v>3.0</v>
      </c>
      <c r="AW25" s="1">
        <v>3.0</v>
      </c>
      <c r="AX25" s="1">
        <v>3.0</v>
      </c>
      <c r="AY25" s="1">
        <v>1.0</v>
      </c>
      <c r="AZ25" s="5">
        <f t="shared" si="1"/>
        <v>154</v>
      </c>
      <c r="BA25" s="6">
        <f t="shared" si="2"/>
        <v>-0.1137054435</v>
      </c>
    </row>
    <row r="26" ht="18.75" customHeight="1">
      <c r="A26" s="1" t="s">
        <v>76</v>
      </c>
      <c r="B26" s="1">
        <v>3.0</v>
      </c>
      <c r="C26" s="1">
        <v>3.0</v>
      </c>
      <c r="D26" s="1">
        <v>3.0</v>
      </c>
      <c r="E26" s="1">
        <v>2.0</v>
      </c>
      <c r="F26" s="1">
        <v>3.0</v>
      </c>
      <c r="G26" s="1">
        <v>5.0</v>
      </c>
      <c r="H26" s="1">
        <v>3.0</v>
      </c>
      <c r="I26" s="1">
        <v>3.0</v>
      </c>
      <c r="J26" s="1">
        <v>3.0</v>
      </c>
      <c r="K26" s="1">
        <v>3.0</v>
      </c>
      <c r="L26" s="1">
        <v>2.0</v>
      </c>
      <c r="M26" s="1">
        <v>3.0</v>
      </c>
      <c r="N26" s="1">
        <v>3.0</v>
      </c>
      <c r="O26" s="1">
        <v>3.0</v>
      </c>
      <c r="P26" s="1">
        <v>3.0</v>
      </c>
      <c r="Q26" s="1">
        <v>2.0</v>
      </c>
      <c r="R26" s="1">
        <v>3.0</v>
      </c>
      <c r="S26" s="1">
        <v>4.0</v>
      </c>
      <c r="T26" s="1">
        <v>3.0</v>
      </c>
      <c r="U26" s="1">
        <v>2.0</v>
      </c>
      <c r="V26" s="1">
        <v>4.0</v>
      </c>
      <c r="W26" s="1">
        <v>3.0</v>
      </c>
      <c r="X26" s="1">
        <v>2.0</v>
      </c>
      <c r="Y26" s="1">
        <v>3.0</v>
      </c>
      <c r="Z26" s="1">
        <v>2.0</v>
      </c>
      <c r="AA26" s="4">
        <v>1.0</v>
      </c>
      <c r="AB26" s="1">
        <v>3.0</v>
      </c>
      <c r="AC26" s="1">
        <v>3.0</v>
      </c>
      <c r="AD26" s="1">
        <v>3.0</v>
      </c>
      <c r="AE26" s="1">
        <v>3.0</v>
      </c>
      <c r="AF26" s="1">
        <v>5.0</v>
      </c>
      <c r="AG26" s="1">
        <v>2.0</v>
      </c>
      <c r="AH26" s="1">
        <v>2.0</v>
      </c>
      <c r="AI26" s="1">
        <v>3.0</v>
      </c>
      <c r="AJ26" s="1">
        <v>3.0</v>
      </c>
      <c r="AK26" s="1">
        <v>2.0</v>
      </c>
      <c r="AL26" s="1">
        <v>2.0</v>
      </c>
      <c r="AM26" s="1">
        <v>4.0</v>
      </c>
      <c r="AN26" s="1">
        <v>2.0</v>
      </c>
      <c r="AO26" s="1">
        <v>4.0</v>
      </c>
      <c r="AP26" s="1">
        <v>3.0</v>
      </c>
      <c r="AQ26" s="1">
        <v>3.0</v>
      </c>
      <c r="AR26" s="1">
        <v>3.0</v>
      </c>
      <c r="AS26" s="1">
        <v>3.0</v>
      </c>
      <c r="AT26" s="1">
        <v>3.0</v>
      </c>
      <c r="AU26" s="1">
        <v>3.0</v>
      </c>
      <c r="AV26" s="1">
        <v>3.0</v>
      </c>
      <c r="AW26" s="1">
        <v>3.0</v>
      </c>
      <c r="AX26" s="1">
        <v>4.0</v>
      </c>
      <c r="AY26" s="1">
        <v>2.0</v>
      </c>
      <c r="AZ26" s="5">
        <f t="shared" si="1"/>
        <v>145</v>
      </c>
      <c r="BA26" s="6">
        <f t="shared" si="2"/>
        <v>-0.1828319883</v>
      </c>
    </row>
    <row r="27" ht="18.75" customHeight="1">
      <c r="A27" s="1" t="s">
        <v>77</v>
      </c>
      <c r="B27" s="1">
        <v>4.0</v>
      </c>
      <c r="C27" s="1">
        <v>4.0</v>
      </c>
      <c r="D27" s="1">
        <v>3.0</v>
      </c>
      <c r="E27" s="1">
        <v>4.0</v>
      </c>
      <c r="F27" s="1">
        <v>3.0</v>
      </c>
      <c r="G27" s="1">
        <v>4.0</v>
      </c>
      <c r="H27" s="1">
        <v>4.0</v>
      </c>
      <c r="I27" s="1">
        <v>4.0</v>
      </c>
      <c r="J27" s="1">
        <v>4.0</v>
      </c>
      <c r="K27" s="1">
        <v>4.0</v>
      </c>
      <c r="L27" s="1">
        <v>3.0</v>
      </c>
      <c r="M27" s="1">
        <v>2.0</v>
      </c>
      <c r="N27" s="1">
        <v>4.0</v>
      </c>
      <c r="O27" s="1">
        <v>4.0</v>
      </c>
      <c r="P27" s="1">
        <v>3.0</v>
      </c>
      <c r="Q27" s="1">
        <v>4.0</v>
      </c>
      <c r="R27" s="1">
        <v>5.0</v>
      </c>
      <c r="S27" s="1">
        <v>4.0</v>
      </c>
      <c r="T27" s="1">
        <v>4.0</v>
      </c>
      <c r="U27" s="1">
        <v>3.0</v>
      </c>
      <c r="V27" s="1">
        <v>4.0</v>
      </c>
      <c r="W27" s="1">
        <v>5.0</v>
      </c>
      <c r="X27" s="1">
        <v>4.0</v>
      </c>
      <c r="Y27" s="1">
        <v>4.0</v>
      </c>
      <c r="Z27" s="1">
        <v>4.0</v>
      </c>
      <c r="AA27" s="1">
        <v>4.0</v>
      </c>
      <c r="AB27" s="4">
        <v>1.0</v>
      </c>
      <c r="AC27" s="1">
        <v>2.0</v>
      </c>
      <c r="AD27" s="1">
        <v>4.0</v>
      </c>
      <c r="AE27" s="1">
        <v>4.0</v>
      </c>
      <c r="AF27" s="1">
        <v>4.0</v>
      </c>
      <c r="AG27" s="1">
        <v>4.0</v>
      </c>
      <c r="AH27" s="1">
        <v>4.0</v>
      </c>
      <c r="AI27" s="1">
        <v>4.0</v>
      </c>
      <c r="AJ27" s="1">
        <v>5.0</v>
      </c>
      <c r="AK27" s="1">
        <v>4.0</v>
      </c>
      <c r="AL27" s="1">
        <v>5.0</v>
      </c>
      <c r="AM27" s="1">
        <v>5.0</v>
      </c>
      <c r="AN27" s="1">
        <v>5.0</v>
      </c>
      <c r="AO27" s="1">
        <v>5.0</v>
      </c>
      <c r="AP27" s="1">
        <v>4.0</v>
      </c>
      <c r="AQ27" s="1">
        <v>4.0</v>
      </c>
      <c r="AR27" s="1">
        <v>4.0</v>
      </c>
      <c r="AS27" s="1">
        <v>4.0</v>
      </c>
      <c r="AT27" s="1">
        <v>3.0</v>
      </c>
      <c r="AU27" s="1">
        <v>3.0</v>
      </c>
      <c r="AV27" s="1">
        <v>4.0</v>
      </c>
      <c r="AW27" s="1">
        <v>4.0</v>
      </c>
      <c r="AX27" s="1">
        <v>5.0</v>
      </c>
      <c r="AY27" s="1">
        <v>4.0</v>
      </c>
      <c r="AZ27" s="5">
        <f t="shared" si="1"/>
        <v>194</v>
      </c>
      <c r="BA27" s="6">
        <f t="shared" si="2"/>
        <v>0.1159245449</v>
      </c>
    </row>
    <row r="28" ht="18.75" customHeight="1">
      <c r="A28" s="1" t="s">
        <v>78</v>
      </c>
      <c r="B28" s="1">
        <v>4.0</v>
      </c>
      <c r="C28" s="1">
        <v>5.0</v>
      </c>
      <c r="D28" s="1">
        <v>3.0</v>
      </c>
      <c r="E28" s="1">
        <v>2.0</v>
      </c>
      <c r="F28" s="1">
        <v>5.0</v>
      </c>
      <c r="G28" s="1">
        <v>4.0</v>
      </c>
      <c r="H28" s="1">
        <v>4.0</v>
      </c>
      <c r="I28" s="1">
        <v>4.0</v>
      </c>
      <c r="J28" s="1">
        <v>5.0</v>
      </c>
      <c r="K28" s="1">
        <v>4.0</v>
      </c>
      <c r="L28" s="1">
        <v>3.0</v>
      </c>
      <c r="M28" s="1">
        <v>4.0</v>
      </c>
      <c r="N28" s="1">
        <v>5.0</v>
      </c>
      <c r="O28" s="1">
        <v>4.0</v>
      </c>
      <c r="P28" s="1">
        <v>4.0</v>
      </c>
      <c r="Q28" s="1">
        <v>3.0</v>
      </c>
      <c r="R28" s="1">
        <v>4.0</v>
      </c>
      <c r="S28" s="1">
        <v>4.0</v>
      </c>
      <c r="T28" s="1">
        <v>3.0</v>
      </c>
      <c r="U28" s="1">
        <v>4.0</v>
      </c>
      <c r="V28" s="1">
        <v>5.0</v>
      </c>
      <c r="W28" s="1">
        <v>5.0</v>
      </c>
      <c r="X28" s="1">
        <v>4.0</v>
      </c>
      <c r="Y28" s="1">
        <v>4.0</v>
      </c>
      <c r="Z28" s="1">
        <v>4.0</v>
      </c>
      <c r="AA28" s="1">
        <v>4.0</v>
      </c>
      <c r="AB28" s="1">
        <v>5.0</v>
      </c>
      <c r="AC28" s="1">
        <v>5.0</v>
      </c>
      <c r="AD28" s="4">
        <v>1.0</v>
      </c>
      <c r="AE28" s="1">
        <v>4.0</v>
      </c>
      <c r="AF28" s="1">
        <v>3.0</v>
      </c>
      <c r="AG28" s="1">
        <v>4.0</v>
      </c>
      <c r="AH28" s="1">
        <v>5.0</v>
      </c>
      <c r="AI28" s="1">
        <v>5.0</v>
      </c>
      <c r="AJ28" s="1">
        <v>4.0</v>
      </c>
      <c r="AK28" s="1">
        <v>3.0</v>
      </c>
      <c r="AL28" s="1">
        <v>3.0</v>
      </c>
      <c r="AM28" s="1">
        <v>3.0</v>
      </c>
      <c r="AN28" s="1">
        <v>4.0</v>
      </c>
      <c r="AO28" s="1">
        <v>5.0</v>
      </c>
      <c r="AP28" s="1">
        <v>4.0</v>
      </c>
      <c r="AQ28" s="1">
        <v>5.0</v>
      </c>
      <c r="AR28" s="1">
        <v>4.0</v>
      </c>
      <c r="AS28" s="1">
        <v>4.0</v>
      </c>
      <c r="AT28" s="1">
        <v>4.0</v>
      </c>
      <c r="AU28" s="1">
        <v>4.0</v>
      </c>
      <c r="AV28" s="1">
        <v>4.0</v>
      </c>
      <c r="AW28" s="1">
        <v>5.0</v>
      </c>
      <c r="AX28" s="1">
        <v>4.0</v>
      </c>
      <c r="AY28" s="1">
        <v>4.0</v>
      </c>
      <c r="AZ28" s="5">
        <f t="shared" si="1"/>
        <v>200</v>
      </c>
      <c r="BA28" s="6">
        <f t="shared" si="2"/>
        <v>0.1424468085</v>
      </c>
    </row>
    <row r="29" ht="18.75" customHeight="1">
      <c r="A29" s="1" t="s">
        <v>79</v>
      </c>
      <c r="B29" s="1">
        <v>3.0</v>
      </c>
      <c r="C29" s="1">
        <v>3.0</v>
      </c>
      <c r="D29" s="1">
        <v>3.0</v>
      </c>
      <c r="E29" s="1">
        <v>3.0</v>
      </c>
      <c r="F29" s="1">
        <v>4.0</v>
      </c>
      <c r="G29" s="1">
        <v>4.0</v>
      </c>
      <c r="H29" s="1">
        <v>3.0</v>
      </c>
      <c r="I29" s="1">
        <v>4.0</v>
      </c>
      <c r="J29" s="1">
        <v>4.0</v>
      </c>
      <c r="K29" s="1">
        <v>4.0</v>
      </c>
      <c r="L29" s="1">
        <v>2.0</v>
      </c>
      <c r="M29" s="1">
        <v>3.0</v>
      </c>
      <c r="N29" s="1">
        <v>4.0</v>
      </c>
      <c r="O29" s="1">
        <v>3.0</v>
      </c>
      <c r="P29" s="1">
        <v>3.0</v>
      </c>
      <c r="Q29" s="1">
        <v>2.0</v>
      </c>
      <c r="R29" s="1">
        <v>4.0</v>
      </c>
      <c r="S29" s="1">
        <v>3.0</v>
      </c>
      <c r="T29" s="1">
        <v>3.0</v>
      </c>
      <c r="U29" s="1">
        <v>4.0</v>
      </c>
      <c r="V29" s="1">
        <v>4.0</v>
      </c>
      <c r="W29" s="1">
        <v>4.0</v>
      </c>
      <c r="X29" s="1">
        <v>3.0</v>
      </c>
      <c r="Y29" s="1">
        <v>3.0</v>
      </c>
      <c r="Z29" s="1">
        <v>3.0</v>
      </c>
      <c r="AA29" s="1">
        <v>3.0</v>
      </c>
      <c r="AB29" s="1">
        <v>3.0</v>
      </c>
      <c r="AC29" s="1">
        <v>3.0</v>
      </c>
      <c r="AD29" s="1">
        <v>3.0</v>
      </c>
      <c r="AE29" s="4">
        <v>1.0</v>
      </c>
      <c r="AF29" s="1">
        <v>4.0</v>
      </c>
      <c r="AG29" s="1">
        <v>4.0</v>
      </c>
      <c r="AH29" s="1">
        <v>5.0</v>
      </c>
      <c r="AI29" s="1">
        <v>3.0</v>
      </c>
      <c r="AJ29" s="1">
        <v>3.0</v>
      </c>
      <c r="AK29" s="1">
        <v>4.0</v>
      </c>
      <c r="AL29" s="1">
        <v>4.0</v>
      </c>
      <c r="AM29" s="1">
        <v>3.0</v>
      </c>
      <c r="AN29" s="1">
        <v>3.0</v>
      </c>
      <c r="AO29" s="1">
        <v>5.0</v>
      </c>
      <c r="AP29" s="1">
        <v>5.0</v>
      </c>
      <c r="AQ29" s="1">
        <v>5.0</v>
      </c>
      <c r="AR29" s="1">
        <v>3.0</v>
      </c>
      <c r="AS29" s="1">
        <v>4.0</v>
      </c>
      <c r="AT29" s="1">
        <v>3.0</v>
      </c>
      <c r="AU29" s="1">
        <v>3.0</v>
      </c>
      <c r="AV29" s="1">
        <v>4.0</v>
      </c>
      <c r="AW29" s="1">
        <v>4.0</v>
      </c>
      <c r="AX29" s="1">
        <v>4.0</v>
      </c>
      <c r="AY29" s="1">
        <v>3.0</v>
      </c>
      <c r="AZ29" s="5">
        <f t="shared" si="1"/>
        <v>172</v>
      </c>
      <c r="BA29" s="6">
        <f t="shared" si="2"/>
        <v>0.002845126175</v>
      </c>
    </row>
    <row r="30" ht="18.75" customHeight="1">
      <c r="A30" s="1" t="s">
        <v>80</v>
      </c>
      <c r="B30" s="1">
        <v>4.0</v>
      </c>
      <c r="C30" s="1">
        <v>5.0</v>
      </c>
      <c r="D30" s="1">
        <v>4.0</v>
      </c>
      <c r="E30" s="1">
        <v>3.0</v>
      </c>
      <c r="F30" s="1">
        <v>4.0</v>
      </c>
      <c r="G30" s="1">
        <v>4.0</v>
      </c>
      <c r="H30" s="1">
        <v>4.0</v>
      </c>
      <c r="I30" s="1">
        <v>4.0</v>
      </c>
      <c r="J30" s="1">
        <v>4.0</v>
      </c>
      <c r="K30" s="1">
        <v>4.0</v>
      </c>
      <c r="L30" s="1">
        <v>4.0</v>
      </c>
      <c r="M30" s="1">
        <v>4.0</v>
      </c>
      <c r="N30" s="1">
        <v>4.0</v>
      </c>
      <c r="O30" s="1">
        <v>4.0</v>
      </c>
      <c r="P30" s="1">
        <v>4.0</v>
      </c>
      <c r="Q30" s="1">
        <v>4.0</v>
      </c>
      <c r="R30" s="1">
        <v>4.0</v>
      </c>
      <c r="S30" s="1">
        <v>4.0</v>
      </c>
      <c r="T30" s="1">
        <v>4.0</v>
      </c>
      <c r="U30" s="1">
        <v>4.0</v>
      </c>
      <c r="V30" s="1">
        <v>5.0</v>
      </c>
      <c r="W30" s="1">
        <v>5.0</v>
      </c>
      <c r="X30" s="1">
        <v>4.0</v>
      </c>
      <c r="Y30" s="1">
        <v>4.0</v>
      </c>
      <c r="Z30" s="1">
        <v>4.0</v>
      </c>
      <c r="AA30" s="1">
        <v>4.0</v>
      </c>
      <c r="AB30" s="1">
        <v>4.0</v>
      </c>
      <c r="AC30" s="1">
        <v>4.0</v>
      </c>
      <c r="AD30" s="1">
        <v>4.0</v>
      </c>
      <c r="AE30" s="1">
        <v>4.0</v>
      </c>
      <c r="AF30" s="1">
        <v>4.0</v>
      </c>
      <c r="AG30" s="4">
        <v>1.0</v>
      </c>
      <c r="AH30" s="1">
        <v>4.0</v>
      </c>
      <c r="AI30" s="1">
        <v>4.0</v>
      </c>
      <c r="AJ30" s="1">
        <v>4.0</v>
      </c>
      <c r="AK30" s="1">
        <v>4.0</v>
      </c>
      <c r="AL30" s="1">
        <v>4.0</v>
      </c>
      <c r="AM30" s="1">
        <v>4.0</v>
      </c>
      <c r="AN30" s="1">
        <v>4.0</v>
      </c>
      <c r="AO30" s="1">
        <v>4.0</v>
      </c>
      <c r="AP30" s="1">
        <v>5.0</v>
      </c>
      <c r="AQ30" s="1">
        <v>5.0</v>
      </c>
      <c r="AR30" s="1">
        <v>4.0</v>
      </c>
      <c r="AS30" s="1">
        <v>5.0</v>
      </c>
      <c r="AT30" s="1">
        <v>5.0</v>
      </c>
      <c r="AU30" s="1">
        <v>5.0</v>
      </c>
      <c r="AV30" s="1">
        <v>4.0</v>
      </c>
      <c r="AW30" s="1">
        <v>4.0</v>
      </c>
      <c r="AX30" s="1">
        <v>5.0</v>
      </c>
      <c r="AY30" s="1">
        <v>4.0</v>
      </c>
      <c r="AZ30" s="5">
        <f t="shared" si="1"/>
        <v>205</v>
      </c>
      <c r="BA30" s="6">
        <f t="shared" si="2"/>
        <v>0.16336274</v>
      </c>
    </row>
    <row r="31" ht="18.75" customHeight="1">
      <c r="A31" s="1" t="s">
        <v>81</v>
      </c>
      <c r="B31" s="1">
        <v>3.0</v>
      </c>
      <c r="C31" s="1">
        <v>4.0</v>
      </c>
      <c r="D31" s="1">
        <v>2.0</v>
      </c>
      <c r="E31" s="1">
        <v>2.0</v>
      </c>
      <c r="F31" s="1">
        <v>4.0</v>
      </c>
      <c r="G31" s="1">
        <v>4.0</v>
      </c>
      <c r="H31" s="1">
        <v>5.0</v>
      </c>
      <c r="I31" s="1">
        <v>3.0</v>
      </c>
      <c r="J31" s="1">
        <v>5.0</v>
      </c>
      <c r="K31" s="1">
        <v>4.0</v>
      </c>
      <c r="L31" s="1">
        <v>2.0</v>
      </c>
      <c r="M31" s="1">
        <v>4.0</v>
      </c>
      <c r="N31" s="1">
        <v>5.0</v>
      </c>
      <c r="O31" s="1">
        <v>3.0</v>
      </c>
      <c r="P31" s="1">
        <v>3.0</v>
      </c>
      <c r="Q31" s="1">
        <v>2.0</v>
      </c>
      <c r="R31" s="1">
        <v>3.0</v>
      </c>
      <c r="S31" s="1">
        <v>3.0</v>
      </c>
      <c r="T31" s="1">
        <v>2.0</v>
      </c>
      <c r="U31" s="1">
        <v>3.0</v>
      </c>
      <c r="V31" s="1">
        <v>4.0</v>
      </c>
      <c r="W31" s="1">
        <v>5.0</v>
      </c>
      <c r="X31" s="1">
        <v>3.0</v>
      </c>
      <c r="Y31" s="1">
        <v>3.0</v>
      </c>
      <c r="Z31" s="1">
        <v>3.0</v>
      </c>
      <c r="AA31" s="1">
        <v>4.0</v>
      </c>
      <c r="AB31" s="1">
        <v>3.0</v>
      </c>
      <c r="AC31" s="1">
        <v>3.0</v>
      </c>
      <c r="AD31" s="1">
        <v>2.0</v>
      </c>
      <c r="AE31" s="1">
        <v>3.0</v>
      </c>
      <c r="AF31" s="1">
        <v>3.0</v>
      </c>
      <c r="AG31" s="1">
        <v>2.0</v>
      </c>
      <c r="AH31" s="4">
        <v>1.0</v>
      </c>
      <c r="AI31" s="1">
        <v>4.0</v>
      </c>
      <c r="AJ31" s="1">
        <v>3.0</v>
      </c>
      <c r="AK31" s="1">
        <v>3.0</v>
      </c>
      <c r="AL31" s="1">
        <v>4.0</v>
      </c>
      <c r="AM31" s="1">
        <v>3.0</v>
      </c>
      <c r="AN31" s="1">
        <v>3.0</v>
      </c>
      <c r="AO31" s="1">
        <v>5.0</v>
      </c>
      <c r="AP31" s="1">
        <v>3.0</v>
      </c>
      <c r="AQ31" s="1">
        <v>4.0</v>
      </c>
      <c r="AR31" s="1">
        <v>3.0</v>
      </c>
      <c r="AS31" s="1">
        <v>4.0</v>
      </c>
      <c r="AT31" s="1">
        <v>3.0</v>
      </c>
      <c r="AU31" s="1">
        <v>2.0</v>
      </c>
      <c r="AV31" s="1">
        <v>3.0</v>
      </c>
      <c r="AW31" s="1">
        <v>4.0</v>
      </c>
      <c r="AX31" s="1">
        <v>3.0</v>
      </c>
      <c r="AY31" s="1">
        <v>2.0</v>
      </c>
      <c r="AZ31" s="5">
        <f t="shared" si="1"/>
        <v>161</v>
      </c>
      <c r="BA31" s="6">
        <f t="shared" si="2"/>
        <v>-0.06528346769</v>
      </c>
    </row>
    <row r="32" ht="18.75" customHeight="1">
      <c r="A32" s="1" t="s">
        <v>82</v>
      </c>
      <c r="B32" s="1">
        <v>3.0</v>
      </c>
      <c r="C32" s="1">
        <v>3.0</v>
      </c>
      <c r="D32" s="1">
        <v>4.0</v>
      </c>
      <c r="E32" s="1">
        <v>1.0</v>
      </c>
      <c r="F32" s="1">
        <v>4.0</v>
      </c>
      <c r="G32" s="1">
        <v>3.0</v>
      </c>
      <c r="H32" s="1">
        <v>4.0</v>
      </c>
      <c r="I32" s="1">
        <v>4.0</v>
      </c>
      <c r="J32" s="1">
        <v>4.0</v>
      </c>
      <c r="K32" s="1">
        <v>3.0</v>
      </c>
      <c r="L32" s="1">
        <v>2.0</v>
      </c>
      <c r="M32" s="1">
        <v>4.0</v>
      </c>
      <c r="N32" s="1">
        <v>3.0</v>
      </c>
      <c r="O32" s="1">
        <v>5.0</v>
      </c>
      <c r="P32" s="1">
        <v>2.0</v>
      </c>
      <c r="Q32" s="1">
        <v>2.0</v>
      </c>
      <c r="R32" s="1">
        <v>2.0</v>
      </c>
      <c r="S32" s="1">
        <v>2.0</v>
      </c>
      <c r="T32" s="1">
        <v>2.0</v>
      </c>
      <c r="U32" s="1">
        <v>4.0</v>
      </c>
      <c r="V32" s="1">
        <v>3.0</v>
      </c>
      <c r="W32" s="1">
        <v>3.0</v>
      </c>
      <c r="X32" s="1">
        <v>4.0</v>
      </c>
      <c r="Y32" s="1">
        <v>5.0</v>
      </c>
      <c r="Z32" s="1">
        <v>3.0</v>
      </c>
      <c r="AA32" s="1">
        <v>4.0</v>
      </c>
      <c r="AB32" s="1">
        <v>4.0</v>
      </c>
      <c r="AC32" s="1">
        <v>4.0</v>
      </c>
      <c r="AD32" s="1">
        <v>1.0</v>
      </c>
      <c r="AE32" s="1">
        <v>5.0</v>
      </c>
      <c r="AF32" s="1">
        <v>3.0</v>
      </c>
      <c r="AG32" s="1">
        <v>1.0</v>
      </c>
      <c r="AH32" s="1">
        <v>5.0</v>
      </c>
      <c r="AI32" s="4">
        <v>1.0</v>
      </c>
      <c r="AJ32" s="1">
        <v>4.0</v>
      </c>
      <c r="AK32" s="1">
        <v>4.0</v>
      </c>
      <c r="AL32" s="1">
        <v>3.0</v>
      </c>
      <c r="AM32" s="1">
        <v>3.0</v>
      </c>
      <c r="AN32" s="1">
        <v>2.0</v>
      </c>
      <c r="AO32" s="1">
        <v>4.0</v>
      </c>
      <c r="AP32" s="1">
        <v>5.0</v>
      </c>
      <c r="AQ32" s="1">
        <v>4.0</v>
      </c>
      <c r="AR32" s="1">
        <v>3.0</v>
      </c>
      <c r="AS32" s="1">
        <v>3.0</v>
      </c>
      <c r="AT32" s="1">
        <v>4.0</v>
      </c>
      <c r="AU32" s="1">
        <v>2.0</v>
      </c>
      <c r="AV32" s="1">
        <v>3.0</v>
      </c>
      <c r="AW32" s="1">
        <v>3.0</v>
      </c>
      <c r="AX32" s="1">
        <v>3.0</v>
      </c>
      <c r="AY32" s="1">
        <v>3.0</v>
      </c>
      <c r="AZ32" s="5">
        <f t="shared" si="1"/>
        <v>160</v>
      </c>
      <c r="BA32" s="6">
        <f t="shared" si="2"/>
        <v>-0.07194148936</v>
      </c>
    </row>
    <row r="33" ht="18.75" customHeight="1">
      <c r="A33" s="1" t="s">
        <v>83</v>
      </c>
      <c r="B33" s="1">
        <v>3.0</v>
      </c>
      <c r="C33" s="1">
        <v>5.0</v>
      </c>
      <c r="D33" s="1">
        <v>4.0</v>
      </c>
      <c r="E33" s="1">
        <v>3.0</v>
      </c>
      <c r="F33" s="1">
        <v>3.0</v>
      </c>
      <c r="G33" s="1">
        <v>5.0</v>
      </c>
      <c r="H33" s="1">
        <v>4.0</v>
      </c>
      <c r="I33" s="1">
        <v>3.0</v>
      </c>
      <c r="J33" s="1">
        <v>5.0</v>
      </c>
      <c r="K33" s="1">
        <v>3.0</v>
      </c>
      <c r="L33" s="1">
        <v>3.0</v>
      </c>
      <c r="M33" s="1">
        <v>3.0</v>
      </c>
      <c r="N33" s="1">
        <v>5.0</v>
      </c>
      <c r="O33" s="1">
        <v>3.0</v>
      </c>
      <c r="P33" s="1">
        <v>3.0</v>
      </c>
      <c r="Q33" s="1">
        <v>3.0</v>
      </c>
      <c r="R33" s="1">
        <v>4.0</v>
      </c>
      <c r="S33" s="1">
        <v>3.0</v>
      </c>
      <c r="T33" s="1">
        <v>3.0</v>
      </c>
      <c r="U33" s="1">
        <v>3.0</v>
      </c>
      <c r="V33" s="1">
        <v>3.0</v>
      </c>
      <c r="W33" s="1">
        <v>5.0</v>
      </c>
      <c r="X33" s="1">
        <v>3.0</v>
      </c>
      <c r="Y33" s="1">
        <v>4.0</v>
      </c>
      <c r="Z33" s="1">
        <v>3.0</v>
      </c>
      <c r="AA33" s="1">
        <v>3.0</v>
      </c>
      <c r="AB33" s="1">
        <v>3.0</v>
      </c>
      <c r="AC33" s="1">
        <v>4.0</v>
      </c>
      <c r="AD33" s="1">
        <v>3.0</v>
      </c>
      <c r="AE33" s="1">
        <v>3.0</v>
      </c>
      <c r="AF33" s="1">
        <v>3.0</v>
      </c>
      <c r="AG33" s="1">
        <v>2.0</v>
      </c>
      <c r="AH33" s="1">
        <v>4.0</v>
      </c>
      <c r="AI33" s="1">
        <v>5.0</v>
      </c>
      <c r="AJ33" s="1">
        <v>3.0</v>
      </c>
      <c r="AK33" s="1">
        <v>3.0</v>
      </c>
      <c r="AL33" s="1">
        <v>3.0</v>
      </c>
      <c r="AM33" s="1">
        <v>3.0</v>
      </c>
      <c r="AN33" s="1">
        <v>2.0</v>
      </c>
      <c r="AO33" s="1">
        <v>5.0</v>
      </c>
      <c r="AP33" s="1">
        <v>5.0</v>
      </c>
      <c r="AQ33" s="1">
        <v>2.0</v>
      </c>
      <c r="AR33" s="1">
        <v>3.0</v>
      </c>
      <c r="AS33" s="1">
        <v>3.0</v>
      </c>
      <c r="AT33" s="1">
        <v>5.0</v>
      </c>
      <c r="AU33" s="1">
        <v>3.0</v>
      </c>
      <c r="AV33" s="1">
        <v>3.0</v>
      </c>
      <c r="AW33" s="1">
        <v>5.0</v>
      </c>
      <c r="AX33" s="1">
        <v>3.0</v>
      </c>
      <c r="AY33" s="1">
        <v>3.0</v>
      </c>
      <c r="AZ33" s="5">
        <f t="shared" si="1"/>
        <v>173</v>
      </c>
      <c r="BA33" s="6">
        <f t="shared" si="2"/>
        <v>0.00860902718</v>
      </c>
    </row>
    <row r="34" ht="18.75" customHeight="1">
      <c r="A34" s="1" t="s">
        <v>84</v>
      </c>
      <c r="B34" s="1">
        <v>3.0</v>
      </c>
      <c r="C34" s="1">
        <v>4.0</v>
      </c>
      <c r="D34" s="1">
        <v>3.0</v>
      </c>
      <c r="E34" s="1">
        <v>2.0</v>
      </c>
      <c r="F34" s="1">
        <v>3.0</v>
      </c>
      <c r="G34" s="1">
        <v>3.0</v>
      </c>
      <c r="H34" s="1">
        <v>5.0</v>
      </c>
      <c r="I34" s="1">
        <v>3.0</v>
      </c>
      <c r="J34" s="1">
        <v>4.0</v>
      </c>
      <c r="K34" s="1">
        <v>3.0</v>
      </c>
      <c r="L34" s="1">
        <v>3.0</v>
      </c>
      <c r="M34" s="1">
        <v>3.0</v>
      </c>
      <c r="N34" s="1">
        <v>3.0</v>
      </c>
      <c r="O34" s="1">
        <v>4.0</v>
      </c>
      <c r="P34" s="1">
        <v>3.0</v>
      </c>
      <c r="Q34" s="1">
        <v>3.0</v>
      </c>
      <c r="R34" s="1">
        <v>3.0</v>
      </c>
      <c r="S34" s="1">
        <v>3.0</v>
      </c>
      <c r="T34" s="1">
        <v>3.0</v>
      </c>
      <c r="U34" s="1">
        <v>3.0</v>
      </c>
      <c r="V34" s="1">
        <v>5.0</v>
      </c>
      <c r="W34" s="1">
        <v>5.0</v>
      </c>
      <c r="X34" s="1">
        <v>3.0</v>
      </c>
      <c r="Y34" s="1">
        <v>3.0</v>
      </c>
      <c r="Z34" s="1">
        <v>3.0</v>
      </c>
      <c r="AA34" s="1">
        <v>4.0</v>
      </c>
      <c r="AB34" s="1">
        <v>3.0</v>
      </c>
      <c r="AC34" s="1">
        <v>4.0</v>
      </c>
      <c r="AD34" s="1">
        <v>3.0</v>
      </c>
      <c r="AE34" s="1">
        <v>3.0</v>
      </c>
      <c r="AF34" s="1">
        <v>2.0</v>
      </c>
      <c r="AG34" s="1">
        <v>3.0</v>
      </c>
      <c r="AH34" s="1">
        <v>5.0</v>
      </c>
      <c r="AI34" s="1">
        <v>3.0</v>
      </c>
      <c r="AJ34" s="1">
        <v>5.0</v>
      </c>
      <c r="AK34" s="1">
        <v>3.0</v>
      </c>
      <c r="AL34" s="1">
        <v>3.0</v>
      </c>
      <c r="AM34" s="1">
        <v>3.0</v>
      </c>
      <c r="AN34" s="1">
        <v>3.0</v>
      </c>
      <c r="AO34" s="1">
        <v>4.0</v>
      </c>
      <c r="AP34" s="1">
        <v>4.0</v>
      </c>
      <c r="AQ34" s="1">
        <v>4.0</v>
      </c>
      <c r="AR34" s="1">
        <v>3.0</v>
      </c>
      <c r="AS34" s="1">
        <v>4.0</v>
      </c>
      <c r="AT34" s="1">
        <v>4.0</v>
      </c>
      <c r="AU34" s="1">
        <v>3.0</v>
      </c>
      <c r="AV34" s="1">
        <v>4.0</v>
      </c>
      <c r="AW34" s="1">
        <v>4.0</v>
      </c>
      <c r="AX34" s="1">
        <v>4.0</v>
      </c>
      <c r="AY34" s="1">
        <v>2.0</v>
      </c>
      <c r="AZ34" s="5">
        <f t="shared" si="1"/>
        <v>170</v>
      </c>
      <c r="BA34" s="6">
        <f t="shared" si="2"/>
        <v>-0.008886107635</v>
      </c>
    </row>
    <row r="35" ht="18.75" customHeight="1">
      <c r="A35" s="1" t="s">
        <v>85</v>
      </c>
      <c r="B35" s="1">
        <v>3.0</v>
      </c>
      <c r="C35" s="1">
        <v>4.0</v>
      </c>
      <c r="D35" s="1">
        <v>3.0</v>
      </c>
      <c r="E35" s="1">
        <v>1.0</v>
      </c>
      <c r="F35" s="1">
        <v>5.0</v>
      </c>
      <c r="G35" s="1">
        <v>3.0</v>
      </c>
      <c r="H35" s="1">
        <v>4.0</v>
      </c>
      <c r="I35" s="1">
        <v>5.0</v>
      </c>
      <c r="J35" s="1">
        <v>5.0</v>
      </c>
      <c r="K35" s="1">
        <v>5.0</v>
      </c>
      <c r="L35" s="1">
        <v>2.0</v>
      </c>
      <c r="M35" s="1">
        <v>3.0</v>
      </c>
      <c r="N35" s="1">
        <v>5.0</v>
      </c>
      <c r="O35" s="1">
        <v>3.0</v>
      </c>
      <c r="P35" s="1">
        <v>4.0</v>
      </c>
      <c r="Q35" s="1">
        <v>3.0</v>
      </c>
      <c r="R35" s="1">
        <v>4.0</v>
      </c>
      <c r="S35" s="1">
        <v>4.0</v>
      </c>
      <c r="T35" s="1">
        <v>2.0</v>
      </c>
      <c r="U35" s="1">
        <v>2.0</v>
      </c>
      <c r="V35" s="1">
        <v>5.0</v>
      </c>
      <c r="W35" s="1">
        <v>5.0</v>
      </c>
      <c r="X35" s="1">
        <v>4.0</v>
      </c>
      <c r="Y35" s="1">
        <v>3.0</v>
      </c>
      <c r="Z35" s="1">
        <v>3.0</v>
      </c>
      <c r="AA35" s="1">
        <v>3.0</v>
      </c>
      <c r="AB35" s="1">
        <v>4.0</v>
      </c>
      <c r="AC35" s="1">
        <v>4.0</v>
      </c>
      <c r="AD35" s="1">
        <v>4.0</v>
      </c>
      <c r="AE35" s="1">
        <v>2.0</v>
      </c>
      <c r="AF35" s="1">
        <v>2.0</v>
      </c>
      <c r="AG35" s="1">
        <v>2.0</v>
      </c>
      <c r="AH35" s="1">
        <v>5.0</v>
      </c>
      <c r="AI35" s="1">
        <v>5.0</v>
      </c>
      <c r="AJ35" s="4">
        <v>1.0</v>
      </c>
      <c r="AK35" s="1">
        <v>4.0</v>
      </c>
      <c r="AL35" s="1">
        <v>2.0</v>
      </c>
      <c r="AM35" s="1">
        <v>1.0</v>
      </c>
      <c r="AN35" s="1">
        <v>4.0</v>
      </c>
      <c r="AO35" s="1">
        <v>3.0</v>
      </c>
      <c r="AP35" s="1">
        <v>2.0</v>
      </c>
      <c r="AQ35" s="1">
        <v>4.0</v>
      </c>
      <c r="AR35" s="1">
        <v>4.0</v>
      </c>
      <c r="AS35" s="1">
        <v>4.0</v>
      </c>
      <c r="AT35" s="1">
        <v>4.0</v>
      </c>
      <c r="AU35" s="1">
        <v>2.0</v>
      </c>
      <c r="AV35" s="1">
        <v>3.0</v>
      </c>
      <c r="AW35" s="1">
        <v>5.0</v>
      </c>
      <c r="AX35" s="1">
        <v>4.0</v>
      </c>
      <c r="AY35" s="1">
        <v>4.0</v>
      </c>
      <c r="AZ35" s="5">
        <f t="shared" si="1"/>
        <v>172</v>
      </c>
      <c r="BA35" s="6">
        <f t="shared" si="2"/>
        <v>0.002845126175</v>
      </c>
    </row>
    <row r="36" ht="18.75" customHeight="1">
      <c r="A36" s="1" t="s">
        <v>86</v>
      </c>
      <c r="B36" s="1">
        <v>3.0</v>
      </c>
      <c r="C36" s="1">
        <v>4.0</v>
      </c>
      <c r="D36" s="1">
        <v>4.0</v>
      </c>
      <c r="E36" s="1">
        <v>3.0</v>
      </c>
      <c r="F36" s="1">
        <v>4.0</v>
      </c>
      <c r="G36" s="1">
        <v>4.0</v>
      </c>
      <c r="H36" s="1">
        <v>5.0</v>
      </c>
      <c r="I36" s="1">
        <v>3.0</v>
      </c>
      <c r="J36" s="1">
        <v>5.0</v>
      </c>
      <c r="K36" s="1">
        <v>4.0</v>
      </c>
      <c r="L36" s="1">
        <v>3.0</v>
      </c>
      <c r="M36" s="1">
        <v>3.0</v>
      </c>
      <c r="N36" s="1">
        <v>5.0</v>
      </c>
      <c r="O36" s="1">
        <v>4.0</v>
      </c>
      <c r="P36" s="1">
        <v>3.0</v>
      </c>
      <c r="Q36" s="1">
        <v>4.0</v>
      </c>
      <c r="R36" s="1">
        <v>4.0</v>
      </c>
      <c r="S36" s="1">
        <v>3.0</v>
      </c>
      <c r="T36" s="1">
        <v>3.0</v>
      </c>
      <c r="U36" s="1">
        <v>4.0</v>
      </c>
      <c r="V36" s="1">
        <v>5.0</v>
      </c>
      <c r="W36" s="1">
        <v>5.0</v>
      </c>
      <c r="X36" s="1">
        <v>3.0</v>
      </c>
      <c r="Y36" s="1">
        <v>3.0</v>
      </c>
      <c r="Z36" s="1">
        <v>5.0</v>
      </c>
      <c r="AA36" s="1">
        <v>4.0</v>
      </c>
      <c r="AB36" s="1">
        <v>4.0</v>
      </c>
      <c r="AC36" s="1">
        <v>4.0</v>
      </c>
      <c r="AD36" s="1">
        <v>4.0</v>
      </c>
      <c r="AE36" s="1">
        <v>4.0</v>
      </c>
      <c r="AF36" s="1">
        <v>4.0</v>
      </c>
      <c r="AG36" s="1">
        <v>4.0</v>
      </c>
      <c r="AH36" s="1">
        <v>5.0</v>
      </c>
      <c r="AI36" s="1">
        <v>4.0</v>
      </c>
      <c r="AJ36" s="1">
        <v>4.0</v>
      </c>
      <c r="AK36" s="4">
        <v>1.0</v>
      </c>
      <c r="AL36" s="1">
        <v>5.0</v>
      </c>
      <c r="AM36" s="1">
        <v>5.0</v>
      </c>
      <c r="AN36" s="1">
        <v>3.0</v>
      </c>
      <c r="AO36" s="1">
        <v>5.0</v>
      </c>
      <c r="AP36" s="1">
        <v>5.0</v>
      </c>
      <c r="AQ36" s="1">
        <v>4.0</v>
      </c>
      <c r="AR36" s="1">
        <v>3.0</v>
      </c>
      <c r="AS36" s="1">
        <v>5.0</v>
      </c>
      <c r="AT36" s="1">
        <v>5.0</v>
      </c>
      <c r="AU36" s="1">
        <v>3.0</v>
      </c>
      <c r="AV36" s="1">
        <v>3.0</v>
      </c>
      <c r="AW36" s="1">
        <v>5.0</v>
      </c>
      <c r="AX36" s="1">
        <v>4.0</v>
      </c>
      <c r="AY36" s="1">
        <v>4.0</v>
      </c>
      <c r="AZ36" s="5">
        <f t="shared" si="1"/>
        <v>197</v>
      </c>
      <c r="BA36" s="6">
        <f t="shared" si="2"/>
        <v>0.1293876229</v>
      </c>
    </row>
    <row r="37" ht="18.75" customHeight="1">
      <c r="A37" s="1" t="s">
        <v>87</v>
      </c>
      <c r="B37" s="1">
        <v>2.0</v>
      </c>
      <c r="C37" s="1">
        <v>1.0</v>
      </c>
      <c r="D37" s="1">
        <v>3.0</v>
      </c>
      <c r="E37" s="1">
        <v>2.0</v>
      </c>
      <c r="F37" s="1">
        <v>4.0</v>
      </c>
      <c r="G37" s="1">
        <v>3.0</v>
      </c>
      <c r="H37" s="1">
        <v>5.0</v>
      </c>
      <c r="I37" s="1">
        <v>3.0</v>
      </c>
      <c r="J37" s="1">
        <v>5.0</v>
      </c>
      <c r="K37" s="1">
        <v>5.0</v>
      </c>
      <c r="L37" s="1">
        <v>2.0</v>
      </c>
      <c r="M37" s="1">
        <v>4.0</v>
      </c>
      <c r="N37" s="1">
        <v>5.0</v>
      </c>
      <c r="O37" s="1">
        <v>3.0</v>
      </c>
      <c r="P37" s="1">
        <v>3.0</v>
      </c>
      <c r="Q37" s="1">
        <v>2.0</v>
      </c>
      <c r="R37" s="1">
        <v>3.0</v>
      </c>
      <c r="S37" s="1">
        <v>3.0</v>
      </c>
      <c r="T37" s="1">
        <v>2.0</v>
      </c>
      <c r="U37" s="1">
        <v>3.0</v>
      </c>
      <c r="V37" s="1">
        <v>4.0</v>
      </c>
      <c r="W37" s="1">
        <v>5.0</v>
      </c>
      <c r="X37" s="1">
        <v>3.0</v>
      </c>
      <c r="Y37" s="1">
        <v>3.0</v>
      </c>
      <c r="Z37" s="1">
        <v>4.0</v>
      </c>
      <c r="AA37" s="1">
        <v>4.0</v>
      </c>
      <c r="AB37" s="1">
        <v>4.0</v>
      </c>
      <c r="AC37" s="1">
        <v>3.0</v>
      </c>
      <c r="AD37" s="1">
        <v>2.0</v>
      </c>
      <c r="AE37" s="1">
        <v>3.0</v>
      </c>
      <c r="AF37" s="1">
        <v>4.0</v>
      </c>
      <c r="AG37" s="1">
        <v>4.0</v>
      </c>
      <c r="AH37" s="1">
        <v>5.0</v>
      </c>
      <c r="AI37" s="1">
        <v>3.0</v>
      </c>
      <c r="AJ37" s="1">
        <v>4.0</v>
      </c>
      <c r="AK37" s="1">
        <v>2.0</v>
      </c>
      <c r="AL37" s="4">
        <v>1.0</v>
      </c>
      <c r="AM37" s="1">
        <v>3.0</v>
      </c>
      <c r="AN37" s="1">
        <v>3.0</v>
      </c>
      <c r="AO37" s="1">
        <v>5.0</v>
      </c>
      <c r="AP37" s="1">
        <v>4.0</v>
      </c>
      <c r="AQ37" s="1">
        <v>3.0</v>
      </c>
      <c r="AR37" s="1">
        <v>3.0</v>
      </c>
      <c r="AS37" s="1">
        <v>4.0</v>
      </c>
      <c r="AT37" s="1">
        <v>3.0</v>
      </c>
      <c r="AU37" s="1">
        <v>2.0</v>
      </c>
      <c r="AV37" s="1">
        <v>3.0</v>
      </c>
      <c r="AW37" s="1">
        <v>5.0</v>
      </c>
      <c r="AX37" s="1">
        <v>3.0</v>
      </c>
      <c r="AY37" s="1">
        <v>3.0</v>
      </c>
      <c r="AZ37" s="5">
        <f t="shared" si="1"/>
        <v>165</v>
      </c>
      <c r="BA37" s="6">
        <f t="shared" si="2"/>
        <v>-0.03945841393</v>
      </c>
    </row>
    <row r="38" ht="18.75" customHeight="1">
      <c r="A38" s="1" t="s">
        <v>88</v>
      </c>
      <c r="B38" s="1">
        <v>3.0</v>
      </c>
      <c r="C38" s="1">
        <v>2.0</v>
      </c>
      <c r="D38" s="1">
        <v>3.0</v>
      </c>
      <c r="E38" s="1">
        <v>3.0</v>
      </c>
      <c r="F38" s="1">
        <v>3.0</v>
      </c>
      <c r="G38" s="1">
        <v>4.0</v>
      </c>
      <c r="H38" s="1">
        <v>5.0</v>
      </c>
      <c r="I38" s="1">
        <v>3.0</v>
      </c>
      <c r="J38" s="1">
        <v>4.0</v>
      </c>
      <c r="K38" s="1">
        <v>3.0</v>
      </c>
      <c r="L38" s="1">
        <v>2.0</v>
      </c>
      <c r="M38" s="1">
        <v>4.0</v>
      </c>
      <c r="N38" s="1">
        <v>3.0</v>
      </c>
      <c r="O38" s="1">
        <v>4.0</v>
      </c>
      <c r="P38" s="1">
        <v>2.0</v>
      </c>
      <c r="Q38" s="1">
        <v>3.0</v>
      </c>
      <c r="R38" s="1">
        <v>4.0</v>
      </c>
      <c r="S38" s="1">
        <v>2.0</v>
      </c>
      <c r="T38" s="1">
        <v>2.0</v>
      </c>
      <c r="U38" s="1">
        <v>3.0</v>
      </c>
      <c r="V38" s="1">
        <v>4.0</v>
      </c>
      <c r="W38" s="1">
        <v>5.0</v>
      </c>
      <c r="X38" s="1">
        <v>3.0</v>
      </c>
      <c r="Y38" s="1">
        <v>3.0</v>
      </c>
      <c r="Z38" s="1">
        <v>3.0</v>
      </c>
      <c r="AA38" s="1">
        <v>2.0</v>
      </c>
      <c r="AB38" s="1">
        <v>3.0</v>
      </c>
      <c r="AC38" s="1">
        <v>3.0</v>
      </c>
      <c r="AD38" s="1">
        <v>2.0</v>
      </c>
      <c r="AE38" s="1">
        <v>3.0</v>
      </c>
      <c r="AF38" s="1">
        <v>3.0</v>
      </c>
      <c r="AG38" s="1">
        <v>3.0</v>
      </c>
      <c r="AH38" s="1">
        <v>5.0</v>
      </c>
      <c r="AI38" s="1">
        <v>3.0</v>
      </c>
      <c r="AJ38" s="1">
        <v>3.0</v>
      </c>
      <c r="AK38" s="1">
        <v>3.0</v>
      </c>
      <c r="AL38" s="1">
        <v>4.0</v>
      </c>
      <c r="AM38" s="4">
        <v>1.0</v>
      </c>
      <c r="AN38" s="1">
        <v>2.0</v>
      </c>
      <c r="AO38" s="1">
        <v>5.0</v>
      </c>
      <c r="AP38" s="1">
        <v>3.0</v>
      </c>
      <c r="AQ38" s="1">
        <v>3.0</v>
      </c>
      <c r="AR38" s="1">
        <v>3.0</v>
      </c>
      <c r="AS38" s="1">
        <v>3.0</v>
      </c>
      <c r="AT38" s="1">
        <v>3.0</v>
      </c>
      <c r="AU38" s="1">
        <v>3.0</v>
      </c>
      <c r="AV38" s="1">
        <v>3.0</v>
      </c>
      <c r="AW38" s="1">
        <v>4.0</v>
      </c>
      <c r="AX38" s="1">
        <v>3.0</v>
      </c>
      <c r="AY38" s="1">
        <v>3.0</v>
      </c>
      <c r="AZ38" s="5">
        <f t="shared" si="1"/>
        <v>156</v>
      </c>
      <c r="BA38" s="6">
        <f t="shared" si="2"/>
        <v>-0.09942716858</v>
      </c>
    </row>
    <row r="39" ht="18.75" customHeight="1">
      <c r="A39" s="1" t="s">
        <v>89</v>
      </c>
      <c r="B39" s="1">
        <v>3.0</v>
      </c>
      <c r="C39" s="1">
        <v>4.0</v>
      </c>
      <c r="D39" s="1">
        <v>4.0</v>
      </c>
      <c r="E39" s="1">
        <v>1.0</v>
      </c>
      <c r="F39" s="1">
        <v>4.0</v>
      </c>
      <c r="G39" s="1">
        <v>4.0</v>
      </c>
      <c r="H39" s="1">
        <v>4.0</v>
      </c>
      <c r="I39" s="1">
        <v>4.0</v>
      </c>
      <c r="J39" s="1">
        <v>4.0</v>
      </c>
      <c r="K39" s="1">
        <v>4.0</v>
      </c>
      <c r="L39" s="1">
        <v>2.0</v>
      </c>
      <c r="M39" s="1">
        <v>4.0</v>
      </c>
      <c r="N39" s="1">
        <v>4.0</v>
      </c>
      <c r="O39" s="1">
        <v>3.0</v>
      </c>
      <c r="P39" s="1">
        <v>2.0</v>
      </c>
      <c r="Q39" s="1">
        <v>3.0</v>
      </c>
      <c r="R39" s="1">
        <v>3.0</v>
      </c>
      <c r="S39" s="1">
        <v>2.0</v>
      </c>
      <c r="T39" s="1">
        <v>3.0</v>
      </c>
      <c r="U39" s="1">
        <v>2.0</v>
      </c>
      <c r="V39" s="1">
        <v>4.0</v>
      </c>
      <c r="W39" s="1">
        <v>5.0</v>
      </c>
      <c r="X39" s="1">
        <v>2.0</v>
      </c>
      <c r="Y39" s="1">
        <v>3.0</v>
      </c>
      <c r="Z39" s="1">
        <v>4.0</v>
      </c>
      <c r="AA39" s="1">
        <v>3.0</v>
      </c>
      <c r="AB39" s="1">
        <v>4.0</v>
      </c>
      <c r="AC39" s="1">
        <v>3.0</v>
      </c>
      <c r="AD39" s="1">
        <v>3.0</v>
      </c>
      <c r="AE39" s="1">
        <v>2.0</v>
      </c>
      <c r="AF39" s="1">
        <v>3.0</v>
      </c>
      <c r="AG39" s="1">
        <v>2.0</v>
      </c>
      <c r="AH39" s="1">
        <v>3.0</v>
      </c>
      <c r="AI39" s="1">
        <v>4.0</v>
      </c>
      <c r="AJ39" s="1">
        <v>4.0</v>
      </c>
      <c r="AK39" s="1">
        <v>4.0</v>
      </c>
      <c r="AL39" s="1">
        <v>2.0</v>
      </c>
      <c r="AM39" s="1">
        <v>2.0</v>
      </c>
      <c r="AN39" s="4">
        <v>1.0</v>
      </c>
      <c r="AO39" s="1">
        <v>4.0</v>
      </c>
      <c r="AP39" s="1">
        <v>4.0</v>
      </c>
      <c r="AQ39" s="1">
        <v>3.0</v>
      </c>
      <c r="AR39" s="1">
        <v>3.0</v>
      </c>
      <c r="AS39" s="1">
        <v>3.0</v>
      </c>
      <c r="AT39" s="1">
        <v>4.0</v>
      </c>
      <c r="AU39" s="1">
        <v>3.0</v>
      </c>
      <c r="AV39" s="1">
        <v>3.0</v>
      </c>
      <c r="AW39" s="1">
        <v>4.0</v>
      </c>
      <c r="AX39" s="1">
        <v>4.0</v>
      </c>
      <c r="AY39" s="1">
        <v>2.0</v>
      </c>
      <c r="AZ39" s="5">
        <f t="shared" si="1"/>
        <v>159</v>
      </c>
      <c r="BA39" s="6">
        <f t="shared" si="2"/>
        <v>-0.07868325974</v>
      </c>
    </row>
    <row r="40" ht="18.75" customHeight="1">
      <c r="A40" s="1" t="s">
        <v>90</v>
      </c>
      <c r="B40" s="1">
        <v>4.0</v>
      </c>
      <c r="C40" s="1">
        <v>4.0</v>
      </c>
      <c r="D40" s="1">
        <v>3.0</v>
      </c>
      <c r="E40" s="1">
        <v>2.0</v>
      </c>
      <c r="F40" s="1">
        <v>5.0</v>
      </c>
      <c r="G40" s="1">
        <v>4.0</v>
      </c>
      <c r="H40" s="1">
        <v>3.0</v>
      </c>
      <c r="I40" s="1">
        <v>3.0</v>
      </c>
      <c r="J40" s="1">
        <v>5.0</v>
      </c>
      <c r="K40" s="1">
        <v>4.0</v>
      </c>
      <c r="L40" s="1">
        <v>3.0</v>
      </c>
      <c r="M40" s="1">
        <v>4.0</v>
      </c>
      <c r="N40" s="1">
        <v>4.0</v>
      </c>
      <c r="O40" s="1">
        <v>4.0</v>
      </c>
      <c r="P40" s="1">
        <v>3.0</v>
      </c>
      <c r="Q40" s="1">
        <v>3.0</v>
      </c>
      <c r="R40" s="1">
        <v>4.0</v>
      </c>
      <c r="S40" s="1">
        <v>4.0</v>
      </c>
      <c r="T40" s="1">
        <v>2.0</v>
      </c>
      <c r="U40" s="1">
        <v>3.0</v>
      </c>
      <c r="V40" s="1">
        <v>4.0</v>
      </c>
      <c r="W40" s="1">
        <v>5.0</v>
      </c>
      <c r="X40" s="1">
        <v>4.0</v>
      </c>
      <c r="Y40" s="1">
        <v>3.0</v>
      </c>
      <c r="Z40" s="1">
        <v>4.0</v>
      </c>
      <c r="AA40" s="1">
        <v>4.0</v>
      </c>
      <c r="AB40" s="1">
        <v>5.0</v>
      </c>
      <c r="AC40" s="1">
        <v>4.0</v>
      </c>
      <c r="AD40" s="1">
        <v>5.0</v>
      </c>
      <c r="AE40" s="1">
        <v>3.0</v>
      </c>
      <c r="AF40" s="1">
        <v>3.0</v>
      </c>
      <c r="AG40" s="1">
        <v>4.0</v>
      </c>
      <c r="AH40" s="1">
        <v>5.0</v>
      </c>
      <c r="AI40" s="1">
        <v>3.0</v>
      </c>
      <c r="AJ40" s="1">
        <v>3.0</v>
      </c>
      <c r="AK40" s="1">
        <v>3.0</v>
      </c>
      <c r="AL40" s="1">
        <v>3.0</v>
      </c>
      <c r="AM40" s="1">
        <v>3.0</v>
      </c>
      <c r="AN40" s="1">
        <v>4.0</v>
      </c>
      <c r="AO40" s="4">
        <v>1.0</v>
      </c>
      <c r="AP40" s="1">
        <v>5.0</v>
      </c>
      <c r="AQ40" s="1">
        <v>4.0</v>
      </c>
      <c r="AR40" s="1">
        <v>3.0</v>
      </c>
      <c r="AS40" s="1">
        <v>5.0</v>
      </c>
      <c r="AT40" s="1">
        <v>4.0</v>
      </c>
      <c r="AU40" s="1">
        <v>3.0</v>
      </c>
      <c r="AV40" s="1">
        <v>4.0</v>
      </c>
      <c r="AW40" s="1">
        <v>3.0</v>
      </c>
      <c r="AX40" s="1">
        <v>4.0</v>
      </c>
      <c r="AY40" s="1">
        <v>3.0</v>
      </c>
      <c r="AZ40" s="5">
        <f t="shared" si="1"/>
        <v>182</v>
      </c>
      <c r="BA40" s="6">
        <f t="shared" si="2"/>
        <v>0.05763385551</v>
      </c>
    </row>
    <row r="41" ht="18.75" customHeight="1">
      <c r="A41" s="1" t="s">
        <v>91</v>
      </c>
      <c r="B41" s="1">
        <v>3.0</v>
      </c>
      <c r="C41" s="1">
        <v>4.0</v>
      </c>
      <c r="D41" s="1">
        <v>3.0</v>
      </c>
      <c r="E41" s="1">
        <v>3.0</v>
      </c>
      <c r="F41" s="1">
        <v>4.0</v>
      </c>
      <c r="G41" s="1">
        <v>3.0</v>
      </c>
      <c r="H41" s="1">
        <v>4.0</v>
      </c>
      <c r="I41" s="1">
        <v>3.0</v>
      </c>
      <c r="J41" s="1">
        <v>5.0</v>
      </c>
      <c r="K41" s="1">
        <v>3.0</v>
      </c>
      <c r="L41" s="1">
        <v>2.0</v>
      </c>
      <c r="M41" s="1">
        <v>4.0</v>
      </c>
      <c r="N41" s="1">
        <v>4.0</v>
      </c>
      <c r="O41" s="1">
        <v>3.0</v>
      </c>
      <c r="P41" s="1">
        <v>2.0</v>
      </c>
      <c r="Q41" s="1">
        <v>2.0</v>
      </c>
      <c r="R41" s="1">
        <v>4.0</v>
      </c>
      <c r="S41" s="1">
        <v>3.0</v>
      </c>
      <c r="T41" s="1">
        <v>3.0</v>
      </c>
      <c r="U41" s="1">
        <v>4.0</v>
      </c>
      <c r="V41" s="1">
        <v>4.0</v>
      </c>
      <c r="W41" s="1">
        <v>5.0</v>
      </c>
      <c r="X41" s="1">
        <v>3.0</v>
      </c>
      <c r="Y41" s="1">
        <v>4.0</v>
      </c>
      <c r="Z41" s="1">
        <v>3.0</v>
      </c>
      <c r="AA41" s="1">
        <v>3.0</v>
      </c>
      <c r="AB41" s="1">
        <v>3.0</v>
      </c>
      <c r="AC41" s="1">
        <v>4.0</v>
      </c>
      <c r="AD41" s="1">
        <v>3.0</v>
      </c>
      <c r="AE41" s="1">
        <v>3.0</v>
      </c>
      <c r="AF41" s="1">
        <v>3.0</v>
      </c>
      <c r="AG41" s="1">
        <v>3.0</v>
      </c>
      <c r="AH41" s="1">
        <v>5.0</v>
      </c>
      <c r="AI41" s="1">
        <v>4.0</v>
      </c>
      <c r="AJ41" s="1">
        <v>4.0</v>
      </c>
      <c r="AK41" s="1">
        <v>2.0</v>
      </c>
      <c r="AL41" s="1">
        <v>2.0</v>
      </c>
      <c r="AM41" s="1">
        <v>3.0</v>
      </c>
      <c r="AN41" s="1">
        <v>3.0</v>
      </c>
      <c r="AO41" s="1">
        <v>4.0</v>
      </c>
      <c r="AP41" s="1">
        <v>3.0</v>
      </c>
      <c r="AQ41" s="4">
        <v>1.0</v>
      </c>
      <c r="AR41" s="1">
        <v>3.0</v>
      </c>
      <c r="AS41" s="1">
        <v>4.0</v>
      </c>
      <c r="AT41" s="1">
        <v>5.0</v>
      </c>
      <c r="AU41" s="1">
        <v>2.0</v>
      </c>
      <c r="AV41" s="1">
        <v>3.0</v>
      </c>
      <c r="AW41" s="1">
        <v>3.0</v>
      </c>
      <c r="AX41" s="1">
        <v>4.0</v>
      </c>
      <c r="AY41" s="1">
        <v>3.0</v>
      </c>
      <c r="AZ41" s="5">
        <f t="shared" si="1"/>
        <v>165</v>
      </c>
      <c r="BA41" s="6">
        <f t="shared" si="2"/>
        <v>-0.03945841393</v>
      </c>
    </row>
    <row r="42" ht="18.75" customHeight="1">
      <c r="A42" s="1" t="s">
        <v>92</v>
      </c>
      <c r="B42" s="1">
        <v>3.0</v>
      </c>
      <c r="C42" s="1">
        <v>5.0</v>
      </c>
      <c r="D42" s="1">
        <v>3.0</v>
      </c>
      <c r="E42" s="1">
        <v>2.0</v>
      </c>
      <c r="F42" s="1">
        <v>5.0</v>
      </c>
      <c r="G42" s="1">
        <v>4.0</v>
      </c>
      <c r="H42" s="1">
        <v>5.0</v>
      </c>
      <c r="I42" s="1">
        <v>4.0</v>
      </c>
      <c r="J42" s="1">
        <v>5.0</v>
      </c>
      <c r="K42" s="1">
        <v>4.0</v>
      </c>
      <c r="L42" s="1">
        <v>3.0</v>
      </c>
      <c r="M42" s="1">
        <v>5.0</v>
      </c>
      <c r="N42" s="1">
        <v>5.0</v>
      </c>
      <c r="O42" s="1">
        <v>4.0</v>
      </c>
      <c r="P42" s="1">
        <v>3.0</v>
      </c>
      <c r="Q42" s="1">
        <v>4.0</v>
      </c>
      <c r="R42" s="1">
        <v>5.0</v>
      </c>
      <c r="S42" s="1">
        <v>4.0</v>
      </c>
      <c r="T42" s="1">
        <v>3.0</v>
      </c>
      <c r="U42" s="1">
        <v>4.0</v>
      </c>
      <c r="V42" s="1">
        <v>5.0</v>
      </c>
      <c r="W42" s="1">
        <v>5.0</v>
      </c>
      <c r="X42" s="1">
        <v>4.0</v>
      </c>
      <c r="Y42" s="1">
        <v>4.0</v>
      </c>
      <c r="Z42" s="1">
        <v>4.0</v>
      </c>
      <c r="AA42" s="1">
        <v>5.0</v>
      </c>
      <c r="AB42" s="1">
        <v>4.0</v>
      </c>
      <c r="AC42" s="1">
        <v>3.0</v>
      </c>
      <c r="AD42" s="1">
        <v>5.0</v>
      </c>
      <c r="AE42" s="1">
        <v>5.0</v>
      </c>
      <c r="AF42" s="1">
        <v>4.0</v>
      </c>
      <c r="AG42" s="1">
        <v>4.0</v>
      </c>
      <c r="AH42" s="1">
        <v>5.0</v>
      </c>
      <c r="AI42" s="1">
        <v>5.0</v>
      </c>
      <c r="AJ42" s="1">
        <v>4.0</v>
      </c>
      <c r="AK42" s="1">
        <v>4.0</v>
      </c>
      <c r="AL42" s="1">
        <v>3.0</v>
      </c>
      <c r="AM42" s="1">
        <v>3.0</v>
      </c>
      <c r="AN42" s="1">
        <v>3.0</v>
      </c>
      <c r="AO42" s="1">
        <v>5.0</v>
      </c>
      <c r="AP42" s="1">
        <v>5.0</v>
      </c>
      <c r="AQ42" s="1">
        <v>5.0</v>
      </c>
      <c r="AR42" s="1">
        <v>5.0</v>
      </c>
      <c r="AS42" s="4">
        <v>1.0</v>
      </c>
      <c r="AT42" s="1">
        <v>5.0</v>
      </c>
      <c r="AU42" s="1">
        <v>3.0</v>
      </c>
      <c r="AV42" s="1">
        <v>5.0</v>
      </c>
      <c r="AW42" s="1">
        <v>5.0</v>
      </c>
      <c r="AX42" s="1">
        <v>5.0</v>
      </c>
      <c r="AY42" s="1">
        <v>4.0</v>
      </c>
      <c r="AZ42" s="5">
        <f t="shared" si="1"/>
        <v>207</v>
      </c>
      <c r="BA42" s="6">
        <f t="shared" si="2"/>
        <v>0.1714461918</v>
      </c>
    </row>
    <row r="43" ht="18.75" customHeight="1">
      <c r="A43" s="1" t="s">
        <v>93</v>
      </c>
      <c r="B43" s="1">
        <v>2.0</v>
      </c>
      <c r="C43" s="1">
        <v>5.0</v>
      </c>
      <c r="D43" s="1">
        <v>3.0</v>
      </c>
      <c r="E43" s="1">
        <v>2.0</v>
      </c>
      <c r="F43" s="1">
        <v>3.0</v>
      </c>
      <c r="G43" s="1">
        <v>2.0</v>
      </c>
      <c r="H43" s="1">
        <v>4.0</v>
      </c>
      <c r="I43" s="1">
        <v>4.0</v>
      </c>
      <c r="J43" s="1">
        <v>2.0</v>
      </c>
      <c r="K43" s="1">
        <v>2.0</v>
      </c>
      <c r="L43" s="1">
        <v>4.0</v>
      </c>
      <c r="M43" s="1">
        <v>3.0</v>
      </c>
      <c r="N43" s="1">
        <v>3.0</v>
      </c>
      <c r="O43" s="1">
        <v>2.0</v>
      </c>
      <c r="P43" s="1">
        <v>3.0</v>
      </c>
      <c r="Q43" s="1">
        <v>2.0</v>
      </c>
      <c r="R43" s="1">
        <v>4.0</v>
      </c>
      <c r="S43" s="1">
        <v>2.0</v>
      </c>
      <c r="T43" s="1">
        <v>2.0</v>
      </c>
      <c r="U43" s="1">
        <v>3.0</v>
      </c>
      <c r="V43" s="1">
        <v>5.0</v>
      </c>
      <c r="W43" s="1">
        <v>4.0</v>
      </c>
      <c r="X43" s="1">
        <v>4.0</v>
      </c>
      <c r="Y43" s="1">
        <v>3.0</v>
      </c>
      <c r="Z43" s="1">
        <v>3.0</v>
      </c>
      <c r="AA43" s="1">
        <v>2.0</v>
      </c>
      <c r="AB43" s="1">
        <v>2.0</v>
      </c>
      <c r="AC43" s="1">
        <v>3.0</v>
      </c>
      <c r="AD43" s="1">
        <v>3.0</v>
      </c>
      <c r="AE43" s="1">
        <v>4.0</v>
      </c>
      <c r="AF43" s="1">
        <v>2.0</v>
      </c>
      <c r="AG43" s="1">
        <v>3.0</v>
      </c>
      <c r="AH43" s="1">
        <v>5.0</v>
      </c>
      <c r="AI43" s="1">
        <v>3.0</v>
      </c>
      <c r="AJ43" s="1">
        <v>4.0</v>
      </c>
      <c r="AK43" s="1">
        <v>3.0</v>
      </c>
      <c r="AL43" s="1">
        <v>2.0</v>
      </c>
      <c r="AM43" s="1">
        <v>3.0</v>
      </c>
      <c r="AN43" s="1">
        <v>2.0</v>
      </c>
      <c r="AO43" s="1">
        <v>5.0</v>
      </c>
      <c r="AP43" s="1">
        <v>5.0</v>
      </c>
      <c r="AQ43" s="1">
        <v>4.0</v>
      </c>
      <c r="AR43" s="1">
        <v>4.0</v>
      </c>
      <c r="AS43" s="1">
        <v>3.0</v>
      </c>
      <c r="AT43" s="4">
        <v>1.0</v>
      </c>
      <c r="AU43" s="1">
        <v>2.0</v>
      </c>
      <c r="AV43" s="1">
        <v>4.0</v>
      </c>
      <c r="AW43" s="1">
        <v>3.0</v>
      </c>
      <c r="AX43" s="1">
        <v>4.0</v>
      </c>
      <c r="AY43" s="1">
        <v>4.0</v>
      </c>
      <c r="AZ43" s="5">
        <f t="shared" si="1"/>
        <v>156</v>
      </c>
      <c r="BA43" s="6">
        <f t="shared" si="2"/>
        <v>-0.09942716858</v>
      </c>
    </row>
    <row r="44" ht="18.75" customHeight="1">
      <c r="A44" s="1" t="s">
        <v>94</v>
      </c>
      <c r="B44" s="1">
        <v>3.0</v>
      </c>
      <c r="C44" s="1">
        <v>5.0</v>
      </c>
      <c r="D44" s="1">
        <v>3.0</v>
      </c>
      <c r="E44" s="1">
        <v>2.0</v>
      </c>
      <c r="F44" s="1">
        <v>4.0</v>
      </c>
      <c r="G44" s="1">
        <v>3.0</v>
      </c>
      <c r="H44" s="1">
        <v>4.0</v>
      </c>
      <c r="I44" s="1">
        <v>3.0</v>
      </c>
      <c r="J44" s="1">
        <v>5.0</v>
      </c>
      <c r="K44" s="1">
        <v>3.0</v>
      </c>
      <c r="L44" s="1">
        <v>4.0</v>
      </c>
      <c r="M44" s="1">
        <v>3.0</v>
      </c>
      <c r="N44" s="1">
        <v>2.0</v>
      </c>
      <c r="O44" s="1">
        <v>4.0</v>
      </c>
      <c r="P44" s="1">
        <v>4.0</v>
      </c>
      <c r="Q44" s="1">
        <v>2.0</v>
      </c>
      <c r="R44" s="1">
        <v>4.0</v>
      </c>
      <c r="S44" s="1">
        <v>3.0</v>
      </c>
      <c r="T44" s="1">
        <v>2.0</v>
      </c>
      <c r="U44" s="1">
        <v>3.0</v>
      </c>
      <c r="V44" s="1">
        <v>5.0</v>
      </c>
      <c r="W44" s="1">
        <v>5.0</v>
      </c>
      <c r="X44" s="1">
        <v>3.0</v>
      </c>
      <c r="Y44" s="1">
        <v>3.0</v>
      </c>
      <c r="Z44" s="1">
        <v>4.0</v>
      </c>
      <c r="AA44" s="1">
        <v>5.0</v>
      </c>
      <c r="AB44" s="1">
        <v>4.0</v>
      </c>
      <c r="AC44" s="1">
        <v>3.0</v>
      </c>
      <c r="AD44" s="1">
        <v>3.0</v>
      </c>
      <c r="AE44" s="1">
        <v>4.0</v>
      </c>
      <c r="AF44" s="1">
        <v>4.0</v>
      </c>
      <c r="AG44" s="1">
        <v>3.0</v>
      </c>
      <c r="AH44" s="1">
        <v>5.0</v>
      </c>
      <c r="AI44" s="1">
        <v>4.0</v>
      </c>
      <c r="AJ44" s="1">
        <v>4.0</v>
      </c>
      <c r="AK44" s="1">
        <v>3.0</v>
      </c>
      <c r="AL44" s="1">
        <v>4.0</v>
      </c>
      <c r="AM44" s="1">
        <v>4.0</v>
      </c>
      <c r="AN44" s="1">
        <v>3.0</v>
      </c>
      <c r="AO44" s="1">
        <v>5.0</v>
      </c>
      <c r="AP44" s="1">
        <v>5.0</v>
      </c>
      <c r="AQ44" s="1">
        <v>4.0</v>
      </c>
      <c r="AR44" s="1">
        <v>4.0</v>
      </c>
      <c r="AS44" s="1">
        <v>5.0</v>
      </c>
      <c r="AT44" s="1">
        <v>5.0</v>
      </c>
      <c r="AU44" s="4">
        <v>1.0</v>
      </c>
      <c r="AV44" s="1">
        <v>4.0</v>
      </c>
      <c r="AW44" s="1">
        <v>4.0</v>
      </c>
      <c r="AX44" s="1">
        <v>3.0</v>
      </c>
      <c r="AY44" s="1">
        <v>2.0</v>
      </c>
      <c r="AZ44" s="5">
        <f t="shared" si="1"/>
        <v>181</v>
      </c>
      <c r="BA44" s="6">
        <f t="shared" si="2"/>
        <v>0.05242741272</v>
      </c>
    </row>
    <row r="45" ht="18.75" customHeight="1">
      <c r="A45" s="1" t="s">
        <v>95</v>
      </c>
      <c r="B45" s="1">
        <v>4.0</v>
      </c>
      <c r="C45" s="1">
        <v>4.0</v>
      </c>
      <c r="D45" s="1">
        <v>3.0</v>
      </c>
      <c r="E45" s="1">
        <v>2.0</v>
      </c>
      <c r="F45" s="1">
        <v>5.0</v>
      </c>
      <c r="G45" s="1">
        <v>4.0</v>
      </c>
      <c r="H45" s="1">
        <v>4.0</v>
      </c>
      <c r="I45" s="1">
        <v>4.0</v>
      </c>
      <c r="J45" s="1">
        <v>5.0</v>
      </c>
      <c r="K45" s="1">
        <v>4.0</v>
      </c>
      <c r="L45" s="1">
        <v>3.0</v>
      </c>
      <c r="M45" s="1">
        <v>4.0</v>
      </c>
      <c r="N45" s="1">
        <v>4.0</v>
      </c>
      <c r="O45" s="1">
        <v>3.0</v>
      </c>
      <c r="P45" s="1">
        <v>3.0</v>
      </c>
      <c r="Q45" s="1">
        <v>3.0</v>
      </c>
      <c r="R45" s="1">
        <v>3.0</v>
      </c>
      <c r="S45" s="1">
        <v>3.0</v>
      </c>
      <c r="T45" s="1">
        <v>3.0</v>
      </c>
      <c r="U45" s="1">
        <v>3.0</v>
      </c>
      <c r="V45" s="1">
        <v>5.0</v>
      </c>
      <c r="W45" s="1">
        <v>5.0</v>
      </c>
      <c r="X45" s="1">
        <v>3.0</v>
      </c>
      <c r="Y45" s="1">
        <v>4.0</v>
      </c>
      <c r="Z45" s="1">
        <v>4.0</v>
      </c>
      <c r="AA45" s="1">
        <v>4.0</v>
      </c>
      <c r="AB45" s="1">
        <v>4.0</v>
      </c>
      <c r="AC45" s="1">
        <v>3.0</v>
      </c>
      <c r="AD45" s="1">
        <v>3.0</v>
      </c>
      <c r="AE45" s="1">
        <v>3.0</v>
      </c>
      <c r="AF45" s="1">
        <v>3.0</v>
      </c>
      <c r="AG45" s="1">
        <v>2.0</v>
      </c>
      <c r="AH45" s="1">
        <v>5.0</v>
      </c>
      <c r="AI45" s="1">
        <v>5.0</v>
      </c>
      <c r="AJ45" s="1">
        <v>4.0</v>
      </c>
      <c r="AK45" s="1">
        <v>4.0</v>
      </c>
      <c r="AL45" s="1">
        <v>4.0</v>
      </c>
      <c r="AM45" s="1">
        <v>3.0</v>
      </c>
      <c r="AN45" s="1">
        <v>3.0</v>
      </c>
      <c r="AO45" s="1">
        <v>5.0</v>
      </c>
      <c r="AP45" s="1">
        <v>3.0</v>
      </c>
      <c r="AQ45" s="1">
        <v>5.0</v>
      </c>
      <c r="AR45" s="1">
        <v>3.0</v>
      </c>
      <c r="AS45" s="1">
        <v>4.0</v>
      </c>
      <c r="AT45" s="1">
        <v>4.0</v>
      </c>
      <c r="AU45" s="1">
        <v>3.0</v>
      </c>
      <c r="AV45" s="4">
        <v>1.0</v>
      </c>
      <c r="AW45" s="1">
        <v>4.0</v>
      </c>
      <c r="AX45" s="1">
        <v>4.0</v>
      </c>
      <c r="AY45" s="1">
        <v>3.0</v>
      </c>
      <c r="AZ45" s="5">
        <f t="shared" si="1"/>
        <v>181</v>
      </c>
      <c r="BA45" s="6">
        <f t="shared" si="2"/>
        <v>0.05242741272</v>
      </c>
    </row>
    <row r="46" ht="18.75" customHeight="1">
      <c r="A46" s="1" t="s">
        <v>96</v>
      </c>
      <c r="B46" s="1">
        <v>3.0</v>
      </c>
      <c r="C46" s="1">
        <v>4.0</v>
      </c>
      <c r="D46" s="1">
        <v>3.0</v>
      </c>
      <c r="E46" s="1">
        <v>2.0</v>
      </c>
      <c r="F46" s="1">
        <v>4.0</v>
      </c>
      <c r="G46" s="1">
        <v>5.0</v>
      </c>
      <c r="H46" s="1">
        <v>3.0</v>
      </c>
      <c r="I46" s="1">
        <v>3.0</v>
      </c>
      <c r="J46" s="1">
        <v>5.0</v>
      </c>
      <c r="K46" s="1">
        <v>4.0</v>
      </c>
      <c r="L46" s="1">
        <v>3.0</v>
      </c>
      <c r="M46" s="1">
        <v>3.0</v>
      </c>
      <c r="N46" s="1">
        <v>5.0</v>
      </c>
      <c r="O46" s="1">
        <v>4.0</v>
      </c>
      <c r="P46" s="1">
        <v>3.0</v>
      </c>
      <c r="Q46" s="1">
        <v>3.0</v>
      </c>
      <c r="R46" s="1">
        <v>3.0</v>
      </c>
      <c r="S46" s="1">
        <v>3.0</v>
      </c>
      <c r="T46" s="1">
        <v>3.0</v>
      </c>
      <c r="U46" s="1">
        <v>3.0</v>
      </c>
      <c r="V46" s="1">
        <v>4.0</v>
      </c>
      <c r="W46" s="1">
        <v>5.0</v>
      </c>
      <c r="X46" s="1">
        <v>3.0</v>
      </c>
      <c r="Y46" s="1">
        <v>4.0</v>
      </c>
      <c r="Z46" s="1">
        <v>5.0</v>
      </c>
      <c r="AA46" s="1">
        <v>3.0</v>
      </c>
      <c r="AB46" s="1">
        <v>3.0</v>
      </c>
      <c r="AC46" s="1">
        <v>3.0</v>
      </c>
      <c r="AD46" s="1">
        <v>4.0</v>
      </c>
      <c r="AE46" s="1">
        <v>3.0</v>
      </c>
      <c r="AF46" s="1">
        <v>4.0</v>
      </c>
      <c r="AG46" s="1">
        <v>3.0</v>
      </c>
      <c r="AH46" s="1">
        <v>5.0</v>
      </c>
      <c r="AI46" s="1">
        <v>4.0</v>
      </c>
      <c r="AJ46" s="1">
        <v>4.0</v>
      </c>
      <c r="AK46" s="1">
        <v>3.0</v>
      </c>
      <c r="AL46" s="1">
        <v>3.0</v>
      </c>
      <c r="AM46" s="1">
        <v>3.0</v>
      </c>
      <c r="AN46" s="1">
        <v>3.0</v>
      </c>
      <c r="AO46" s="1">
        <v>5.0</v>
      </c>
      <c r="AP46" s="1">
        <v>3.0</v>
      </c>
      <c r="AQ46" s="1">
        <v>4.0</v>
      </c>
      <c r="AR46" s="1">
        <v>3.0</v>
      </c>
      <c r="AS46" s="1">
        <v>3.0</v>
      </c>
      <c r="AT46" s="1">
        <v>3.0</v>
      </c>
      <c r="AU46" s="1">
        <v>3.0</v>
      </c>
      <c r="AV46" s="1">
        <v>3.0</v>
      </c>
      <c r="AW46" s="4">
        <v>1.0</v>
      </c>
      <c r="AX46" s="1">
        <v>3.0</v>
      </c>
      <c r="AY46" s="1">
        <v>3.0</v>
      </c>
      <c r="AZ46" s="5">
        <f t="shared" si="1"/>
        <v>172</v>
      </c>
      <c r="BA46" s="6">
        <f t="shared" si="2"/>
        <v>0.002845126175</v>
      </c>
    </row>
    <row r="47" ht="18.75" customHeight="1">
      <c r="A47" s="1" t="s">
        <v>97</v>
      </c>
      <c r="B47" s="1">
        <v>4.0</v>
      </c>
      <c r="C47" s="1">
        <v>4.0</v>
      </c>
      <c r="D47" s="1">
        <v>3.0</v>
      </c>
      <c r="E47" s="1">
        <v>3.0</v>
      </c>
      <c r="F47" s="1">
        <v>4.0</v>
      </c>
      <c r="G47" s="1">
        <v>4.0</v>
      </c>
      <c r="H47" s="1">
        <v>5.0</v>
      </c>
      <c r="I47" s="1">
        <v>4.0</v>
      </c>
      <c r="J47" s="1">
        <v>5.0</v>
      </c>
      <c r="K47" s="1">
        <v>4.0</v>
      </c>
      <c r="L47" s="1">
        <v>3.0</v>
      </c>
      <c r="M47" s="1">
        <v>5.0</v>
      </c>
      <c r="N47" s="1">
        <v>5.0</v>
      </c>
      <c r="O47" s="1">
        <v>3.0</v>
      </c>
      <c r="P47" s="1">
        <v>3.0</v>
      </c>
      <c r="Q47" s="1">
        <v>3.0</v>
      </c>
      <c r="R47" s="1">
        <v>5.0</v>
      </c>
      <c r="S47" s="1">
        <v>3.0</v>
      </c>
      <c r="T47" s="1">
        <v>3.0</v>
      </c>
      <c r="U47" s="1">
        <v>3.0</v>
      </c>
      <c r="V47" s="1">
        <v>5.0</v>
      </c>
      <c r="W47" s="1">
        <v>4.0</v>
      </c>
      <c r="X47" s="1">
        <v>4.0</v>
      </c>
      <c r="Y47" s="1">
        <v>3.0</v>
      </c>
      <c r="Z47" s="1">
        <v>4.0</v>
      </c>
      <c r="AA47" s="1">
        <v>4.0</v>
      </c>
      <c r="AB47" s="1">
        <v>3.0</v>
      </c>
      <c r="AC47" s="1">
        <v>4.0</v>
      </c>
      <c r="AD47" s="1">
        <v>5.0</v>
      </c>
      <c r="AE47" s="1">
        <v>3.0</v>
      </c>
      <c r="AF47" s="1">
        <v>4.0</v>
      </c>
      <c r="AG47" s="1">
        <v>4.0</v>
      </c>
      <c r="AH47" s="1">
        <v>5.0</v>
      </c>
      <c r="AI47" s="1">
        <v>4.0</v>
      </c>
      <c r="AJ47" s="1">
        <v>4.0</v>
      </c>
      <c r="AK47" s="1">
        <v>3.0</v>
      </c>
      <c r="AL47" s="1">
        <v>4.0</v>
      </c>
      <c r="AM47" s="1">
        <v>3.0</v>
      </c>
      <c r="AN47" s="1">
        <v>3.0</v>
      </c>
      <c r="AO47" s="1">
        <v>5.0</v>
      </c>
      <c r="AP47" s="1">
        <v>3.0</v>
      </c>
      <c r="AQ47" s="1">
        <v>4.0</v>
      </c>
      <c r="AR47" s="1">
        <v>4.0</v>
      </c>
      <c r="AS47" s="1">
        <v>4.0</v>
      </c>
      <c r="AT47" s="1">
        <v>3.0</v>
      </c>
      <c r="AU47" s="1">
        <v>3.0</v>
      </c>
      <c r="AV47" s="1">
        <v>4.0</v>
      </c>
      <c r="AW47" s="1">
        <v>4.0</v>
      </c>
      <c r="AX47" s="4">
        <v>1.0</v>
      </c>
      <c r="AY47" s="1">
        <v>4.0</v>
      </c>
      <c r="AZ47" s="5">
        <f t="shared" si="1"/>
        <v>188</v>
      </c>
      <c r="BA47" s="6">
        <f t="shared" si="2"/>
        <v>0.08770937076</v>
      </c>
    </row>
    <row r="48" ht="18.75" customHeight="1">
      <c r="A48" s="1" t="s">
        <v>98</v>
      </c>
      <c r="B48" s="1">
        <v>5.0</v>
      </c>
      <c r="C48" s="1">
        <v>4.0</v>
      </c>
      <c r="D48" s="1">
        <v>4.0</v>
      </c>
      <c r="E48" s="1">
        <v>3.0</v>
      </c>
      <c r="F48" s="1">
        <v>4.0</v>
      </c>
      <c r="G48" s="1">
        <v>3.0</v>
      </c>
      <c r="H48" s="1">
        <v>3.0</v>
      </c>
      <c r="I48" s="1">
        <v>3.0</v>
      </c>
      <c r="J48" s="1">
        <v>5.0</v>
      </c>
      <c r="K48" s="1">
        <v>4.0</v>
      </c>
      <c r="L48" s="1">
        <v>3.0</v>
      </c>
      <c r="M48" s="1">
        <v>3.0</v>
      </c>
      <c r="N48" s="1">
        <v>4.0</v>
      </c>
      <c r="O48" s="1">
        <v>3.0</v>
      </c>
      <c r="P48" s="1">
        <v>4.0</v>
      </c>
      <c r="Q48" s="1">
        <v>3.0</v>
      </c>
      <c r="R48" s="1">
        <v>4.0</v>
      </c>
      <c r="S48" s="1">
        <v>3.0</v>
      </c>
      <c r="T48" s="1">
        <v>3.0</v>
      </c>
      <c r="U48" s="1">
        <v>4.0</v>
      </c>
      <c r="V48" s="1">
        <v>4.0</v>
      </c>
      <c r="W48" s="1">
        <v>4.0</v>
      </c>
      <c r="X48" s="1">
        <v>4.0</v>
      </c>
      <c r="Y48" s="1">
        <v>4.0</v>
      </c>
      <c r="Z48" s="1">
        <v>3.0</v>
      </c>
      <c r="AA48" s="1">
        <v>3.0</v>
      </c>
      <c r="AB48" s="1">
        <v>4.0</v>
      </c>
      <c r="AC48" s="1">
        <v>4.0</v>
      </c>
      <c r="AD48" s="1">
        <v>3.0</v>
      </c>
      <c r="AE48" s="1">
        <v>4.0</v>
      </c>
      <c r="AF48" s="1">
        <v>4.0</v>
      </c>
      <c r="AG48" s="1">
        <v>4.0</v>
      </c>
      <c r="AH48" s="1">
        <v>5.0</v>
      </c>
      <c r="AI48" s="1">
        <v>4.0</v>
      </c>
      <c r="AJ48" s="1">
        <v>4.0</v>
      </c>
      <c r="AK48" s="1">
        <v>4.0</v>
      </c>
      <c r="AL48" s="1">
        <v>3.0</v>
      </c>
      <c r="AM48" s="1">
        <v>3.0</v>
      </c>
      <c r="AN48" s="1">
        <v>3.0</v>
      </c>
      <c r="AO48" s="1">
        <v>5.0</v>
      </c>
      <c r="AP48" s="1">
        <v>4.0</v>
      </c>
      <c r="AQ48" s="1">
        <v>4.0</v>
      </c>
      <c r="AR48" s="1">
        <v>4.0</v>
      </c>
      <c r="AS48" s="1">
        <v>4.0</v>
      </c>
      <c r="AT48" s="1">
        <v>4.0</v>
      </c>
      <c r="AU48" s="1">
        <v>4.0</v>
      </c>
      <c r="AV48" s="1">
        <v>4.0</v>
      </c>
      <c r="AW48" s="1">
        <v>5.0</v>
      </c>
      <c r="AX48" s="1">
        <v>4.0</v>
      </c>
      <c r="AY48" s="4">
        <v>1.0</v>
      </c>
      <c r="AZ48" s="5">
        <f t="shared" si="1"/>
        <v>186</v>
      </c>
      <c r="BA48" s="6">
        <f t="shared" si="2"/>
        <v>0.0778997941</v>
      </c>
    </row>
    <row r="49" ht="18.75" customHeight="1">
      <c r="A49" s="7" t="s">
        <v>99</v>
      </c>
      <c r="B49" s="8">
        <f t="shared" ref="B49:AY49" si="3">SUM(B2:B48)</f>
        <v>147</v>
      </c>
      <c r="C49" s="8">
        <f t="shared" si="3"/>
        <v>172</v>
      </c>
      <c r="D49" s="8">
        <f t="shared" si="3"/>
        <v>152</v>
      </c>
      <c r="E49" s="8">
        <f t="shared" si="3"/>
        <v>102</v>
      </c>
      <c r="F49" s="8">
        <f t="shared" si="3"/>
        <v>181</v>
      </c>
      <c r="G49" s="8">
        <f t="shared" si="3"/>
        <v>172</v>
      </c>
      <c r="H49" s="8">
        <f t="shared" si="3"/>
        <v>181</v>
      </c>
      <c r="I49" s="8">
        <f t="shared" si="3"/>
        <v>171</v>
      </c>
      <c r="J49" s="8">
        <f t="shared" si="3"/>
        <v>189</v>
      </c>
      <c r="K49" s="8">
        <f t="shared" si="3"/>
        <v>167</v>
      </c>
      <c r="L49" s="8">
        <f t="shared" si="3"/>
        <v>124</v>
      </c>
      <c r="M49" s="8">
        <f t="shared" si="3"/>
        <v>161</v>
      </c>
      <c r="N49" s="8">
        <f t="shared" si="3"/>
        <v>180</v>
      </c>
      <c r="O49" s="8">
        <f t="shared" si="3"/>
        <v>163</v>
      </c>
      <c r="P49" s="8">
        <f t="shared" si="3"/>
        <v>135</v>
      </c>
      <c r="Q49" s="8">
        <f t="shared" si="3"/>
        <v>128</v>
      </c>
      <c r="R49" s="8">
        <f t="shared" si="3"/>
        <v>168</v>
      </c>
      <c r="S49" s="8">
        <f t="shared" si="3"/>
        <v>142</v>
      </c>
      <c r="T49" s="8">
        <f t="shared" si="3"/>
        <v>130</v>
      </c>
      <c r="U49" s="8">
        <f t="shared" si="3"/>
        <v>151</v>
      </c>
      <c r="V49" s="8">
        <f t="shared" si="3"/>
        <v>196</v>
      </c>
      <c r="W49" s="8">
        <f t="shared" si="3"/>
        <v>203</v>
      </c>
      <c r="X49" s="8">
        <f t="shared" si="3"/>
        <v>139</v>
      </c>
      <c r="Y49" s="8">
        <f t="shared" si="3"/>
        <v>159</v>
      </c>
      <c r="Z49" s="8">
        <f t="shared" si="3"/>
        <v>161</v>
      </c>
      <c r="AA49" s="8">
        <f t="shared" si="3"/>
        <v>160</v>
      </c>
      <c r="AB49" s="8">
        <f t="shared" si="3"/>
        <v>155</v>
      </c>
      <c r="AC49" s="8">
        <f t="shared" si="3"/>
        <v>156</v>
      </c>
      <c r="AD49" s="8">
        <f t="shared" si="3"/>
        <v>153</v>
      </c>
      <c r="AE49" s="8">
        <f t="shared" si="3"/>
        <v>154</v>
      </c>
      <c r="AF49" s="8">
        <f t="shared" si="3"/>
        <v>165</v>
      </c>
      <c r="AG49" s="8">
        <f t="shared" si="3"/>
        <v>131</v>
      </c>
      <c r="AH49" s="8">
        <f t="shared" si="3"/>
        <v>203</v>
      </c>
      <c r="AI49" s="8">
        <f t="shared" si="3"/>
        <v>181</v>
      </c>
      <c r="AJ49" s="8">
        <f t="shared" si="3"/>
        <v>172</v>
      </c>
      <c r="AK49" s="8">
        <f t="shared" si="3"/>
        <v>144</v>
      </c>
      <c r="AL49" s="8">
        <f t="shared" si="3"/>
        <v>145</v>
      </c>
      <c r="AM49" s="8">
        <f t="shared" si="3"/>
        <v>145</v>
      </c>
      <c r="AN49" s="8">
        <f t="shared" si="3"/>
        <v>142</v>
      </c>
      <c r="AO49" s="8">
        <f t="shared" si="3"/>
        <v>203</v>
      </c>
      <c r="AP49" s="8">
        <f t="shared" si="3"/>
        <v>180</v>
      </c>
      <c r="AQ49" s="8">
        <f t="shared" si="3"/>
        <v>181</v>
      </c>
      <c r="AR49" s="8">
        <f t="shared" si="3"/>
        <v>164</v>
      </c>
      <c r="AS49" s="8">
        <f t="shared" si="3"/>
        <v>172</v>
      </c>
      <c r="AT49" s="8">
        <f t="shared" si="3"/>
        <v>179</v>
      </c>
      <c r="AU49" s="8">
        <f t="shared" si="3"/>
        <v>132</v>
      </c>
      <c r="AV49" s="8">
        <f t="shared" si="3"/>
        <v>161</v>
      </c>
      <c r="AW49" s="8">
        <f t="shared" si="3"/>
        <v>188</v>
      </c>
      <c r="AX49" s="8">
        <f t="shared" si="3"/>
        <v>182</v>
      </c>
      <c r="AY49" s="8">
        <f t="shared" si="3"/>
        <v>139</v>
      </c>
      <c r="AZ49" s="9" t="s">
        <v>100</v>
      </c>
      <c r="BA49" s="3"/>
    </row>
    <row r="50" ht="18.75" customHeight="1">
      <c r="A50" s="10" t="s">
        <v>101</v>
      </c>
      <c r="B50" s="11">
        <f t="shared" ref="B50:AY50" si="4">COUNTIF(B2:B48,5)</f>
        <v>2</v>
      </c>
      <c r="C50" s="11">
        <f t="shared" si="4"/>
        <v>6</v>
      </c>
      <c r="D50" s="11">
        <f t="shared" si="4"/>
        <v>3</v>
      </c>
      <c r="E50" s="11">
        <f t="shared" si="4"/>
        <v>0</v>
      </c>
      <c r="F50" s="11">
        <f t="shared" si="4"/>
        <v>10</v>
      </c>
      <c r="G50" s="11">
        <f t="shared" si="4"/>
        <v>5</v>
      </c>
      <c r="H50" s="11">
        <f t="shared" si="4"/>
        <v>14</v>
      </c>
      <c r="I50" s="11">
        <f t="shared" si="4"/>
        <v>5</v>
      </c>
      <c r="J50" s="11">
        <f t="shared" si="4"/>
        <v>18</v>
      </c>
      <c r="K50" s="11">
        <f t="shared" si="4"/>
        <v>3</v>
      </c>
      <c r="L50" s="11">
        <f t="shared" si="4"/>
        <v>0</v>
      </c>
      <c r="M50" s="11">
        <f t="shared" si="4"/>
        <v>3</v>
      </c>
      <c r="N50" s="11">
        <f t="shared" si="4"/>
        <v>15</v>
      </c>
      <c r="O50" s="11">
        <f t="shared" si="4"/>
        <v>4</v>
      </c>
      <c r="P50" s="11">
        <f t="shared" si="4"/>
        <v>1</v>
      </c>
      <c r="Q50" s="11">
        <f t="shared" si="4"/>
        <v>0</v>
      </c>
      <c r="R50" s="11">
        <f t="shared" si="4"/>
        <v>6</v>
      </c>
      <c r="S50" s="11">
        <f t="shared" si="4"/>
        <v>2</v>
      </c>
      <c r="T50" s="11">
        <f t="shared" si="4"/>
        <v>0</v>
      </c>
      <c r="U50" s="11">
        <f t="shared" si="4"/>
        <v>4</v>
      </c>
      <c r="V50" s="11">
        <f t="shared" si="4"/>
        <v>18</v>
      </c>
      <c r="W50" s="11">
        <f t="shared" si="4"/>
        <v>24</v>
      </c>
      <c r="X50" s="11">
        <f t="shared" si="4"/>
        <v>0</v>
      </c>
      <c r="Y50" s="11">
        <f t="shared" si="4"/>
        <v>2</v>
      </c>
      <c r="Z50" s="11">
        <f t="shared" si="4"/>
        <v>4</v>
      </c>
      <c r="AA50" s="11">
        <f t="shared" si="4"/>
        <v>5</v>
      </c>
      <c r="AB50" s="11">
        <f t="shared" si="4"/>
        <v>2</v>
      </c>
      <c r="AC50" s="11">
        <f t="shared" si="4"/>
        <v>2</v>
      </c>
      <c r="AD50" s="11">
        <f t="shared" si="4"/>
        <v>7</v>
      </c>
      <c r="AE50" s="11">
        <f t="shared" si="4"/>
        <v>4</v>
      </c>
      <c r="AF50" s="11">
        <f t="shared" si="4"/>
        <v>6</v>
      </c>
      <c r="AG50" s="11">
        <f t="shared" si="4"/>
        <v>0</v>
      </c>
      <c r="AH50" s="11">
        <f t="shared" si="4"/>
        <v>28</v>
      </c>
      <c r="AI50" s="11">
        <f t="shared" si="4"/>
        <v>11</v>
      </c>
      <c r="AJ50" s="11">
        <f t="shared" si="4"/>
        <v>5</v>
      </c>
      <c r="AK50" s="11">
        <f t="shared" si="4"/>
        <v>2</v>
      </c>
      <c r="AL50" s="11">
        <f t="shared" si="4"/>
        <v>3</v>
      </c>
      <c r="AM50" s="11">
        <f t="shared" si="4"/>
        <v>4</v>
      </c>
      <c r="AN50" s="11">
        <f t="shared" si="4"/>
        <v>2</v>
      </c>
      <c r="AO50" s="11">
        <f t="shared" si="4"/>
        <v>27</v>
      </c>
      <c r="AP50" s="11">
        <f t="shared" si="4"/>
        <v>14</v>
      </c>
      <c r="AQ50" s="11">
        <f t="shared" si="4"/>
        <v>13</v>
      </c>
      <c r="AR50" s="11">
        <f t="shared" si="4"/>
        <v>5</v>
      </c>
      <c r="AS50" s="11">
        <f t="shared" si="4"/>
        <v>5</v>
      </c>
      <c r="AT50" s="11">
        <f t="shared" si="4"/>
        <v>12</v>
      </c>
      <c r="AU50" s="11">
        <f t="shared" si="4"/>
        <v>1</v>
      </c>
      <c r="AV50" s="11">
        <f t="shared" si="4"/>
        <v>3</v>
      </c>
      <c r="AW50" s="11">
        <f t="shared" si="4"/>
        <v>13</v>
      </c>
      <c r="AX50" s="11">
        <f t="shared" si="4"/>
        <v>11</v>
      </c>
      <c r="AY50" s="11">
        <f t="shared" si="4"/>
        <v>1</v>
      </c>
      <c r="AZ50" s="12">
        <f t="shared" ref="AZ50:AZ54" si="6">SUM(B50:AY50)</f>
        <v>335</v>
      </c>
      <c r="BA50" s="13">
        <f t="shared" ref="BA50:BA54" si="7">AZ50/$AZ$55</f>
        <v>0.1425531915</v>
      </c>
    </row>
    <row r="51" ht="18.75" customHeight="1">
      <c r="A51" s="10" t="s">
        <v>102</v>
      </c>
      <c r="B51" s="11">
        <f t="shared" ref="B51:AY51" si="5">COUNTIF(B2:B48,4)</f>
        <v>13</v>
      </c>
      <c r="C51" s="11">
        <f t="shared" si="5"/>
        <v>26</v>
      </c>
      <c r="D51" s="11">
        <f t="shared" si="5"/>
        <v>11</v>
      </c>
      <c r="E51" s="11">
        <f t="shared" si="5"/>
        <v>4</v>
      </c>
      <c r="F51" s="11">
        <f t="shared" si="5"/>
        <v>22</v>
      </c>
      <c r="G51" s="11">
        <f t="shared" si="5"/>
        <v>26</v>
      </c>
      <c r="H51" s="11">
        <f t="shared" si="5"/>
        <v>17</v>
      </c>
      <c r="I51" s="11">
        <f t="shared" si="5"/>
        <v>24</v>
      </c>
      <c r="J51" s="11">
        <f t="shared" si="5"/>
        <v>18</v>
      </c>
      <c r="K51" s="11">
        <f t="shared" si="5"/>
        <v>25</v>
      </c>
      <c r="L51" s="11">
        <f t="shared" si="5"/>
        <v>8</v>
      </c>
      <c r="M51" s="11">
        <f t="shared" si="5"/>
        <v>19</v>
      </c>
      <c r="N51" s="11">
        <f t="shared" si="5"/>
        <v>15</v>
      </c>
      <c r="O51" s="11">
        <f t="shared" si="5"/>
        <v>20</v>
      </c>
      <c r="P51" s="11">
        <f t="shared" si="5"/>
        <v>9</v>
      </c>
      <c r="Q51" s="11">
        <f t="shared" si="5"/>
        <v>9</v>
      </c>
      <c r="R51" s="11">
        <f t="shared" si="5"/>
        <v>22</v>
      </c>
      <c r="S51" s="11">
        <f t="shared" si="5"/>
        <v>12</v>
      </c>
      <c r="T51" s="11">
        <f t="shared" si="5"/>
        <v>6</v>
      </c>
      <c r="U51" s="11">
        <f t="shared" si="5"/>
        <v>12</v>
      </c>
      <c r="V51" s="11">
        <f t="shared" si="5"/>
        <v>23</v>
      </c>
      <c r="W51" s="11">
        <f t="shared" si="5"/>
        <v>16</v>
      </c>
      <c r="X51" s="11">
        <f t="shared" si="5"/>
        <v>15</v>
      </c>
      <c r="Y51" s="11">
        <f t="shared" si="5"/>
        <v>17</v>
      </c>
      <c r="Z51" s="11">
        <f t="shared" si="5"/>
        <v>18</v>
      </c>
      <c r="AA51" s="11">
        <f t="shared" si="5"/>
        <v>18</v>
      </c>
      <c r="AB51" s="11">
        <f t="shared" si="5"/>
        <v>18</v>
      </c>
      <c r="AC51" s="11">
        <f t="shared" si="5"/>
        <v>17</v>
      </c>
      <c r="AD51" s="11">
        <f t="shared" si="5"/>
        <v>11</v>
      </c>
      <c r="AE51" s="11">
        <f t="shared" si="5"/>
        <v>16</v>
      </c>
      <c r="AF51" s="11">
        <f t="shared" si="5"/>
        <v>18</v>
      </c>
      <c r="AG51" s="11">
        <f t="shared" si="5"/>
        <v>13</v>
      </c>
      <c r="AH51" s="11">
        <f t="shared" si="5"/>
        <v>10</v>
      </c>
      <c r="AI51" s="11">
        <f t="shared" si="5"/>
        <v>22</v>
      </c>
      <c r="AJ51" s="11">
        <f t="shared" si="5"/>
        <v>26</v>
      </c>
      <c r="AK51" s="11">
        <f t="shared" si="5"/>
        <v>14</v>
      </c>
      <c r="AL51" s="11">
        <f t="shared" si="5"/>
        <v>13</v>
      </c>
      <c r="AM51" s="11">
        <f t="shared" si="5"/>
        <v>7</v>
      </c>
      <c r="AN51" s="11">
        <f t="shared" si="5"/>
        <v>11</v>
      </c>
      <c r="AO51" s="11">
        <f t="shared" si="5"/>
        <v>12</v>
      </c>
      <c r="AP51" s="11">
        <f t="shared" si="5"/>
        <v>14</v>
      </c>
      <c r="AQ51" s="11">
        <f t="shared" si="5"/>
        <v>19</v>
      </c>
      <c r="AR51" s="11">
        <f t="shared" si="5"/>
        <v>16</v>
      </c>
      <c r="AS51" s="11">
        <f t="shared" si="5"/>
        <v>25</v>
      </c>
      <c r="AT51" s="11">
        <f t="shared" si="5"/>
        <v>18</v>
      </c>
      <c r="AU51" s="11">
        <f t="shared" si="5"/>
        <v>5</v>
      </c>
      <c r="AV51" s="11">
        <f t="shared" si="5"/>
        <v>19</v>
      </c>
      <c r="AW51" s="11">
        <f t="shared" si="5"/>
        <v>23</v>
      </c>
      <c r="AX51" s="11">
        <f t="shared" si="5"/>
        <v>22</v>
      </c>
      <c r="AY51" s="11">
        <f t="shared" si="5"/>
        <v>12</v>
      </c>
      <c r="AZ51" s="12">
        <f t="shared" si="6"/>
        <v>806</v>
      </c>
      <c r="BA51" s="13">
        <f t="shared" si="7"/>
        <v>0.3429787234</v>
      </c>
    </row>
    <row r="52" ht="18.75" customHeight="1">
      <c r="A52" s="10" t="s">
        <v>103</v>
      </c>
      <c r="B52" s="11">
        <f t="shared" ref="B52:AY52" si="8">COUNTIF(B2:B48,3)</f>
        <v>23</v>
      </c>
      <c r="C52" s="11">
        <f t="shared" si="8"/>
        <v>10</v>
      </c>
      <c r="D52" s="11">
        <f t="shared" si="8"/>
        <v>29</v>
      </c>
      <c r="E52" s="11">
        <f t="shared" si="8"/>
        <v>12</v>
      </c>
      <c r="F52" s="11">
        <f t="shared" si="8"/>
        <v>14</v>
      </c>
      <c r="G52" s="11">
        <f t="shared" si="8"/>
        <v>12</v>
      </c>
      <c r="H52" s="11">
        <f t="shared" si="8"/>
        <v>13</v>
      </c>
      <c r="I52" s="11">
        <f t="shared" si="8"/>
        <v>15</v>
      </c>
      <c r="J52" s="11">
        <f t="shared" si="8"/>
        <v>7</v>
      </c>
      <c r="K52" s="11">
        <f t="shared" si="8"/>
        <v>15</v>
      </c>
      <c r="L52" s="11">
        <f t="shared" si="8"/>
        <v>18</v>
      </c>
      <c r="M52" s="11">
        <f t="shared" si="8"/>
        <v>21</v>
      </c>
      <c r="N52" s="11">
        <f t="shared" si="8"/>
        <v>13</v>
      </c>
      <c r="O52" s="11">
        <f t="shared" si="8"/>
        <v>18</v>
      </c>
      <c r="P52" s="11">
        <f t="shared" si="8"/>
        <v>23</v>
      </c>
      <c r="Q52" s="11">
        <f t="shared" si="8"/>
        <v>19</v>
      </c>
      <c r="R52" s="11">
        <f t="shared" si="8"/>
        <v>14</v>
      </c>
      <c r="S52" s="11">
        <f t="shared" si="8"/>
        <v>22</v>
      </c>
      <c r="T52" s="11">
        <f t="shared" si="8"/>
        <v>27</v>
      </c>
      <c r="U52" s="11">
        <f t="shared" si="8"/>
        <v>24</v>
      </c>
      <c r="V52" s="11">
        <f t="shared" si="8"/>
        <v>3</v>
      </c>
      <c r="W52" s="11">
        <f t="shared" si="8"/>
        <v>5</v>
      </c>
      <c r="X52" s="11">
        <f t="shared" si="8"/>
        <v>18</v>
      </c>
      <c r="Y52" s="11">
        <f t="shared" si="8"/>
        <v>26</v>
      </c>
      <c r="Z52" s="11">
        <f t="shared" si="8"/>
        <v>21</v>
      </c>
      <c r="AA52" s="11">
        <f t="shared" si="8"/>
        <v>18</v>
      </c>
      <c r="AB52" s="11">
        <f t="shared" si="8"/>
        <v>21</v>
      </c>
      <c r="AC52" s="11">
        <f t="shared" si="8"/>
        <v>23</v>
      </c>
      <c r="AD52" s="11">
        <f t="shared" si="8"/>
        <v>19</v>
      </c>
      <c r="AE52" s="11">
        <f t="shared" si="8"/>
        <v>18</v>
      </c>
      <c r="AF52" s="11">
        <f t="shared" si="8"/>
        <v>18</v>
      </c>
      <c r="AG52" s="11">
        <f t="shared" si="8"/>
        <v>16</v>
      </c>
      <c r="AH52" s="11">
        <f t="shared" si="8"/>
        <v>6</v>
      </c>
      <c r="AI52" s="11">
        <f t="shared" si="8"/>
        <v>12</v>
      </c>
      <c r="AJ52" s="11">
        <f t="shared" si="8"/>
        <v>13</v>
      </c>
      <c r="AK52" s="11">
        <f t="shared" si="8"/>
        <v>19</v>
      </c>
      <c r="AL52" s="11">
        <f t="shared" si="8"/>
        <v>19</v>
      </c>
      <c r="AM52" s="11">
        <f t="shared" si="8"/>
        <v>28</v>
      </c>
      <c r="AN52" s="11">
        <f t="shared" si="8"/>
        <v>22</v>
      </c>
      <c r="AO52" s="11">
        <f t="shared" si="8"/>
        <v>6</v>
      </c>
      <c r="AP52" s="11">
        <f t="shared" si="8"/>
        <v>16</v>
      </c>
      <c r="AQ52" s="11">
        <f t="shared" si="8"/>
        <v>11</v>
      </c>
      <c r="AR52" s="11">
        <f t="shared" si="8"/>
        <v>23</v>
      </c>
      <c r="AS52" s="11">
        <f t="shared" si="8"/>
        <v>15</v>
      </c>
      <c r="AT52" s="11">
        <f t="shared" si="8"/>
        <v>14</v>
      </c>
      <c r="AU52" s="11">
        <f t="shared" si="8"/>
        <v>27</v>
      </c>
      <c r="AV52" s="11">
        <f t="shared" si="8"/>
        <v>22</v>
      </c>
      <c r="AW52" s="11">
        <f t="shared" si="8"/>
        <v>10</v>
      </c>
      <c r="AX52" s="11">
        <f t="shared" si="8"/>
        <v>12</v>
      </c>
      <c r="AY52" s="11">
        <f t="shared" si="8"/>
        <v>21</v>
      </c>
      <c r="AZ52" s="12">
        <f t="shared" si="6"/>
        <v>851</v>
      </c>
      <c r="BA52" s="13">
        <f t="shared" si="7"/>
        <v>0.3621276596</v>
      </c>
    </row>
    <row r="53" ht="18.75" customHeight="1">
      <c r="A53" s="10" t="s">
        <v>104</v>
      </c>
      <c r="B53" s="11">
        <f t="shared" ref="B53:AY53" si="9">COUNTIF(B2:B48,2)</f>
        <v>7</v>
      </c>
      <c r="C53" s="11">
        <f t="shared" si="9"/>
        <v>3</v>
      </c>
      <c r="D53" s="11">
        <f t="shared" si="9"/>
        <v>2</v>
      </c>
      <c r="E53" s="11">
        <f t="shared" si="9"/>
        <v>19</v>
      </c>
      <c r="F53" s="11">
        <f t="shared" si="9"/>
        <v>0</v>
      </c>
      <c r="G53" s="11">
        <f t="shared" si="9"/>
        <v>3</v>
      </c>
      <c r="H53" s="11">
        <f t="shared" si="9"/>
        <v>1</v>
      </c>
      <c r="I53" s="11">
        <f t="shared" si="9"/>
        <v>2</v>
      </c>
      <c r="J53" s="11">
        <f t="shared" si="9"/>
        <v>2</v>
      </c>
      <c r="K53" s="11">
        <f t="shared" si="9"/>
        <v>3</v>
      </c>
      <c r="L53" s="11">
        <f t="shared" si="9"/>
        <v>17</v>
      </c>
      <c r="M53" s="11">
        <f t="shared" si="9"/>
        <v>3</v>
      </c>
      <c r="N53" s="11">
        <f t="shared" si="9"/>
        <v>2</v>
      </c>
      <c r="O53" s="11">
        <f t="shared" si="9"/>
        <v>4</v>
      </c>
      <c r="P53" s="11">
        <f t="shared" si="9"/>
        <v>11</v>
      </c>
      <c r="Q53" s="11">
        <f t="shared" si="9"/>
        <v>16</v>
      </c>
      <c r="R53" s="11">
        <f t="shared" si="9"/>
        <v>3</v>
      </c>
      <c r="S53" s="11">
        <f t="shared" si="9"/>
        <v>7</v>
      </c>
      <c r="T53" s="11">
        <f t="shared" si="9"/>
        <v>11</v>
      </c>
      <c r="U53" s="11">
        <f t="shared" si="9"/>
        <v>4</v>
      </c>
      <c r="V53" s="11">
        <f t="shared" si="9"/>
        <v>2</v>
      </c>
      <c r="W53" s="11">
        <f t="shared" si="9"/>
        <v>2</v>
      </c>
      <c r="X53" s="11">
        <f t="shared" si="9"/>
        <v>11</v>
      </c>
      <c r="Y53" s="11">
        <f t="shared" si="9"/>
        <v>1</v>
      </c>
      <c r="Z53" s="11">
        <f t="shared" si="9"/>
        <v>2</v>
      </c>
      <c r="AA53" s="11">
        <f t="shared" si="9"/>
        <v>3</v>
      </c>
      <c r="AB53" s="11">
        <f t="shared" si="9"/>
        <v>4</v>
      </c>
      <c r="AC53" s="11">
        <f t="shared" si="9"/>
        <v>4</v>
      </c>
      <c r="AD53" s="11">
        <f t="shared" si="9"/>
        <v>7</v>
      </c>
      <c r="AE53" s="11">
        <f t="shared" si="9"/>
        <v>7</v>
      </c>
      <c r="AF53" s="11">
        <f t="shared" si="9"/>
        <v>4</v>
      </c>
      <c r="AG53" s="11">
        <f t="shared" si="9"/>
        <v>13</v>
      </c>
      <c r="AH53" s="11">
        <f t="shared" si="9"/>
        <v>2</v>
      </c>
      <c r="AI53" s="11">
        <f t="shared" si="9"/>
        <v>0</v>
      </c>
      <c r="AJ53" s="11">
        <f t="shared" si="9"/>
        <v>1</v>
      </c>
      <c r="AK53" s="11">
        <f t="shared" si="9"/>
        <v>9</v>
      </c>
      <c r="AL53" s="11">
        <f t="shared" si="9"/>
        <v>9</v>
      </c>
      <c r="AM53" s="11">
        <f t="shared" si="9"/>
        <v>5</v>
      </c>
      <c r="AN53" s="11">
        <f t="shared" si="9"/>
        <v>10</v>
      </c>
      <c r="AO53" s="11">
        <f t="shared" si="9"/>
        <v>0</v>
      </c>
      <c r="AP53" s="11">
        <f t="shared" si="9"/>
        <v>3</v>
      </c>
      <c r="AQ53" s="11">
        <f t="shared" si="9"/>
        <v>3</v>
      </c>
      <c r="AR53" s="11">
        <f t="shared" si="9"/>
        <v>3</v>
      </c>
      <c r="AS53" s="11">
        <f t="shared" si="9"/>
        <v>0</v>
      </c>
      <c r="AT53" s="11">
        <f t="shared" si="9"/>
        <v>2</v>
      </c>
      <c r="AU53" s="11">
        <f t="shared" si="9"/>
        <v>12</v>
      </c>
      <c r="AV53" s="11">
        <f t="shared" si="9"/>
        <v>1</v>
      </c>
      <c r="AW53" s="11">
        <f t="shared" si="9"/>
        <v>0</v>
      </c>
      <c r="AX53" s="11">
        <f t="shared" si="9"/>
        <v>1</v>
      </c>
      <c r="AY53" s="11">
        <f t="shared" si="9"/>
        <v>10</v>
      </c>
      <c r="AZ53" s="12">
        <f t="shared" si="6"/>
        <v>251</v>
      </c>
      <c r="BA53" s="13">
        <f t="shared" si="7"/>
        <v>0.1068085106</v>
      </c>
    </row>
    <row r="54" ht="18.75" customHeight="1">
      <c r="A54" s="10" t="s">
        <v>105</v>
      </c>
      <c r="B54" s="11">
        <f t="shared" ref="B54:AY54" si="10">COUNTIF(B2:B48,1)</f>
        <v>2</v>
      </c>
      <c r="C54" s="11">
        <f t="shared" si="10"/>
        <v>2</v>
      </c>
      <c r="D54" s="11">
        <f t="shared" si="10"/>
        <v>2</v>
      </c>
      <c r="E54" s="11">
        <f t="shared" si="10"/>
        <v>12</v>
      </c>
      <c r="F54" s="11">
        <f t="shared" si="10"/>
        <v>1</v>
      </c>
      <c r="G54" s="11">
        <f t="shared" si="10"/>
        <v>1</v>
      </c>
      <c r="H54" s="11">
        <f t="shared" si="10"/>
        <v>2</v>
      </c>
      <c r="I54" s="11">
        <f t="shared" si="10"/>
        <v>1</v>
      </c>
      <c r="J54" s="11">
        <f t="shared" si="10"/>
        <v>2</v>
      </c>
      <c r="K54" s="11">
        <f t="shared" si="10"/>
        <v>1</v>
      </c>
      <c r="L54" s="11">
        <f t="shared" si="10"/>
        <v>4</v>
      </c>
      <c r="M54" s="11">
        <f t="shared" si="10"/>
        <v>1</v>
      </c>
      <c r="N54" s="11">
        <f t="shared" si="10"/>
        <v>2</v>
      </c>
      <c r="O54" s="11">
        <f t="shared" si="10"/>
        <v>1</v>
      </c>
      <c r="P54" s="11">
        <f t="shared" si="10"/>
        <v>3</v>
      </c>
      <c r="Q54" s="11">
        <f t="shared" si="10"/>
        <v>3</v>
      </c>
      <c r="R54" s="11">
        <f t="shared" si="10"/>
        <v>2</v>
      </c>
      <c r="S54" s="11">
        <f t="shared" si="10"/>
        <v>4</v>
      </c>
      <c r="T54" s="11">
        <f t="shared" si="10"/>
        <v>3</v>
      </c>
      <c r="U54" s="11">
        <f t="shared" si="10"/>
        <v>3</v>
      </c>
      <c r="V54" s="11">
        <f t="shared" si="10"/>
        <v>1</v>
      </c>
      <c r="W54" s="11">
        <f t="shared" si="10"/>
        <v>0</v>
      </c>
      <c r="X54" s="11">
        <f t="shared" si="10"/>
        <v>3</v>
      </c>
      <c r="Y54" s="11">
        <f t="shared" si="10"/>
        <v>1</v>
      </c>
      <c r="Z54" s="11">
        <f t="shared" si="10"/>
        <v>2</v>
      </c>
      <c r="AA54" s="11">
        <f t="shared" si="10"/>
        <v>3</v>
      </c>
      <c r="AB54" s="11">
        <f t="shared" si="10"/>
        <v>2</v>
      </c>
      <c r="AC54" s="11">
        <f t="shared" si="10"/>
        <v>1</v>
      </c>
      <c r="AD54" s="11">
        <f t="shared" si="10"/>
        <v>3</v>
      </c>
      <c r="AE54" s="11">
        <f t="shared" si="10"/>
        <v>2</v>
      </c>
      <c r="AF54" s="11">
        <f t="shared" si="10"/>
        <v>1</v>
      </c>
      <c r="AG54" s="11">
        <f t="shared" si="10"/>
        <v>5</v>
      </c>
      <c r="AH54" s="11">
        <f t="shared" si="10"/>
        <v>1</v>
      </c>
      <c r="AI54" s="11">
        <f t="shared" si="10"/>
        <v>2</v>
      </c>
      <c r="AJ54" s="11">
        <f t="shared" si="10"/>
        <v>2</v>
      </c>
      <c r="AK54" s="11">
        <f t="shared" si="10"/>
        <v>3</v>
      </c>
      <c r="AL54" s="11">
        <f t="shared" si="10"/>
        <v>3</v>
      </c>
      <c r="AM54" s="11">
        <f t="shared" si="10"/>
        <v>3</v>
      </c>
      <c r="AN54" s="11">
        <f t="shared" si="10"/>
        <v>2</v>
      </c>
      <c r="AO54" s="11">
        <f t="shared" si="10"/>
        <v>2</v>
      </c>
      <c r="AP54" s="11">
        <f t="shared" si="10"/>
        <v>0</v>
      </c>
      <c r="AQ54" s="11">
        <f t="shared" si="10"/>
        <v>1</v>
      </c>
      <c r="AR54" s="11">
        <f t="shared" si="10"/>
        <v>0</v>
      </c>
      <c r="AS54" s="11">
        <f t="shared" si="10"/>
        <v>2</v>
      </c>
      <c r="AT54" s="11">
        <f t="shared" si="10"/>
        <v>1</v>
      </c>
      <c r="AU54" s="11">
        <f t="shared" si="10"/>
        <v>2</v>
      </c>
      <c r="AV54" s="11">
        <f t="shared" si="10"/>
        <v>2</v>
      </c>
      <c r="AW54" s="11">
        <f t="shared" si="10"/>
        <v>1</v>
      </c>
      <c r="AX54" s="11">
        <f t="shared" si="10"/>
        <v>1</v>
      </c>
      <c r="AY54" s="11">
        <f t="shared" si="10"/>
        <v>3</v>
      </c>
      <c r="AZ54" s="12">
        <f t="shared" si="6"/>
        <v>107</v>
      </c>
      <c r="BA54" s="13">
        <f t="shared" si="7"/>
        <v>0.04553191489</v>
      </c>
    </row>
    <row r="55" ht="18.75" customHeight="1">
      <c r="A55" s="3"/>
      <c r="B55" s="3"/>
      <c r="C55" s="3"/>
      <c r="D55" s="3"/>
      <c r="AZ55" s="12">
        <f t="shared" ref="AZ55:BA55" si="11">SUM(AZ50:AZ54)</f>
        <v>2350</v>
      </c>
      <c r="BA55" s="13">
        <f t="shared" si="11"/>
        <v>1</v>
      </c>
    </row>
    <row r="56" ht="18.75" customHeight="1">
      <c r="A56" s="3"/>
      <c r="B56" s="3"/>
      <c r="C56" s="3"/>
      <c r="D56" s="3"/>
    </row>
    <row r="57" ht="18.75" customHeight="1">
      <c r="A57" s="14" t="s">
        <v>106</v>
      </c>
      <c r="B57" s="3"/>
      <c r="C57" s="3"/>
      <c r="D57" s="3"/>
    </row>
    <row r="58" ht="18.75" customHeight="1">
      <c r="A58" s="15" t="s">
        <v>107</v>
      </c>
      <c r="B58" s="16">
        <f>AVERAGE(AZ2:AZ48)</f>
        <v>171.5106383</v>
      </c>
      <c r="C58" s="15" t="s">
        <v>108</v>
      </c>
      <c r="D58" s="3"/>
    </row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47.25"/>
    <col customWidth="1" min="3" max="3" width="4.25"/>
    <col customWidth="1" min="4" max="4" width="4.63"/>
  </cols>
  <sheetData>
    <row r="1">
      <c r="A1" s="3"/>
      <c r="B1" s="17" t="s">
        <v>109</v>
      </c>
      <c r="C1" s="17" t="s">
        <v>99</v>
      </c>
      <c r="E1" s="18"/>
    </row>
    <row r="2">
      <c r="A2" s="19">
        <v>1.0</v>
      </c>
      <c r="B2" s="14" t="s">
        <v>33</v>
      </c>
      <c r="C2" s="12">
        <v>203.0</v>
      </c>
      <c r="D2" s="20" t="s">
        <v>110</v>
      </c>
    </row>
    <row r="3">
      <c r="A3" s="19">
        <v>2.0</v>
      </c>
      <c r="B3" s="14" t="s">
        <v>40</v>
      </c>
      <c r="C3" s="12">
        <v>203.0</v>
      </c>
      <c r="D3" s="20" t="s">
        <v>110</v>
      </c>
    </row>
    <row r="4">
      <c r="A4" s="21" t="s">
        <v>111</v>
      </c>
      <c r="B4" s="14" t="s">
        <v>22</v>
      </c>
      <c r="C4" s="12">
        <v>203.0</v>
      </c>
      <c r="D4" s="20" t="s">
        <v>110</v>
      </c>
    </row>
    <row r="5">
      <c r="A5" s="19">
        <v>3.0</v>
      </c>
      <c r="B5" s="14" t="s">
        <v>21</v>
      </c>
      <c r="C5" s="12">
        <v>196.0</v>
      </c>
      <c r="D5" s="20" t="s">
        <v>110</v>
      </c>
    </row>
    <row r="6">
      <c r="A6" s="19">
        <v>4.0</v>
      </c>
      <c r="B6" s="14" t="s">
        <v>9</v>
      </c>
      <c r="C6" s="12">
        <v>189.0</v>
      </c>
      <c r="D6" s="20" t="s">
        <v>110</v>
      </c>
    </row>
    <row r="7">
      <c r="A7" s="19">
        <v>5.0</v>
      </c>
      <c r="B7" s="14" t="s">
        <v>48</v>
      </c>
      <c r="C7" s="12">
        <v>188.0</v>
      </c>
      <c r="D7" s="20" t="s">
        <v>110</v>
      </c>
    </row>
    <row r="8">
      <c r="A8" s="19">
        <v>6.0</v>
      </c>
      <c r="B8" s="14" t="s">
        <v>49</v>
      </c>
      <c r="C8" s="12">
        <v>182.0</v>
      </c>
      <c r="D8" s="20" t="s">
        <v>110</v>
      </c>
    </row>
    <row r="9">
      <c r="A9" s="19">
        <v>7.0</v>
      </c>
      <c r="B9" s="14" t="s">
        <v>7</v>
      </c>
      <c r="C9" s="12">
        <v>181.0</v>
      </c>
      <c r="D9" s="20" t="s">
        <v>110</v>
      </c>
    </row>
    <row r="10">
      <c r="A10" s="19">
        <v>8.0</v>
      </c>
      <c r="B10" s="14" t="s">
        <v>42</v>
      </c>
      <c r="C10" s="12">
        <v>181.0</v>
      </c>
      <c r="D10" s="20" t="s">
        <v>110</v>
      </c>
    </row>
    <row r="11">
      <c r="A11" s="19">
        <v>9.0</v>
      </c>
      <c r="B11" s="14" t="s">
        <v>34</v>
      </c>
      <c r="C11" s="12">
        <v>181.0</v>
      </c>
      <c r="D11" s="20" t="s">
        <v>110</v>
      </c>
    </row>
    <row r="12">
      <c r="A12" s="19">
        <v>10.0</v>
      </c>
      <c r="B12" s="14" t="s">
        <v>5</v>
      </c>
      <c r="C12" s="12">
        <v>181.0</v>
      </c>
      <c r="D12" s="20" t="s">
        <v>110</v>
      </c>
    </row>
    <row r="13">
      <c r="A13" s="19">
        <v>11.0</v>
      </c>
      <c r="B13" s="14" t="s">
        <v>13</v>
      </c>
      <c r="C13" s="12">
        <v>180.0</v>
      </c>
      <c r="D13" s="20" t="s">
        <v>110</v>
      </c>
    </row>
    <row r="14">
      <c r="A14" s="21" t="s">
        <v>111</v>
      </c>
      <c r="B14" s="14" t="s">
        <v>41</v>
      </c>
      <c r="C14" s="12">
        <v>180.0</v>
      </c>
      <c r="D14" s="20" t="s">
        <v>110</v>
      </c>
    </row>
    <row r="15">
      <c r="A15" s="19">
        <v>12.0</v>
      </c>
      <c r="B15" s="14" t="s">
        <v>45</v>
      </c>
      <c r="C15" s="12">
        <v>179.0</v>
      </c>
      <c r="D15" s="20" t="s">
        <v>110</v>
      </c>
    </row>
    <row r="16">
      <c r="A16" s="19">
        <v>13.0</v>
      </c>
      <c r="B16" s="14" t="s">
        <v>2</v>
      </c>
      <c r="C16" s="12">
        <v>172.0</v>
      </c>
      <c r="D16" s="20" t="s">
        <v>110</v>
      </c>
    </row>
    <row r="17">
      <c r="A17" s="19">
        <v>14.0</v>
      </c>
      <c r="B17" s="14" t="s">
        <v>35</v>
      </c>
      <c r="C17" s="12">
        <v>172.0</v>
      </c>
      <c r="D17" s="20" t="s">
        <v>110</v>
      </c>
    </row>
    <row r="18">
      <c r="A18" s="19">
        <v>15.0</v>
      </c>
      <c r="B18" s="14" t="s">
        <v>6</v>
      </c>
      <c r="C18" s="12">
        <v>172.0</v>
      </c>
      <c r="D18" s="20" t="s">
        <v>110</v>
      </c>
    </row>
    <row r="19">
      <c r="A19" s="19">
        <v>16.0</v>
      </c>
      <c r="B19" s="14" t="s">
        <v>44</v>
      </c>
      <c r="C19" s="12">
        <v>172.0</v>
      </c>
      <c r="D19" s="20" t="s">
        <v>110</v>
      </c>
    </row>
    <row r="20">
      <c r="A20" s="19">
        <v>17.0</v>
      </c>
      <c r="B20" s="14" t="s">
        <v>8</v>
      </c>
      <c r="C20" s="12">
        <v>171.0</v>
      </c>
      <c r="D20" s="20" t="s">
        <v>110</v>
      </c>
    </row>
    <row r="21">
      <c r="A21" s="19">
        <v>18.0</v>
      </c>
      <c r="B21" s="14" t="s">
        <v>17</v>
      </c>
      <c r="C21" s="12">
        <v>168.0</v>
      </c>
      <c r="D21" s="20" t="s">
        <v>110</v>
      </c>
    </row>
    <row r="22">
      <c r="A22" s="19">
        <v>19.0</v>
      </c>
      <c r="B22" s="14" t="s">
        <v>10</v>
      </c>
      <c r="C22" s="12">
        <v>167.0</v>
      </c>
      <c r="D22" s="20" t="s">
        <v>110</v>
      </c>
    </row>
    <row r="23">
      <c r="A23" s="19">
        <v>20.0</v>
      </c>
      <c r="B23" s="14" t="s">
        <v>31</v>
      </c>
      <c r="C23" s="12">
        <v>165.0</v>
      </c>
      <c r="D23" s="20" t="s">
        <v>110</v>
      </c>
    </row>
    <row r="24">
      <c r="A24" s="21" t="s">
        <v>111</v>
      </c>
      <c r="B24" s="14" t="s">
        <v>43</v>
      </c>
      <c r="C24" s="12">
        <v>164.0</v>
      </c>
      <c r="D24" s="20" t="s">
        <v>110</v>
      </c>
    </row>
    <row r="25">
      <c r="A25" s="19">
        <v>21.0</v>
      </c>
      <c r="B25" s="14" t="s">
        <v>14</v>
      </c>
      <c r="C25" s="12">
        <v>163.0</v>
      </c>
      <c r="D25" s="20" t="s">
        <v>110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</row>
    <row r="26">
      <c r="A26" s="19">
        <v>22.0</v>
      </c>
      <c r="B26" s="14" t="s">
        <v>25</v>
      </c>
      <c r="C26" s="12">
        <v>161.0</v>
      </c>
      <c r="D26" s="20" t="s">
        <v>110</v>
      </c>
    </row>
    <row r="27">
      <c r="A27" s="19">
        <v>23.0</v>
      </c>
      <c r="B27" s="14" t="s">
        <v>47</v>
      </c>
      <c r="C27" s="12">
        <v>161.0</v>
      </c>
      <c r="D27" s="20" t="s">
        <v>110</v>
      </c>
    </row>
    <row r="28">
      <c r="A28" s="19">
        <v>24.0</v>
      </c>
      <c r="B28" s="14" t="s">
        <v>12</v>
      </c>
      <c r="C28" s="12">
        <v>161.0</v>
      </c>
      <c r="D28" s="20" t="s">
        <v>110</v>
      </c>
    </row>
    <row r="29">
      <c r="A29" s="19">
        <v>25.0</v>
      </c>
      <c r="B29" s="14" t="s">
        <v>26</v>
      </c>
      <c r="C29" s="12">
        <v>160.0</v>
      </c>
      <c r="D29" s="20" t="s">
        <v>110</v>
      </c>
    </row>
    <row r="30">
      <c r="A30" s="19">
        <v>26.0</v>
      </c>
      <c r="B30" s="14" t="s">
        <v>24</v>
      </c>
      <c r="C30" s="12">
        <v>159.0</v>
      </c>
      <c r="D30" s="20" t="s">
        <v>110</v>
      </c>
    </row>
    <row r="31">
      <c r="A31" s="21" t="s">
        <v>111</v>
      </c>
      <c r="B31" s="14" t="s">
        <v>28</v>
      </c>
      <c r="C31" s="12">
        <v>156.0</v>
      </c>
      <c r="D31" s="20" t="s">
        <v>110</v>
      </c>
    </row>
    <row r="32">
      <c r="A32" s="19">
        <v>27.0</v>
      </c>
      <c r="B32" s="14" t="s">
        <v>27</v>
      </c>
      <c r="C32" s="12">
        <v>155.0</v>
      </c>
      <c r="D32" s="20" t="s">
        <v>110</v>
      </c>
    </row>
    <row r="33">
      <c r="A33" s="19">
        <v>28.0</v>
      </c>
      <c r="B33" s="14" t="s">
        <v>30</v>
      </c>
      <c r="C33" s="12">
        <v>154.0</v>
      </c>
      <c r="D33" s="20" t="s">
        <v>110</v>
      </c>
    </row>
    <row r="34">
      <c r="A34" s="19">
        <v>29.0</v>
      </c>
      <c r="B34" s="14" t="s">
        <v>29</v>
      </c>
      <c r="C34" s="12">
        <v>153.0</v>
      </c>
      <c r="D34" s="20" t="s">
        <v>110</v>
      </c>
    </row>
    <row r="35">
      <c r="A35" s="19">
        <v>30.0</v>
      </c>
      <c r="B35" s="14" t="s">
        <v>3</v>
      </c>
      <c r="C35" s="12">
        <v>152.0</v>
      </c>
      <c r="D35" s="20" t="s">
        <v>110</v>
      </c>
    </row>
    <row r="36">
      <c r="A36" s="19">
        <v>31.0</v>
      </c>
      <c r="B36" s="14" t="s">
        <v>20</v>
      </c>
      <c r="C36" s="12">
        <v>151.0</v>
      </c>
      <c r="D36" s="20" t="s">
        <v>110</v>
      </c>
    </row>
    <row r="37">
      <c r="A37" s="19">
        <v>32.0</v>
      </c>
      <c r="B37" s="14" t="s">
        <v>1</v>
      </c>
      <c r="C37" s="12">
        <v>147.0</v>
      </c>
      <c r="D37" s="20" t="s">
        <v>110</v>
      </c>
    </row>
    <row r="38">
      <c r="A38" s="19">
        <v>33.0</v>
      </c>
      <c r="B38" s="14" t="s">
        <v>38</v>
      </c>
      <c r="C38" s="12">
        <v>145.0</v>
      </c>
      <c r="D38" s="20" t="s">
        <v>110</v>
      </c>
    </row>
    <row r="39">
      <c r="A39" s="19">
        <v>34.0</v>
      </c>
      <c r="B39" s="14" t="s">
        <v>37</v>
      </c>
      <c r="C39" s="12">
        <v>145.0</v>
      </c>
      <c r="D39" s="20" t="s">
        <v>110</v>
      </c>
    </row>
    <row r="40">
      <c r="A40" s="19">
        <v>35.0</v>
      </c>
      <c r="B40" s="14" t="s">
        <v>36</v>
      </c>
      <c r="C40" s="12">
        <v>144.0</v>
      </c>
      <c r="D40" s="20" t="s">
        <v>110</v>
      </c>
    </row>
    <row r="41">
      <c r="A41" s="19">
        <v>36.0</v>
      </c>
      <c r="B41" s="14" t="s">
        <v>18</v>
      </c>
      <c r="C41" s="12">
        <v>142.0</v>
      </c>
      <c r="D41" s="20" t="s">
        <v>110</v>
      </c>
    </row>
    <row r="42">
      <c r="A42" s="19">
        <v>37.0</v>
      </c>
      <c r="B42" s="14" t="s">
        <v>39</v>
      </c>
      <c r="C42" s="12">
        <v>142.0</v>
      </c>
      <c r="D42" s="20" t="s">
        <v>110</v>
      </c>
    </row>
    <row r="43">
      <c r="A43" s="19">
        <v>38.0</v>
      </c>
      <c r="B43" s="14" t="s">
        <v>50</v>
      </c>
      <c r="C43" s="12">
        <v>139.0</v>
      </c>
      <c r="D43" s="20" t="s">
        <v>110</v>
      </c>
    </row>
    <row r="44">
      <c r="A44" s="19">
        <v>39.0</v>
      </c>
      <c r="B44" s="14" t="s">
        <v>23</v>
      </c>
      <c r="C44" s="12">
        <v>139.0</v>
      </c>
      <c r="D44" s="20" t="s">
        <v>110</v>
      </c>
    </row>
    <row r="45">
      <c r="A45" s="19">
        <v>40.0</v>
      </c>
      <c r="B45" s="14" t="s">
        <v>15</v>
      </c>
      <c r="C45" s="12">
        <v>135.0</v>
      </c>
      <c r="D45" s="20" t="s">
        <v>110</v>
      </c>
    </row>
    <row r="46">
      <c r="A46" s="19">
        <v>41.0</v>
      </c>
      <c r="B46" s="14" t="s">
        <v>46</v>
      </c>
      <c r="C46" s="12">
        <v>132.0</v>
      </c>
      <c r="D46" s="20" t="s">
        <v>110</v>
      </c>
    </row>
    <row r="47">
      <c r="A47" s="19">
        <v>42.0</v>
      </c>
      <c r="B47" s="14" t="s">
        <v>32</v>
      </c>
      <c r="C47" s="12">
        <v>131.0</v>
      </c>
      <c r="D47" s="20" t="s">
        <v>110</v>
      </c>
    </row>
    <row r="48">
      <c r="A48" s="19">
        <v>43.0</v>
      </c>
      <c r="B48" s="14" t="s">
        <v>19</v>
      </c>
      <c r="C48" s="12">
        <v>130.0</v>
      </c>
      <c r="D48" s="20" t="s">
        <v>110</v>
      </c>
    </row>
    <row r="49">
      <c r="A49" s="21" t="s">
        <v>111</v>
      </c>
      <c r="B49" s="23" t="s">
        <v>112</v>
      </c>
      <c r="C49" s="12">
        <v>128.0</v>
      </c>
      <c r="D49" s="20" t="s">
        <v>110</v>
      </c>
    </row>
    <row r="50">
      <c r="A50" s="19">
        <v>44.0</v>
      </c>
      <c r="B50" s="14" t="s">
        <v>11</v>
      </c>
      <c r="C50" s="12">
        <v>124.0</v>
      </c>
      <c r="D50" s="20" t="s">
        <v>110</v>
      </c>
    </row>
    <row r="51">
      <c r="A51" s="19">
        <v>45.0</v>
      </c>
      <c r="B51" s="14" t="s">
        <v>4</v>
      </c>
      <c r="C51" s="12">
        <v>102.0</v>
      </c>
      <c r="D51" s="20" t="s">
        <v>110</v>
      </c>
    </row>
    <row r="52">
      <c r="A52" s="24"/>
    </row>
    <row r="53">
      <c r="A53" s="24"/>
    </row>
    <row r="54">
      <c r="A54" s="24"/>
    </row>
    <row r="55">
      <c r="A55" s="24"/>
    </row>
    <row r="56">
      <c r="A56" s="24"/>
    </row>
    <row r="57">
      <c r="A57" s="24"/>
    </row>
    <row r="58">
      <c r="A58" s="24"/>
    </row>
    <row r="59">
      <c r="A59" s="24"/>
    </row>
    <row r="60">
      <c r="A60" s="24"/>
    </row>
    <row r="61">
      <c r="A61" s="24"/>
    </row>
    <row r="62">
      <c r="A62" s="24"/>
    </row>
    <row r="63">
      <c r="A63" s="24"/>
    </row>
    <row r="64">
      <c r="A64" s="24"/>
    </row>
    <row r="65">
      <c r="A65" s="24"/>
    </row>
    <row r="66">
      <c r="A66" s="24"/>
    </row>
    <row r="67">
      <c r="A67" s="24"/>
    </row>
    <row r="68">
      <c r="A68" s="24"/>
    </row>
    <row r="69">
      <c r="A69" s="24"/>
    </row>
    <row r="70">
      <c r="A70" s="24"/>
    </row>
    <row r="71">
      <c r="A71" s="24"/>
    </row>
    <row r="72">
      <c r="A72" s="24"/>
    </row>
    <row r="73">
      <c r="A73" s="24"/>
    </row>
    <row r="74">
      <c r="A74" s="24"/>
    </row>
    <row r="75">
      <c r="A75" s="24"/>
    </row>
    <row r="76">
      <c r="A76" s="24"/>
    </row>
    <row r="77">
      <c r="A77" s="24"/>
    </row>
    <row r="78">
      <c r="A78" s="24"/>
    </row>
    <row r="79">
      <c r="A79" s="24"/>
    </row>
    <row r="80">
      <c r="A80" s="24"/>
    </row>
    <row r="81">
      <c r="A81" s="24"/>
    </row>
    <row r="82">
      <c r="A82" s="24"/>
    </row>
    <row r="83">
      <c r="A83" s="24"/>
    </row>
    <row r="84">
      <c r="A84" s="24"/>
    </row>
    <row r="85">
      <c r="A85" s="24"/>
    </row>
    <row r="86">
      <c r="A86" s="24"/>
    </row>
    <row r="87">
      <c r="A87" s="24"/>
    </row>
    <row r="88">
      <c r="A88" s="24"/>
    </row>
    <row r="89">
      <c r="A89" s="24"/>
    </row>
    <row r="90">
      <c r="A90" s="24"/>
    </row>
    <row r="91">
      <c r="A91" s="24"/>
    </row>
    <row r="92">
      <c r="A92" s="24"/>
    </row>
    <row r="93">
      <c r="A93" s="24"/>
    </row>
    <row r="94">
      <c r="A94" s="24"/>
    </row>
    <row r="95">
      <c r="A95" s="24"/>
    </row>
    <row r="96">
      <c r="A96" s="24"/>
    </row>
    <row r="97">
      <c r="A97" s="24"/>
    </row>
    <row r="98">
      <c r="A98" s="24"/>
    </row>
    <row r="99">
      <c r="A99" s="24"/>
    </row>
    <row r="100">
      <c r="A100" s="24"/>
    </row>
    <row r="101">
      <c r="A101" s="24"/>
    </row>
    <row r="102">
      <c r="A102" s="24"/>
    </row>
    <row r="103">
      <c r="A103" s="24"/>
    </row>
    <row r="104">
      <c r="A104" s="24"/>
    </row>
    <row r="105">
      <c r="A105" s="24"/>
    </row>
    <row r="106">
      <c r="A106" s="24"/>
    </row>
    <row r="107">
      <c r="A107" s="24"/>
    </row>
    <row r="108">
      <c r="A108" s="24"/>
    </row>
    <row r="109">
      <c r="A109" s="24"/>
    </row>
    <row r="110">
      <c r="A110" s="24"/>
    </row>
    <row r="111">
      <c r="A111" s="24"/>
    </row>
    <row r="112">
      <c r="A112" s="24"/>
    </row>
    <row r="113">
      <c r="A113" s="24"/>
    </row>
    <row r="114">
      <c r="A114" s="24"/>
    </row>
    <row r="115">
      <c r="A115" s="24"/>
    </row>
    <row r="116">
      <c r="A116" s="24"/>
    </row>
    <row r="117">
      <c r="A117" s="24"/>
    </row>
    <row r="118">
      <c r="A118" s="24"/>
    </row>
    <row r="119">
      <c r="A119" s="24"/>
    </row>
    <row r="120">
      <c r="A120" s="24"/>
    </row>
    <row r="121">
      <c r="A121" s="24"/>
    </row>
    <row r="122">
      <c r="A122" s="24"/>
    </row>
    <row r="123">
      <c r="A123" s="24"/>
    </row>
    <row r="124">
      <c r="A124" s="24"/>
    </row>
    <row r="125">
      <c r="A125" s="24"/>
    </row>
    <row r="126">
      <c r="A126" s="24"/>
    </row>
    <row r="127">
      <c r="A127" s="24"/>
    </row>
    <row r="128">
      <c r="A128" s="24"/>
    </row>
    <row r="129">
      <c r="A129" s="24"/>
    </row>
    <row r="130">
      <c r="A130" s="24"/>
    </row>
    <row r="131">
      <c r="A131" s="24"/>
    </row>
    <row r="132">
      <c r="A132" s="24"/>
    </row>
    <row r="133">
      <c r="A133" s="24"/>
    </row>
    <row r="134">
      <c r="A134" s="24"/>
    </row>
    <row r="135">
      <c r="A135" s="24"/>
    </row>
    <row r="136">
      <c r="A136" s="24"/>
    </row>
    <row r="137">
      <c r="A137" s="24"/>
    </row>
    <row r="138">
      <c r="A138" s="24"/>
    </row>
    <row r="139">
      <c r="A139" s="24"/>
    </row>
    <row r="140">
      <c r="A140" s="24"/>
    </row>
    <row r="141">
      <c r="A141" s="24"/>
    </row>
    <row r="142">
      <c r="A142" s="24"/>
    </row>
    <row r="143">
      <c r="A143" s="24"/>
    </row>
    <row r="144">
      <c r="A144" s="24"/>
    </row>
    <row r="145">
      <c r="A145" s="24"/>
    </row>
    <row r="146">
      <c r="A146" s="24"/>
    </row>
    <row r="147">
      <c r="A147" s="24"/>
    </row>
    <row r="148">
      <c r="A148" s="24"/>
    </row>
    <row r="149">
      <c r="A149" s="24"/>
    </row>
    <row r="150">
      <c r="A150" s="24"/>
    </row>
    <row r="151">
      <c r="A151" s="24"/>
    </row>
    <row r="152">
      <c r="A152" s="24"/>
    </row>
    <row r="153">
      <c r="A153" s="24"/>
    </row>
    <row r="154">
      <c r="A154" s="24"/>
    </row>
    <row r="155">
      <c r="A155" s="24"/>
    </row>
    <row r="156">
      <c r="A156" s="24"/>
    </row>
    <row r="157">
      <c r="A157" s="24"/>
    </row>
    <row r="158">
      <c r="A158" s="24"/>
    </row>
    <row r="159">
      <c r="A159" s="24"/>
    </row>
    <row r="160">
      <c r="A160" s="24"/>
    </row>
    <row r="161">
      <c r="A161" s="24"/>
    </row>
    <row r="162">
      <c r="A162" s="24"/>
    </row>
    <row r="163">
      <c r="A163" s="24"/>
    </row>
    <row r="164">
      <c r="A164" s="24"/>
    </row>
    <row r="165">
      <c r="A165" s="24"/>
    </row>
    <row r="166">
      <c r="A166" s="24"/>
    </row>
    <row r="167">
      <c r="A167" s="24"/>
    </row>
    <row r="168">
      <c r="A168" s="24"/>
    </row>
    <row r="169">
      <c r="A169" s="24"/>
    </row>
    <row r="170">
      <c r="A170" s="24"/>
    </row>
    <row r="171">
      <c r="A171" s="24"/>
    </row>
    <row r="172">
      <c r="A172" s="24"/>
    </row>
    <row r="173">
      <c r="A173" s="24"/>
    </row>
    <row r="174">
      <c r="A174" s="24"/>
    </row>
    <row r="175">
      <c r="A175" s="24"/>
    </row>
    <row r="176">
      <c r="A176" s="24"/>
    </row>
    <row r="177">
      <c r="A177" s="24"/>
    </row>
    <row r="178">
      <c r="A178" s="24"/>
    </row>
    <row r="179">
      <c r="A179" s="24"/>
    </row>
    <row r="180">
      <c r="A180" s="24"/>
    </row>
    <row r="181">
      <c r="A181" s="24"/>
    </row>
    <row r="182">
      <c r="A182" s="24"/>
    </row>
    <row r="183">
      <c r="A183" s="24"/>
    </row>
    <row r="184">
      <c r="A184" s="24"/>
    </row>
    <row r="185">
      <c r="A185" s="24"/>
    </row>
    <row r="186">
      <c r="A186" s="24"/>
    </row>
    <row r="187">
      <c r="A187" s="24"/>
    </row>
    <row r="188">
      <c r="A188" s="24"/>
    </row>
    <row r="189">
      <c r="A189" s="24"/>
    </row>
    <row r="190">
      <c r="A190" s="24"/>
    </row>
    <row r="191">
      <c r="A191" s="24"/>
    </row>
    <row r="192">
      <c r="A192" s="24"/>
    </row>
    <row r="193">
      <c r="A193" s="24"/>
    </row>
    <row r="194">
      <c r="A194" s="24"/>
    </row>
    <row r="195">
      <c r="A195" s="24"/>
    </row>
    <row r="196">
      <c r="A196" s="24"/>
    </row>
    <row r="197">
      <c r="A197" s="24"/>
    </row>
    <row r="198">
      <c r="A198" s="24"/>
    </row>
    <row r="199">
      <c r="A199" s="24"/>
    </row>
    <row r="200">
      <c r="A200" s="24"/>
    </row>
    <row r="201">
      <c r="A201" s="24"/>
    </row>
    <row r="202">
      <c r="A202" s="24"/>
    </row>
    <row r="203">
      <c r="A203" s="24"/>
    </row>
    <row r="204">
      <c r="A204" s="24"/>
    </row>
    <row r="205">
      <c r="A205" s="24"/>
    </row>
    <row r="206">
      <c r="A206" s="24"/>
    </row>
    <row r="207">
      <c r="A207" s="24"/>
    </row>
    <row r="208">
      <c r="A208" s="24"/>
    </row>
    <row r="209">
      <c r="A209" s="24"/>
    </row>
    <row r="210">
      <c r="A210" s="24"/>
    </row>
    <row r="211">
      <c r="A211" s="24"/>
    </row>
    <row r="212">
      <c r="A212" s="24"/>
    </row>
    <row r="213">
      <c r="A213" s="24"/>
    </row>
    <row r="214">
      <c r="A214" s="24"/>
    </row>
    <row r="215">
      <c r="A215" s="24"/>
    </row>
    <row r="216">
      <c r="A216" s="24"/>
    </row>
    <row r="217">
      <c r="A217" s="24"/>
    </row>
    <row r="218">
      <c r="A218" s="24"/>
    </row>
    <row r="219">
      <c r="A219" s="24"/>
    </row>
    <row r="220">
      <c r="A220" s="24"/>
    </row>
    <row r="221">
      <c r="A221" s="24"/>
    </row>
    <row r="222">
      <c r="A222" s="24"/>
    </row>
    <row r="223">
      <c r="A223" s="24"/>
    </row>
    <row r="224">
      <c r="A224" s="24"/>
    </row>
    <row r="225">
      <c r="A225" s="24"/>
    </row>
    <row r="226">
      <c r="A226" s="24"/>
    </row>
    <row r="227">
      <c r="A227" s="24"/>
    </row>
    <row r="228">
      <c r="A228" s="24"/>
    </row>
    <row r="229">
      <c r="A229" s="24"/>
    </row>
    <row r="230">
      <c r="A230" s="24"/>
    </row>
    <row r="231">
      <c r="A231" s="24"/>
    </row>
    <row r="232">
      <c r="A232" s="24"/>
    </row>
    <row r="233">
      <c r="A233" s="24"/>
    </row>
    <row r="234">
      <c r="A234" s="24"/>
    </row>
    <row r="235">
      <c r="A235" s="24"/>
    </row>
    <row r="236">
      <c r="A236" s="24"/>
    </row>
    <row r="237">
      <c r="A237" s="24"/>
    </row>
    <row r="238">
      <c r="A238" s="24"/>
    </row>
    <row r="239">
      <c r="A239" s="24"/>
    </row>
    <row r="240">
      <c r="A240" s="24"/>
    </row>
    <row r="241">
      <c r="A241" s="24"/>
    </row>
    <row r="242">
      <c r="A242" s="24"/>
    </row>
    <row r="243">
      <c r="A243" s="24"/>
    </row>
    <row r="244">
      <c r="A244" s="24"/>
    </row>
    <row r="245">
      <c r="A245" s="24"/>
    </row>
    <row r="246">
      <c r="A246" s="24"/>
    </row>
    <row r="247">
      <c r="A247" s="24"/>
    </row>
    <row r="248">
      <c r="A248" s="24"/>
    </row>
    <row r="249">
      <c r="A249" s="24"/>
    </row>
    <row r="250">
      <c r="A250" s="24"/>
    </row>
    <row r="251">
      <c r="A251" s="24"/>
    </row>
    <row r="252">
      <c r="A252" s="24"/>
    </row>
    <row r="253">
      <c r="A253" s="24"/>
    </row>
    <row r="254">
      <c r="A254" s="24"/>
    </row>
    <row r="255">
      <c r="A255" s="24"/>
    </row>
    <row r="256">
      <c r="A256" s="24"/>
    </row>
    <row r="257">
      <c r="A257" s="24"/>
    </row>
    <row r="258">
      <c r="A258" s="24"/>
    </row>
    <row r="259">
      <c r="A259" s="24"/>
    </row>
    <row r="260">
      <c r="A260" s="24"/>
    </row>
    <row r="261">
      <c r="A261" s="24"/>
    </row>
    <row r="262">
      <c r="A262" s="24"/>
    </row>
    <row r="263">
      <c r="A263" s="24"/>
    </row>
    <row r="264">
      <c r="A264" s="24"/>
    </row>
    <row r="265">
      <c r="A265" s="24"/>
    </row>
    <row r="266">
      <c r="A266" s="24"/>
    </row>
    <row r="267">
      <c r="A267" s="24"/>
    </row>
    <row r="268">
      <c r="A268" s="24"/>
    </row>
    <row r="269">
      <c r="A269" s="24"/>
    </row>
    <row r="270">
      <c r="A270" s="24"/>
    </row>
    <row r="271">
      <c r="A271" s="24"/>
    </row>
    <row r="272">
      <c r="A272" s="24"/>
    </row>
    <row r="273">
      <c r="A273" s="24"/>
    </row>
    <row r="274">
      <c r="A274" s="24"/>
    </row>
    <row r="275">
      <c r="A275" s="24"/>
    </row>
    <row r="276">
      <c r="A276" s="24"/>
    </row>
    <row r="277">
      <c r="A277" s="24"/>
    </row>
    <row r="278">
      <c r="A278" s="24"/>
    </row>
    <row r="279">
      <c r="A279" s="24"/>
    </row>
    <row r="280">
      <c r="A280" s="24"/>
    </row>
    <row r="281">
      <c r="A281" s="24"/>
    </row>
    <row r="282">
      <c r="A282" s="24"/>
    </row>
    <row r="283">
      <c r="A283" s="24"/>
    </row>
    <row r="284">
      <c r="A284" s="24"/>
    </row>
    <row r="285">
      <c r="A285" s="24"/>
    </row>
    <row r="286">
      <c r="A286" s="24"/>
    </row>
    <row r="287">
      <c r="A287" s="24"/>
    </row>
    <row r="288">
      <c r="A288" s="24"/>
    </row>
    <row r="289">
      <c r="A289" s="24"/>
    </row>
    <row r="290">
      <c r="A290" s="24"/>
    </row>
    <row r="291">
      <c r="A291" s="24"/>
    </row>
    <row r="292">
      <c r="A292" s="24"/>
    </row>
    <row r="293">
      <c r="A293" s="24"/>
    </row>
    <row r="294">
      <c r="A294" s="24"/>
    </row>
    <row r="295">
      <c r="A295" s="24"/>
    </row>
    <row r="296">
      <c r="A296" s="24"/>
    </row>
    <row r="297">
      <c r="A297" s="24"/>
    </row>
    <row r="298">
      <c r="A298" s="24"/>
    </row>
    <row r="299">
      <c r="A299" s="24"/>
    </row>
    <row r="300">
      <c r="A300" s="24"/>
    </row>
    <row r="301">
      <c r="A301" s="24"/>
    </row>
    <row r="302">
      <c r="A302" s="24"/>
    </row>
    <row r="303">
      <c r="A303" s="24"/>
    </row>
    <row r="304">
      <c r="A304" s="24"/>
    </row>
    <row r="305">
      <c r="A305" s="24"/>
    </row>
    <row r="306">
      <c r="A306" s="24"/>
    </row>
    <row r="307">
      <c r="A307" s="24"/>
    </row>
    <row r="308">
      <c r="A308" s="24"/>
    </row>
    <row r="309">
      <c r="A309" s="24"/>
    </row>
    <row r="310">
      <c r="A310" s="24"/>
    </row>
    <row r="311">
      <c r="A311" s="24"/>
    </row>
    <row r="312">
      <c r="A312" s="24"/>
    </row>
    <row r="313">
      <c r="A313" s="24"/>
    </row>
    <row r="314">
      <c r="A314" s="24"/>
    </row>
    <row r="315">
      <c r="A315" s="24"/>
    </row>
    <row r="316">
      <c r="A316" s="24"/>
    </row>
    <row r="317">
      <c r="A317" s="24"/>
    </row>
    <row r="318">
      <c r="A318" s="24"/>
    </row>
    <row r="319">
      <c r="A319" s="24"/>
    </row>
    <row r="320">
      <c r="A320" s="24"/>
    </row>
    <row r="321">
      <c r="A321" s="24"/>
    </row>
    <row r="322">
      <c r="A322" s="24"/>
    </row>
    <row r="323">
      <c r="A323" s="24"/>
    </row>
    <row r="324">
      <c r="A324" s="24"/>
    </row>
    <row r="325">
      <c r="A325" s="24"/>
    </row>
    <row r="326">
      <c r="A326" s="24"/>
    </row>
    <row r="327">
      <c r="A327" s="24"/>
    </row>
    <row r="328">
      <c r="A328" s="24"/>
    </row>
    <row r="329">
      <c r="A329" s="24"/>
    </row>
    <row r="330">
      <c r="A330" s="24"/>
    </row>
    <row r="331">
      <c r="A331" s="24"/>
    </row>
    <row r="332">
      <c r="A332" s="24"/>
    </row>
    <row r="333">
      <c r="A333" s="24"/>
    </row>
    <row r="334">
      <c r="A334" s="24"/>
    </row>
    <row r="335">
      <c r="A335" s="24"/>
    </row>
    <row r="336">
      <c r="A336" s="24"/>
    </row>
    <row r="337">
      <c r="A337" s="24"/>
    </row>
    <row r="338">
      <c r="A338" s="24"/>
    </row>
    <row r="339">
      <c r="A339" s="24"/>
    </row>
    <row r="340">
      <c r="A340" s="24"/>
    </row>
    <row r="341">
      <c r="A341" s="24"/>
    </row>
    <row r="342">
      <c r="A342" s="24"/>
    </row>
    <row r="343">
      <c r="A343" s="24"/>
    </row>
    <row r="344">
      <c r="A344" s="24"/>
    </row>
    <row r="345">
      <c r="A345" s="24"/>
    </row>
    <row r="346">
      <c r="A346" s="24"/>
    </row>
    <row r="347">
      <c r="A347" s="24"/>
    </row>
    <row r="348">
      <c r="A348" s="24"/>
    </row>
    <row r="349">
      <c r="A349" s="24"/>
    </row>
    <row r="350">
      <c r="A350" s="24"/>
    </row>
    <row r="351">
      <c r="A351" s="24"/>
    </row>
    <row r="352">
      <c r="A352" s="24"/>
    </row>
    <row r="353">
      <c r="A353" s="24"/>
    </row>
    <row r="354">
      <c r="A354" s="24"/>
    </row>
    <row r="355">
      <c r="A355" s="24"/>
    </row>
    <row r="356">
      <c r="A356" s="24"/>
    </row>
    <row r="357">
      <c r="A357" s="24"/>
    </row>
    <row r="358">
      <c r="A358" s="24"/>
    </row>
    <row r="359">
      <c r="A359" s="24"/>
    </row>
    <row r="360">
      <c r="A360" s="24"/>
    </row>
    <row r="361">
      <c r="A361" s="24"/>
    </row>
    <row r="362">
      <c r="A362" s="24"/>
    </row>
    <row r="363">
      <c r="A363" s="24"/>
    </row>
    <row r="364">
      <c r="A364" s="24"/>
    </row>
    <row r="365">
      <c r="A365" s="24"/>
    </row>
    <row r="366">
      <c r="A366" s="24"/>
    </row>
    <row r="367">
      <c r="A367" s="24"/>
    </row>
    <row r="368">
      <c r="A368" s="24"/>
    </row>
    <row r="369">
      <c r="A369" s="24"/>
    </row>
    <row r="370">
      <c r="A370" s="24"/>
    </row>
    <row r="371">
      <c r="A371" s="24"/>
    </row>
    <row r="372">
      <c r="A372" s="24"/>
    </row>
    <row r="373">
      <c r="A373" s="24"/>
    </row>
    <row r="374">
      <c r="A374" s="24"/>
    </row>
    <row r="375">
      <c r="A375" s="24"/>
    </row>
    <row r="376">
      <c r="A376" s="24"/>
    </row>
    <row r="377">
      <c r="A377" s="24"/>
    </row>
    <row r="378">
      <c r="A378" s="24"/>
    </row>
    <row r="379">
      <c r="A379" s="24"/>
    </row>
    <row r="380">
      <c r="A380" s="24"/>
    </row>
    <row r="381">
      <c r="A381" s="24"/>
    </row>
    <row r="382">
      <c r="A382" s="24"/>
    </row>
    <row r="383">
      <c r="A383" s="24"/>
    </row>
    <row r="384">
      <c r="A384" s="24"/>
    </row>
    <row r="385">
      <c r="A385" s="24"/>
    </row>
    <row r="386">
      <c r="A386" s="24"/>
    </row>
    <row r="387">
      <c r="A387" s="24"/>
    </row>
    <row r="388">
      <c r="A388" s="24"/>
    </row>
    <row r="389">
      <c r="A389" s="24"/>
    </row>
    <row r="390">
      <c r="A390" s="24"/>
    </row>
    <row r="391">
      <c r="A391" s="24"/>
    </row>
    <row r="392">
      <c r="A392" s="24"/>
    </row>
    <row r="393">
      <c r="A393" s="24"/>
    </row>
    <row r="394">
      <c r="A394" s="24"/>
    </row>
    <row r="395">
      <c r="A395" s="24"/>
    </row>
    <row r="396">
      <c r="A396" s="24"/>
    </row>
    <row r="397">
      <c r="A397" s="24"/>
    </row>
    <row r="398">
      <c r="A398" s="24"/>
    </row>
    <row r="399">
      <c r="A399" s="24"/>
    </row>
    <row r="400">
      <c r="A400" s="24"/>
    </row>
    <row r="401">
      <c r="A401" s="24"/>
    </row>
    <row r="402">
      <c r="A402" s="24"/>
    </row>
    <row r="403">
      <c r="A403" s="24"/>
    </row>
    <row r="404">
      <c r="A404" s="24"/>
    </row>
    <row r="405">
      <c r="A405" s="24"/>
    </row>
    <row r="406">
      <c r="A406" s="24"/>
    </row>
    <row r="407">
      <c r="A407" s="24"/>
    </row>
    <row r="408">
      <c r="A408" s="24"/>
    </row>
    <row r="409">
      <c r="A409" s="24"/>
    </row>
    <row r="410">
      <c r="A410" s="24"/>
    </row>
    <row r="411">
      <c r="A411" s="24"/>
    </row>
    <row r="412">
      <c r="A412" s="24"/>
    </row>
    <row r="413">
      <c r="A413" s="24"/>
    </row>
    <row r="414">
      <c r="A414" s="24"/>
    </row>
    <row r="415">
      <c r="A415" s="24"/>
    </row>
    <row r="416">
      <c r="A416" s="24"/>
    </row>
    <row r="417">
      <c r="A417" s="24"/>
    </row>
    <row r="418">
      <c r="A418" s="24"/>
    </row>
    <row r="419">
      <c r="A419" s="24"/>
    </row>
    <row r="420">
      <c r="A420" s="24"/>
    </row>
    <row r="421">
      <c r="A421" s="24"/>
    </row>
    <row r="422">
      <c r="A422" s="24"/>
    </row>
    <row r="423">
      <c r="A423" s="24"/>
    </row>
    <row r="424">
      <c r="A424" s="24"/>
    </row>
    <row r="425">
      <c r="A425" s="24"/>
    </row>
    <row r="426">
      <c r="A426" s="24"/>
    </row>
    <row r="427">
      <c r="A427" s="24"/>
    </row>
    <row r="428">
      <c r="A428" s="24"/>
    </row>
    <row r="429">
      <c r="A429" s="24"/>
    </row>
    <row r="430">
      <c r="A430" s="24"/>
    </row>
    <row r="431">
      <c r="A431" s="24"/>
    </row>
    <row r="432">
      <c r="A432" s="24"/>
    </row>
    <row r="433">
      <c r="A433" s="24"/>
    </row>
    <row r="434">
      <c r="A434" s="24"/>
    </row>
    <row r="435">
      <c r="A435" s="24"/>
    </row>
    <row r="436">
      <c r="A436" s="24"/>
    </row>
    <row r="437">
      <c r="A437" s="24"/>
    </row>
    <row r="438">
      <c r="A438" s="24"/>
    </row>
    <row r="439">
      <c r="A439" s="24"/>
    </row>
    <row r="440">
      <c r="A440" s="24"/>
    </row>
    <row r="441">
      <c r="A441" s="24"/>
    </row>
    <row r="442">
      <c r="A442" s="24"/>
    </row>
    <row r="443">
      <c r="A443" s="24"/>
    </row>
    <row r="444">
      <c r="A444" s="24"/>
    </row>
    <row r="445">
      <c r="A445" s="24"/>
    </row>
    <row r="446">
      <c r="A446" s="24"/>
    </row>
    <row r="447">
      <c r="A447" s="24"/>
    </row>
    <row r="448">
      <c r="A448" s="24"/>
    </row>
    <row r="449">
      <c r="A449" s="24"/>
    </row>
    <row r="450">
      <c r="A450" s="24"/>
    </row>
    <row r="451">
      <c r="A451" s="24"/>
    </row>
    <row r="452">
      <c r="A452" s="24"/>
    </row>
    <row r="453">
      <c r="A453" s="24"/>
    </row>
    <row r="454">
      <c r="A454" s="24"/>
    </row>
    <row r="455">
      <c r="A455" s="24"/>
    </row>
    <row r="456">
      <c r="A456" s="24"/>
    </row>
    <row r="457">
      <c r="A457" s="24"/>
    </row>
    <row r="458">
      <c r="A458" s="24"/>
    </row>
    <row r="459">
      <c r="A459" s="24"/>
    </row>
    <row r="460">
      <c r="A460" s="24"/>
    </row>
    <row r="461">
      <c r="A461" s="24"/>
    </row>
    <row r="462">
      <c r="A462" s="24"/>
    </row>
    <row r="463">
      <c r="A463" s="24"/>
    </row>
    <row r="464">
      <c r="A464" s="24"/>
    </row>
    <row r="465">
      <c r="A465" s="24"/>
    </row>
    <row r="466">
      <c r="A466" s="24"/>
    </row>
    <row r="467">
      <c r="A467" s="24"/>
    </row>
    <row r="468">
      <c r="A468" s="24"/>
    </row>
    <row r="469">
      <c r="A469" s="24"/>
    </row>
    <row r="470">
      <c r="A470" s="24"/>
    </row>
    <row r="471">
      <c r="A471" s="24"/>
    </row>
    <row r="472">
      <c r="A472" s="24"/>
    </row>
    <row r="473">
      <c r="A473" s="24"/>
    </row>
    <row r="474">
      <c r="A474" s="24"/>
    </row>
    <row r="475">
      <c r="A475" s="24"/>
    </row>
    <row r="476">
      <c r="A476" s="24"/>
    </row>
    <row r="477">
      <c r="A477" s="24"/>
    </row>
    <row r="478">
      <c r="A478" s="24"/>
    </row>
    <row r="479">
      <c r="A479" s="24"/>
    </row>
    <row r="480">
      <c r="A480" s="24"/>
    </row>
    <row r="481">
      <c r="A481" s="24"/>
    </row>
    <row r="482">
      <c r="A482" s="24"/>
    </row>
    <row r="483">
      <c r="A483" s="24"/>
    </row>
    <row r="484">
      <c r="A484" s="24"/>
    </row>
    <row r="485">
      <c r="A485" s="24"/>
    </row>
    <row r="486">
      <c r="A486" s="24"/>
    </row>
    <row r="487">
      <c r="A487" s="24"/>
    </row>
    <row r="488">
      <c r="A488" s="24"/>
    </row>
    <row r="489">
      <c r="A489" s="24"/>
    </row>
    <row r="490">
      <c r="A490" s="24"/>
    </row>
    <row r="491">
      <c r="A491" s="24"/>
    </row>
    <row r="492">
      <c r="A492" s="24"/>
    </row>
    <row r="493">
      <c r="A493" s="24"/>
    </row>
    <row r="494">
      <c r="A494" s="24"/>
    </row>
    <row r="495">
      <c r="A495" s="24"/>
    </row>
    <row r="496">
      <c r="A496" s="24"/>
    </row>
    <row r="497">
      <c r="A497" s="24"/>
    </row>
    <row r="498">
      <c r="A498" s="24"/>
    </row>
    <row r="499">
      <c r="A499" s="24"/>
    </row>
    <row r="500">
      <c r="A500" s="24"/>
    </row>
    <row r="501">
      <c r="A501" s="24"/>
    </row>
    <row r="502">
      <c r="A502" s="24"/>
    </row>
    <row r="503">
      <c r="A503" s="24"/>
    </row>
    <row r="504">
      <c r="A504" s="24"/>
    </row>
    <row r="505">
      <c r="A505" s="24"/>
    </row>
    <row r="506">
      <c r="A506" s="24"/>
    </row>
    <row r="507">
      <c r="A507" s="24"/>
    </row>
    <row r="508">
      <c r="A508" s="24"/>
    </row>
    <row r="509">
      <c r="A509" s="24"/>
    </row>
    <row r="510">
      <c r="A510" s="24"/>
    </row>
    <row r="511">
      <c r="A511" s="24"/>
    </row>
    <row r="512">
      <c r="A512" s="24"/>
    </row>
    <row r="513">
      <c r="A513" s="24"/>
    </row>
    <row r="514">
      <c r="A514" s="24"/>
    </row>
    <row r="515">
      <c r="A515" s="24"/>
    </row>
    <row r="516">
      <c r="A516" s="24"/>
    </row>
    <row r="517">
      <c r="A517" s="24"/>
    </row>
    <row r="518">
      <c r="A518" s="24"/>
    </row>
    <row r="519">
      <c r="A519" s="24"/>
    </row>
    <row r="520">
      <c r="A520" s="24"/>
    </row>
    <row r="521">
      <c r="A521" s="24"/>
    </row>
    <row r="522">
      <c r="A522" s="24"/>
    </row>
    <row r="523">
      <c r="A523" s="24"/>
    </row>
    <row r="524">
      <c r="A524" s="24"/>
    </row>
    <row r="525">
      <c r="A525" s="24"/>
    </row>
    <row r="526">
      <c r="A526" s="24"/>
    </row>
    <row r="527">
      <c r="A527" s="24"/>
    </row>
    <row r="528">
      <c r="A528" s="24"/>
    </row>
    <row r="529">
      <c r="A529" s="24"/>
    </row>
    <row r="530">
      <c r="A530" s="24"/>
    </row>
    <row r="531">
      <c r="A531" s="24"/>
    </row>
    <row r="532">
      <c r="A532" s="24"/>
    </row>
    <row r="533">
      <c r="A533" s="24"/>
    </row>
    <row r="534">
      <c r="A534" s="24"/>
    </row>
    <row r="535">
      <c r="A535" s="24"/>
    </row>
    <row r="536">
      <c r="A536" s="24"/>
    </row>
    <row r="537">
      <c r="A537" s="24"/>
    </row>
    <row r="538">
      <c r="A538" s="24"/>
    </row>
    <row r="539">
      <c r="A539" s="24"/>
    </row>
    <row r="540">
      <c r="A540" s="24"/>
    </row>
    <row r="541">
      <c r="A541" s="24"/>
    </row>
    <row r="542">
      <c r="A542" s="24"/>
    </row>
    <row r="543">
      <c r="A543" s="24"/>
    </row>
    <row r="544">
      <c r="A544" s="24"/>
    </row>
    <row r="545">
      <c r="A545" s="24"/>
    </row>
    <row r="546">
      <c r="A546" s="24"/>
    </row>
    <row r="547">
      <c r="A547" s="24"/>
    </row>
    <row r="548">
      <c r="A548" s="24"/>
    </row>
    <row r="549">
      <c r="A549" s="24"/>
    </row>
    <row r="550">
      <c r="A550" s="24"/>
    </row>
    <row r="551">
      <c r="A551" s="24"/>
    </row>
    <row r="552">
      <c r="A552" s="24"/>
    </row>
    <row r="553">
      <c r="A553" s="24"/>
    </row>
    <row r="554">
      <c r="A554" s="24"/>
    </row>
    <row r="555">
      <c r="A555" s="24"/>
    </row>
    <row r="556">
      <c r="A556" s="24"/>
    </row>
    <row r="557">
      <c r="A557" s="24"/>
    </row>
    <row r="558">
      <c r="A558" s="24"/>
    </row>
    <row r="559">
      <c r="A559" s="24"/>
    </row>
    <row r="560">
      <c r="A560" s="24"/>
    </row>
    <row r="561">
      <c r="A561" s="24"/>
    </row>
    <row r="562">
      <c r="A562" s="24"/>
    </row>
    <row r="563">
      <c r="A563" s="24"/>
    </row>
    <row r="564">
      <c r="A564" s="24"/>
    </row>
    <row r="565">
      <c r="A565" s="24"/>
    </row>
    <row r="566">
      <c r="A566" s="24"/>
    </row>
    <row r="567">
      <c r="A567" s="24"/>
    </row>
    <row r="568">
      <c r="A568" s="24"/>
    </row>
    <row r="569">
      <c r="A569" s="24"/>
    </row>
    <row r="570">
      <c r="A570" s="24"/>
    </row>
    <row r="571">
      <c r="A571" s="24"/>
    </row>
    <row r="572">
      <c r="A572" s="24"/>
    </row>
    <row r="573">
      <c r="A573" s="24"/>
    </row>
    <row r="574">
      <c r="A574" s="24"/>
    </row>
    <row r="575">
      <c r="A575" s="24"/>
    </row>
    <row r="576">
      <c r="A576" s="24"/>
    </row>
    <row r="577">
      <c r="A577" s="24"/>
    </row>
    <row r="578">
      <c r="A578" s="24"/>
    </row>
    <row r="579">
      <c r="A579" s="24"/>
    </row>
    <row r="580">
      <c r="A580" s="24"/>
    </row>
    <row r="581">
      <c r="A581" s="24"/>
    </row>
    <row r="582">
      <c r="A582" s="24"/>
    </row>
    <row r="583">
      <c r="A583" s="24"/>
    </row>
    <row r="584">
      <c r="A584" s="24"/>
    </row>
    <row r="585">
      <c r="A585" s="24"/>
    </row>
    <row r="586">
      <c r="A586" s="24"/>
    </row>
    <row r="587">
      <c r="A587" s="24"/>
    </row>
    <row r="588">
      <c r="A588" s="24"/>
    </row>
    <row r="589">
      <c r="A589" s="24"/>
    </row>
    <row r="590">
      <c r="A590" s="24"/>
    </row>
    <row r="591">
      <c r="A591" s="24"/>
    </row>
    <row r="592">
      <c r="A592" s="24"/>
    </row>
    <row r="593">
      <c r="A593" s="24"/>
    </row>
    <row r="594">
      <c r="A594" s="24"/>
    </row>
    <row r="595">
      <c r="A595" s="24"/>
    </row>
    <row r="596">
      <c r="A596" s="24"/>
    </row>
    <row r="597">
      <c r="A597" s="24"/>
    </row>
    <row r="598">
      <c r="A598" s="24"/>
    </row>
    <row r="599">
      <c r="A599" s="24"/>
    </row>
    <row r="600">
      <c r="A600" s="24"/>
    </row>
    <row r="601">
      <c r="A601" s="24"/>
    </row>
    <row r="602">
      <c r="A602" s="24"/>
    </row>
    <row r="603">
      <c r="A603" s="24"/>
    </row>
    <row r="604">
      <c r="A604" s="24"/>
    </row>
    <row r="605">
      <c r="A605" s="24"/>
    </row>
    <row r="606">
      <c r="A606" s="24"/>
    </row>
    <row r="607">
      <c r="A607" s="24"/>
    </row>
    <row r="608">
      <c r="A608" s="24"/>
    </row>
    <row r="609">
      <c r="A609" s="24"/>
    </row>
    <row r="610">
      <c r="A610" s="24"/>
    </row>
    <row r="611">
      <c r="A611" s="24"/>
    </row>
    <row r="612">
      <c r="A612" s="24"/>
    </row>
    <row r="613">
      <c r="A613" s="24"/>
    </row>
    <row r="614">
      <c r="A614" s="24"/>
    </row>
    <row r="615">
      <c r="A615" s="24"/>
    </row>
    <row r="616">
      <c r="A616" s="24"/>
    </row>
    <row r="617">
      <c r="A617" s="24"/>
    </row>
    <row r="618">
      <c r="A618" s="24"/>
    </row>
    <row r="619">
      <c r="A619" s="24"/>
    </row>
    <row r="620">
      <c r="A620" s="24"/>
    </row>
    <row r="621">
      <c r="A621" s="24"/>
    </row>
    <row r="622">
      <c r="A622" s="24"/>
    </row>
    <row r="623">
      <c r="A623" s="24"/>
    </row>
    <row r="624">
      <c r="A624" s="24"/>
    </row>
    <row r="625">
      <c r="A625" s="24"/>
    </row>
    <row r="626">
      <c r="A626" s="24"/>
    </row>
    <row r="627">
      <c r="A627" s="24"/>
    </row>
    <row r="628">
      <c r="A628" s="24"/>
    </row>
    <row r="629">
      <c r="A629" s="24"/>
    </row>
    <row r="630">
      <c r="A630" s="24"/>
    </row>
    <row r="631">
      <c r="A631" s="24"/>
    </row>
    <row r="632">
      <c r="A632" s="24"/>
    </row>
    <row r="633">
      <c r="A633" s="24"/>
    </row>
    <row r="634">
      <c r="A634" s="24"/>
    </row>
    <row r="635">
      <c r="A635" s="24"/>
    </row>
    <row r="636">
      <c r="A636" s="24"/>
    </row>
    <row r="637">
      <c r="A637" s="24"/>
    </row>
    <row r="638">
      <c r="A638" s="24"/>
    </row>
    <row r="639">
      <c r="A639" s="24"/>
    </row>
    <row r="640">
      <c r="A640" s="24"/>
    </row>
    <row r="641">
      <c r="A641" s="24"/>
    </row>
    <row r="642">
      <c r="A642" s="24"/>
    </row>
    <row r="643">
      <c r="A643" s="24"/>
    </row>
    <row r="644">
      <c r="A644" s="24"/>
    </row>
    <row r="645">
      <c r="A645" s="24"/>
    </row>
    <row r="646">
      <c r="A646" s="24"/>
    </row>
    <row r="647">
      <c r="A647" s="24"/>
    </row>
    <row r="648">
      <c r="A648" s="24"/>
    </row>
    <row r="649">
      <c r="A649" s="24"/>
    </row>
    <row r="650">
      <c r="A650" s="24"/>
    </row>
    <row r="651">
      <c r="A651" s="24"/>
    </row>
    <row r="652">
      <c r="A652" s="24"/>
    </row>
    <row r="653">
      <c r="A653" s="24"/>
    </row>
    <row r="654">
      <c r="A654" s="24"/>
    </row>
    <row r="655">
      <c r="A655" s="24"/>
    </row>
    <row r="656">
      <c r="A656" s="24"/>
    </row>
    <row r="657">
      <c r="A657" s="24"/>
    </row>
    <row r="658">
      <c r="A658" s="24"/>
    </row>
    <row r="659">
      <c r="A659" s="24"/>
    </row>
    <row r="660">
      <c r="A660" s="24"/>
    </row>
    <row r="661">
      <c r="A661" s="24"/>
    </row>
    <row r="662">
      <c r="A662" s="24"/>
    </row>
    <row r="663">
      <c r="A663" s="24"/>
    </row>
    <row r="664">
      <c r="A664" s="24"/>
    </row>
    <row r="665">
      <c r="A665" s="24"/>
    </row>
    <row r="666">
      <c r="A666" s="24"/>
    </row>
    <row r="667">
      <c r="A667" s="24"/>
    </row>
    <row r="668">
      <c r="A668" s="24"/>
    </row>
    <row r="669">
      <c r="A669" s="24"/>
    </row>
    <row r="670">
      <c r="A670" s="24"/>
    </row>
    <row r="671">
      <c r="A671" s="24"/>
    </row>
    <row r="672">
      <c r="A672" s="24"/>
    </row>
    <row r="673">
      <c r="A673" s="24"/>
    </row>
    <row r="674">
      <c r="A674" s="24"/>
    </row>
    <row r="675">
      <c r="A675" s="24"/>
    </row>
    <row r="676">
      <c r="A676" s="24"/>
    </row>
    <row r="677">
      <c r="A677" s="24"/>
    </row>
    <row r="678">
      <c r="A678" s="24"/>
    </row>
    <row r="679">
      <c r="A679" s="24"/>
    </row>
    <row r="680">
      <c r="A680" s="24"/>
    </row>
    <row r="681">
      <c r="A681" s="24"/>
    </row>
    <row r="682">
      <c r="A682" s="24"/>
    </row>
    <row r="683">
      <c r="A683" s="24"/>
    </row>
    <row r="684">
      <c r="A684" s="24"/>
    </row>
    <row r="685">
      <c r="A685" s="24"/>
    </row>
    <row r="686">
      <c r="A686" s="24"/>
    </row>
    <row r="687">
      <c r="A687" s="24"/>
    </row>
    <row r="688">
      <c r="A688" s="24"/>
    </row>
    <row r="689">
      <c r="A689" s="24"/>
    </row>
    <row r="690">
      <c r="A690" s="24"/>
    </row>
    <row r="691">
      <c r="A691" s="24"/>
    </row>
    <row r="692">
      <c r="A692" s="24"/>
    </row>
    <row r="693">
      <c r="A693" s="24"/>
    </row>
    <row r="694">
      <c r="A694" s="24"/>
    </row>
    <row r="695">
      <c r="A695" s="24"/>
    </row>
    <row r="696">
      <c r="A696" s="24"/>
    </row>
    <row r="697">
      <c r="A697" s="24"/>
    </row>
    <row r="698">
      <c r="A698" s="24"/>
    </row>
    <row r="699">
      <c r="A699" s="24"/>
    </row>
    <row r="700">
      <c r="A700" s="24"/>
    </row>
    <row r="701">
      <c r="A701" s="24"/>
    </row>
    <row r="702">
      <c r="A702" s="24"/>
    </row>
    <row r="703">
      <c r="A703" s="24"/>
    </row>
    <row r="704">
      <c r="A704" s="24"/>
    </row>
    <row r="705">
      <c r="A705" s="24"/>
    </row>
    <row r="706">
      <c r="A706" s="24"/>
    </row>
    <row r="707">
      <c r="A707" s="24"/>
    </row>
    <row r="708">
      <c r="A708" s="24"/>
    </row>
    <row r="709">
      <c r="A709" s="24"/>
    </row>
    <row r="710">
      <c r="A710" s="24"/>
    </row>
    <row r="711">
      <c r="A711" s="24"/>
    </row>
    <row r="712">
      <c r="A712" s="24"/>
    </row>
    <row r="713">
      <c r="A713" s="24"/>
    </row>
    <row r="714">
      <c r="A714" s="24"/>
    </row>
    <row r="715">
      <c r="A715" s="24"/>
    </row>
    <row r="716">
      <c r="A716" s="24"/>
    </row>
    <row r="717">
      <c r="A717" s="24"/>
    </row>
    <row r="718">
      <c r="A718" s="24"/>
    </row>
    <row r="719">
      <c r="A719" s="24"/>
    </row>
    <row r="720">
      <c r="A720" s="24"/>
    </row>
    <row r="721">
      <c r="A721" s="24"/>
    </row>
    <row r="722">
      <c r="A722" s="24"/>
    </row>
    <row r="723">
      <c r="A723" s="24"/>
    </row>
    <row r="724">
      <c r="A724" s="24"/>
    </row>
    <row r="725">
      <c r="A725" s="24"/>
    </row>
    <row r="726">
      <c r="A726" s="24"/>
    </row>
    <row r="727">
      <c r="A727" s="24"/>
    </row>
    <row r="728">
      <c r="A728" s="24"/>
    </row>
    <row r="729">
      <c r="A729" s="24"/>
    </row>
    <row r="730">
      <c r="A730" s="24"/>
    </row>
    <row r="731">
      <c r="A731" s="24"/>
    </row>
    <row r="732">
      <c r="A732" s="24"/>
    </row>
    <row r="733">
      <c r="A733" s="24"/>
    </row>
    <row r="734">
      <c r="A734" s="24"/>
    </row>
    <row r="735">
      <c r="A735" s="24"/>
    </row>
    <row r="736">
      <c r="A736" s="24"/>
    </row>
    <row r="737">
      <c r="A737" s="24"/>
    </row>
    <row r="738">
      <c r="A738" s="24"/>
    </row>
    <row r="739">
      <c r="A739" s="24"/>
    </row>
    <row r="740">
      <c r="A740" s="24"/>
    </row>
    <row r="741">
      <c r="A741" s="24"/>
    </row>
    <row r="742">
      <c r="A742" s="24"/>
    </row>
    <row r="743">
      <c r="A743" s="24"/>
    </row>
    <row r="744">
      <c r="A744" s="24"/>
    </row>
    <row r="745">
      <c r="A745" s="24"/>
    </row>
    <row r="746">
      <c r="A746" s="24"/>
    </row>
    <row r="747">
      <c r="A747" s="24"/>
    </row>
    <row r="748">
      <c r="A748" s="24"/>
    </row>
    <row r="749">
      <c r="A749" s="24"/>
    </row>
    <row r="750">
      <c r="A750" s="24"/>
    </row>
    <row r="751">
      <c r="A751" s="24"/>
    </row>
    <row r="752">
      <c r="A752" s="24"/>
    </row>
    <row r="753">
      <c r="A753" s="24"/>
    </row>
    <row r="754">
      <c r="A754" s="24"/>
    </row>
    <row r="755">
      <c r="A755" s="24"/>
    </row>
    <row r="756">
      <c r="A756" s="24"/>
    </row>
    <row r="757">
      <c r="A757" s="24"/>
    </row>
    <row r="758">
      <c r="A758" s="24"/>
    </row>
    <row r="759">
      <c r="A759" s="24"/>
    </row>
    <row r="760">
      <c r="A760" s="24"/>
    </row>
    <row r="761">
      <c r="A761" s="24"/>
    </row>
    <row r="762">
      <c r="A762" s="24"/>
    </row>
    <row r="763">
      <c r="A763" s="24"/>
    </row>
    <row r="764">
      <c r="A764" s="24"/>
    </row>
    <row r="765">
      <c r="A765" s="24"/>
    </row>
    <row r="766">
      <c r="A766" s="24"/>
    </row>
    <row r="767">
      <c r="A767" s="24"/>
    </row>
    <row r="768">
      <c r="A768" s="24"/>
    </row>
    <row r="769">
      <c r="A769" s="24"/>
    </row>
    <row r="770">
      <c r="A770" s="24"/>
    </row>
    <row r="771">
      <c r="A771" s="24"/>
    </row>
    <row r="772">
      <c r="A772" s="24"/>
    </row>
    <row r="773">
      <c r="A773" s="24"/>
    </row>
    <row r="774">
      <c r="A774" s="24"/>
    </row>
    <row r="775">
      <c r="A775" s="24"/>
    </row>
    <row r="776">
      <c r="A776" s="24"/>
    </row>
    <row r="777">
      <c r="A777" s="24"/>
    </row>
    <row r="778">
      <c r="A778" s="24"/>
    </row>
    <row r="779">
      <c r="A779" s="24"/>
    </row>
    <row r="780">
      <c r="A780" s="24"/>
    </row>
    <row r="781">
      <c r="A781" s="24"/>
    </row>
    <row r="782">
      <c r="A782" s="24"/>
    </row>
    <row r="783">
      <c r="A783" s="24"/>
    </row>
    <row r="784">
      <c r="A784" s="24"/>
    </row>
    <row r="785">
      <c r="A785" s="24"/>
    </row>
    <row r="786">
      <c r="A786" s="24"/>
    </row>
    <row r="787">
      <c r="A787" s="24"/>
    </row>
    <row r="788">
      <c r="A788" s="24"/>
    </row>
    <row r="789">
      <c r="A789" s="24"/>
    </row>
    <row r="790">
      <c r="A790" s="24"/>
    </row>
    <row r="791">
      <c r="A791" s="24"/>
    </row>
    <row r="792">
      <c r="A792" s="24"/>
    </row>
    <row r="793">
      <c r="A793" s="24"/>
    </row>
    <row r="794">
      <c r="A794" s="24"/>
    </row>
    <row r="795">
      <c r="A795" s="24"/>
    </row>
    <row r="796">
      <c r="A796" s="24"/>
    </row>
    <row r="797">
      <c r="A797" s="24"/>
    </row>
    <row r="798">
      <c r="A798" s="24"/>
    </row>
    <row r="799">
      <c r="A799" s="24"/>
    </row>
    <row r="800">
      <c r="A800" s="24"/>
    </row>
    <row r="801">
      <c r="A801" s="24"/>
    </row>
    <row r="802">
      <c r="A802" s="24"/>
    </row>
    <row r="803">
      <c r="A803" s="24"/>
    </row>
    <row r="804">
      <c r="A804" s="24"/>
    </row>
    <row r="805">
      <c r="A805" s="24"/>
    </row>
    <row r="806">
      <c r="A806" s="24"/>
    </row>
    <row r="807">
      <c r="A807" s="24"/>
    </row>
    <row r="808">
      <c r="A808" s="24"/>
    </row>
    <row r="809">
      <c r="A809" s="24"/>
    </row>
    <row r="810">
      <c r="A810" s="24"/>
    </row>
    <row r="811">
      <c r="A811" s="24"/>
    </row>
    <row r="812">
      <c r="A812" s="24"/>
    </row>
    <row r="813">
      <c r="A813" s="24"/>
    </row>
    <row r="814">
      <c r="A814" s="24"/>
    </row>
    <row r="815">
      <c r="A815" s="24"/>
    </row>
    <row r="816">
      <c r="A816" s="24"/>
    </row>
    <row r="817">
      <c r="A817" s="24"/>
    </row>
    <row r="818">
      <c r="A818" s="24"/>
    </row>
    <row r="819">
      <c r="A819" s="24"/>
    </row>
    <row r="820">
      <c r="A820" s="24"/>
    </row>
    <row r="821">
      <c r="A821" s="24"/>
    </row>
    <row r="822">
      <c r="A822" s="24"/>
    </row>
    <row r="823">
      <c r="A823" s="24"/>
    </row>
    <row r="824">
      <c r="A824" s="24"/>
    </row>
    <row r="825">
      <c r="A825" s="24"/>
    </row>
    <row r="826">
      <c r="A826" s="24"/>
    </row>
    <row r="827">
      <c r="A827" s="24"/>
    </row>
    <row r="828">
      <c r="A828" s="24"/>
    </row>
    <row r="829">
      <c r="A829" s="24"/>
    </row>
    <row r="830">
      <c r="A830" s="24"/>
    </row>
    <row r="831">
      <c r="A831" s="24"/>
    </row>
    <row r="832">
      <c r="A832" s="24"/>
    </row>
    <row r="833">
      <c r="A833" s="24"/>
    </row>
    <row r="834">
      <c r="A834" s="24"/>
    </row>
    <row r="835">
      <c r="A835" s="24"/>
    </row>
    <row r="836">
      <c r="A836" s="24"/>
    </row>
    <row r="837">
      <c r="A837" s="24"/>
    </row>
    <row r="838">
      <c r="A838" s="24"/>
    </row>
    <row r="839">
      <c r="A839" s="24"/>
    </row>
    <row r="840">
      <c r="A840" s="24"/>
    </row>
    <row r="841">
      <c r="A841" s="24"/>
    </row>
    <row r="842">
      <c r="A842" s="24"/>
    </row>
    <row r="843">
      <c r="A843" s="24"/>
    </row>
    <row r="844">
      <c r="A844" s="24"/>
    </row>
    <row r="845">
      <c r="A845" s="24"/>
    </row>
    <row r="846">
      <c r="A846" s="24"/>
    </row>
    <row r="847">
      <c r="A847" s="24"/>
    </row>
    <row r="848">
      <c r="A848" s="24"/>
    </row>
    <row r="849">
      <c r="A849" s="24"/>
    </row>
    <row r="850">
      <c r="A850" s="24"/>
    </row>
    <row r="851">
      <c r="A851" s="24"/>
    </row>
    <row r="852">
      <c r="A852" s="24"/>
    </row>
    <row r="853">
      <c r="A853" s="24"/>
    </row>
    <row r="854">
      <c r="A854" s="24"/>
    </row>
    <row r="855">
      <c r="A855" s="24"/>
    </row>
    <row r="856">
      <c r="A856" s="24"/>
    </row>
    <row r="857">
      <c r="A857" s="24"/>
    </row>
    <row r="858">
      <c r="A858" s="24"/>
    </row>
    <row r="859">
      <c r="A859" s="24"/>
    </row>
    <row r="860">
      <c r="A860" s="24"/>
    </row>
    <row r="861">
      <c r="A861" s="24"/>
    </row>
    <row r="862">
      <c r="A862" s="24"/>
    </row>
    <row r="863">
      <c r="A863" s="24"/>
    </row>
    <row r="864">
      <c r="A864" s="24"/>
    </row>
    <row r="865">
      <c r="A865" s="24"/>
    </row>
    <row r="866">
      <c r="A866" s="24"/>
    </row>
    <row r="867">
      <c r="A867" s="24"/>
    </row>
    <row r="868">
      <c r="A868" s="24"/>
    </row>
    <row r="869">
      <c r="A869" s="24"/>
    </row>
    <row r="870">
      <c r="A870" s="24"/>
    </row>
    <row r="871">
      <c r="A871" s="24"/>
    </row>
    <row r="872">
      <c r="A872" s="24"/>
    </row>
    <row r="873">
      <c r="A873" s="24"/>
    </row>
    <row r="874">
      <c r="A874" s="24"/>
    </row>
    <row r="875">
      <c r="A875" s="24"/>
    </row>
    <row r="876">
      <c r="A876" s="24"/>
    </row>
    <row r="877">
      <c r="A877" s="24"/>
    </row>
    <row r="878">
      <c r="A878" s="24"/>
    </row>
    <row r="879">
      <c r="A879" s="24"/>
    </row>
    <row r="880">
      <c r="A880" s="24"/>
    </row>
    <row r="881">
      <c r="A881" s="24"/>
    </row>
    <row r="882">
      <c r="A882" s="24"/>
    </row>
    <row r="883">
      <c r="A883" s="24"/>
    </row>
    <row r="884">
      <c r="A884" s="24"/>
    </row>
    <row r="885">
      <c r="A885" s="24"/>
    </row>
    <row r="886">
      <c r="A886" s="24"/>
    </row>
    <row r="887">
      <c r="A887" s="24"/>
    </row>
    <row r="888">
      <c r="A888" s="24"/>
    </row>
    <row r="889">
      <c r="A889" s="24"/>
    </row>
    <row r="890">
      <c r="A890" s="24"/>
    </row>
    <row r="891">
      <c r="A891" s="24"/>
    </row>
    <row r="892">
      <c r="A892" s="24"/>
    </row>
    <row r="893">
      <c r="A893" s="24"/>
    </row>
    <row r="894">
      <c r="A894" s="24"/>
    </row>
    <row r="895">
      <c r="A895" s="24"/>
    </row>
    <row r="896">
      <c r="A896" s="24"/>
    </row>
    <row r="897">
      <c r="A897" s="24"/>
    </row>
    <row r="898">
      <c r="A898" s="24"/>
    </row>
    <row r="899">
      <c r="A899" s="24"/>
    </row>
    <row r="900">
      <c r="A900" s="24"/>
    </row>
    <row r="901">
      <c r="A901" s="24"/>
    </row>
    <row r="902">
      <c r="A902" s="24"/>
    </row>
    <row r="903">
      <c r="A903" s="24"/>
    </row>
    <row r="904">
      <c r="A904" s="24"/>
    </row>
    <row r="905">
      <c r="A905" s="24"/>
    </row>
    <row r="906">
      <c r="A906" s="24"/>
    </row>
    <row r="907">
      <c r="A907" s="24"/>
    </row>
    <row r="908">
      <c r="A908" s="24"/>
    </row>
    <row r="909">
      <c r="A909" s="24"/>
    </row>
    <row r="910">
      <c r="A910" s="24"/>
    </row>
    <row r="911">
      <c r="A911" s="24"/>
    </row>
    <row r="912">
      <c r="A912" s="24"/>
    </row>
    <row r="913">
      <c r="A913" s="24"/>
    </row>
    <row r="914">
      <c r="A914" s="24"/>
    </row>
    <row r="915">
      <c r="A915" s="24"/>
    </row>
    <row r="916">
      <c r="A916" s="24"/>
    </row>
    <row r="917">
      <c r="A917" s="24"/>
    </row>
    <row r="918">
      <c r="A918" s="24"/>
    </row>
    <row r="919">
      <c r="A919" s="24"/>
    </row>
    <row r="920">
      <c r="A920" s="24"/>
    </row>
    <row r="921">
      <c r="A921" s="24"/>
    </row>
    <row r="922">
      <c r="A922" s="24"/>
    </row>
    <row r="923">
      <c r="A923" s="24"/>
    </row>
    <row r="924">
      <c r="A924" s="24"/>
    </row>
    <row r="925">
      <c r="A925" s="24"/>
    </row>
    <row r="926">
      <c r="A926" s="24"/>
    </row>
    <row r="927">
      <c r="A927" s="24"/>
    </row>
    <row r="928">
      <c r="A928" s="24"/>
    </row>
    <row r="929">
      <c r="A929" s="24"/>
    </row>
    <row r="930">
      <c r="A930" s="24"/>
    </row>
    <row r="931">
      <c r="A931" s="24"/>
    </row>
    <row r="932">
      <c r="A932" s="24"/>
    </row>
    <row r="933">
      <c r="A933" s="24"/>
    </row>
    <row r="934">
      <c r="A934" s="24"/>
    </row>
    <row r="935">
      <c r="A935" s="24"/>
    </row>
    <row r="936">
      <c r="A936" s="24"/>
    </row>
    <row r="937">
      <c r="A937" s="24"/>
    </row>
    <row r="938">
      <c r="A938" s="24"/>
    </row>
    <row r="939">
      <c r="A939" s="24"/>
    </row>
    <row r="940">
      <c r="A940" s="24"/>
    </row>
    <row r="941">
      <c r="A941" s="24"/>
    </row>
    <row r="942">
      <c r="A942" s="24"/>
    </row>
    <row r="943">
      <c r="A943" s="24"/>
    </row>
    <row r="944">
      <c r="A944" s="24"/>
    </row>
    <row r="945">
      <c r="A945" s="24"/>
    </row>
    <row r="946">
      <c r="A946" s="24"/>
    </row>
    <row r="947">
      <c r="A947" s="24"/>
    </row>
    <row r="948">
      <c r="A948" s="24"/>
    </row>
    <row r="949">
      <c r="A949" s="24"/>
    </row>
    <row r="950">
      <c r="A950" s="24"/>
    </row>
    <row r="951">
      <c r="A951" s="24"/>
    </row>
    <row r="952">
      <c r="A952" s="24"/>
    </row>
    <row r="953">
      <c r="A953" s="24"/>
    </row>
  </sheetData>
  <autoFilter ref="$A$1:$D$51">
    <sortState ref="A1:D51">
      <sortCondition descending="1" ref="C1:C51"/>
    </sortState>
  </autoFilter>
  <mergeCells count="1">
    <mergeCell ref="C1:D1"/>
  </mergeCells>
  <drawing r:id="rId1"/>
</worksheet>
</file>
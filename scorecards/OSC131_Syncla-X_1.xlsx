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Results!$A$1:$D$14</definedName>
  </definedNames>
  <calcPr/>
</workbook>
</file>

<file path=xl/sharedStrings.xml><?xml version="1.0" encoding="utf-8"?>
<sst xmlns="http://schemas.openxmlformats.org/spreadsheetml/2006/main" count="83" uniqueCount="53">
  <si>
    <t>Name</t>
  </si>
  <si>
    <t>Score</t>
  </si>
  <si>
    <t>Taron - Reef</t>
  </si>
  <si>
    <t>pts</t>
  </si>
  <si>
    <t>exponent1 - Bhavisya</t>
  </si>
  <si>
    <t>zarf - undergy</t>
  </si>
  <si>
    <t>vert-hex - Transfer Protocol</t>
  </si>
  <si>
    <t>bh9090 - z-low</t>
  </si>
  <si>
    <t>ELEX - The Kingdom Of Eleven</t>
  </si>
  <si>
    <t>Aetherlight - Synclassic</t>
  </si>
  <si>
    <t>DoctorBob - Synclapations</t>
  </si>
  <si>
    <t>Leonard Bowman - five shades of blue but not gloomy</t>
  </si>
  <si>
    <t>functionform - Preset 1</t>
  </si>
  <si>
    <t>IV! - Mystery Acoustic Desynclafication</t>
  </si>
  <si>
    <t>knc - On going placement</t>
  </si>
  <si>
    <t>dq</t>
  </si>
  <si>
    <t>574x - The Greatest Asset Of Every Business Is Addiction</t>
  </si>
  <si>
    <t>Voter Name (KVR nick)</t>
  </si>
  <si>
    <t>Gen. Score *</t>
  </si>
  <si>
    <t>Aetherlight</t>
  </si>
  <si>
    <t>bh9090</t>
  </si>
  <si>
    <t>Dirtgrain</t>
  </si>
  <si>
    <t>doctorbob</t>
  </si>
  <si>
    <t>eauson</t>
  </si>
  <si>
    <t>ELEX</t>
  </si>
  <si>
    <t>exponent1</t>
  </si>
  <si>
    <t>functionform</t>
  </si>
  <si>
    <t>Gorgorgathgorgorgor</t>
  </si>
  <si>
    <t>IV</t>
  </si>
  <si>
    <t>knc</t>
  </si>
  <si>
    <t>Leonard Bowman</t>
  </si>
  <si>
    <t>Medniex</t>
  </si>
  <si>
    <t>Taron</t>
  </si>
  <si>
    <t>vert-hex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</si>
  <si>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</si>
  <si>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</si>
  <si>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</si>
  <si>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</si>
  <si>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</si>
  <si>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</si>
  <si>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</si>
  <si>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</si>
  <si>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</si>
  <si>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</si>
  <si>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</si>
  <si>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</si>
  <si>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</si>
  <si>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</si>
  <si>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discoDSP: Discovery</t>
  </si>
  <si>
    <t>sent</t>
  </si>
  <si>
    <t>Outer Space by AudioThing</t>
  </si>
  <si>
    <t>SoundGym subscription</t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</si>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</sst>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1.0"/>
      <color rgb="FF666666"/>
      <name val="Arial"/>
    </font>
    <font>
      <sz val="9.0"/>
      <color rgb="FF666666"/>
      <name val="Arial"/>
    </font>
    <font>
      <sz val="11.0"/>
      <color rgb="FFA61D4C"/>
      <name val="Inconsolata"/>
    </font>
    <font>
      <sz val="11.0"/>
      <color rgb="FF000000"/>
      <name val="Inconsolata"/>
    </font>
    <font>
      <color theme="1"/>
      <name val="Arial"/>
      <scheme val="minor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sz val="11.0"/>
      <color rgb="FF333333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E7"/>
        <bgColor rgb="FFFFFFE7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  <fill>
      <patternFill patternType="solid">
        <fgColor rgb="FFF1F3F3"/>
        <bgColor rgb="FFF1F3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1" fillId="2" fontId="5" numFmtId="0" xfId="0" applyAlignment="1" applyBorder="1" applyFill="1" applyFon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0" fillId="2" fontId="5" numFmtId="0" xfId="0" applyAlignment="1" applyFont="1">
      <alignment vertical="bottom"/>
    </xf>
    <xf borderId="0" fillId="0" fontId="7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1" fillId="0" fontId="8" numFmtId="0" xfId="0" applyAlignment="1" applyBorder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4" fontId="1" numFmtId="0" xfId="0" applyAlignment="1" applyFill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2" fontId="9" numFmtId="9" xfId="0" applyAlignment="1" applyFont="1" applyNumberFormat="1">
      <alignment horizontal="right" vertical="bottom"/>
    </xf>
    <xf borderId="0" fillId="5" fontId="7" numFmtId="0" xfId="0" applyAlignment="1" applyFill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1" fillId="0" fontId="12" numFmtId="0" xfId="0" applyAlignment="1" applyBorder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7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190500</xdr:colOff>
      <xdr:row>25</xdr:row>
      <xdr:rowOff>104775</xdr:rowOff>
    </xdr:from>
    <xdr:ext cx="2533650" cy="2533650"/>
    <xdr:pic>
      <xdr:nvPicPr>
        <xdr:cNvPr id="35877973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42.63"/>
    <col customWidth="1" min="3" max="3" width="4.88"/>
    <col customWidth="1" min="4" max="4" width="6.63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1" t="s">
        <v>2</v>
      </c>
      <c r="C2" s="4">
        <v>71.0</v>
      </c>
      <c r="D2" s="5" t="s">
        <v>3</v>
      </c>
    </row>
    <row r="3">
      <c r="A3" s="3">
        <v>2.0</v>
      </c>
      <c r="B3" s="1" t="s">
        <v>4</v>
      </c>
      <c r="C3" s="4">
        <v>69.0</v>
      </c>
      <c r="D3" s="5" t="s">
        <v>3</v>
      </c>
    </row>
    <row r="4">
      <c r="A4" s="3">
        <v>3.0</v>
      </c>
      <c r="B4" s="1" t="s">
        <v>5</v>
      </c>
      <c r="C4" s="4">
        <v>67.0</v>
      </c>
      <c r="D4" s="5" t="s">
        <v>3</v>
      </c>
    </row>
    <row r="5">
      <c r="A5" s="3">
        <v>4.0</v>
      </c>
      <c r="B5" s="1" t="s">
        <v>6</v>
      </c>
      <c r="C5" s="4">
        <v>62.0</v>
      </c>
      <c r="D5" s="5" t="s">
        <v>3</v>
      </c>
    </row>
    <row r="6">
      <c r="A6" s="3">
        <v>5.0</v>
      </c>
      <c r="B6" s="1" t="s">
        <v>7</v>
      </c>
      <c r="C6" s="4">
        <v>58.0</v>
      </c>
      <c r="D6" s="5" t="s">
        <v>3</v>
      </c>
    </row>
    <row r="7">
      <c r="A7" s="3">
        <v>6.0</v>
      </c>
      <c r="B7" s="1" t="s">
        <v>8</v>
      </c>
      <c r="C7" s="4">
        <v>56.0</v>
      </c>
      <c r="D7" s="5" t="s">
        <v>3</v>
      </c>
    </row>
    <row r="8">
      <c r="A8" s="3">
        <v>7.0</v>
      </c>
      <c r="B8" s="1" t="s">
        <v>9</v>
      </c>
      <c r="C8" s="4">
        <v>56.0</v>
      </c>
      <c r="D8" s="5" t="s">
        <v>3</v>
      </c>
    </row>
    <row r="9">
      <c r="A9" s="3">
        <v>8.0</v>
      </c>
      <c r="B9" s="1" t="s">
        <v>10</v>
      </c>
      <c r="C9" s="4">
        <v>53.0</v>
      </c>
      <c r="D9" s="5" t="s">
        <v>3</v>
      </c>
    </row>
    <row r="10">
      <c r="A10" s="3">
        <v>9.0</v>
      </c>
      <c r="B10" s="1" t="s">
        <v>11</v>
      </c>
      <c r="C10" s="4">
        <v>52.0</v>
      </c>
      <c r="D10" s="5" t="s">
        <v>3</v>
      </c>
    </row>
    <row r="11">
      <c r="A11" s="3">
        <v>10.0</v>
      </c>
      <c r="B11" s="1" t="s">
        <v>12</v>
      </c>
      <c r="C11" s="4">
        <v>47.0</v>
      </c>
      <c r="D11" s="5" t="s">
        <v>3</v>
      </c>
    </row>
    <row r="12">
      <c r="A12" s="3">
        <v>11.0</v>
      </c>
      <c r="B12" s="1" t="s">
        <v>13</v>
      </c>
      <c r="C12" s="4">
        <v>42.0</v>
      </c>
      <c r="D12" s="5" t="s">
        <v>3</v>
      </c>
    </row>
    <row r="13">
      <c r="A13" s="3">
        <v>12.0</v>
      </c>
      <c r="B13" s="1" t="s">
        <v>14</v>
      </c>
      <c r="C13" s="4">
        <v>42.0</v>
      </c>
      <c r="D13" s="5" t="s">
        <v>3</v>
      </c>
    </row>
    <row r="14">
      <c r="A14" s="6" t="s">
        <v>15</v>
      </c>
      <c r="B14" s="1" t="s">
        <v>16</v>
      </c>
      <c r="C14" s="4">
        <v>68.0</v>
      </c>
      <c r="D14" s="5" t="s">
        <v>3</v>
      </c>
    </row>
    <row r="36">
      <c r="F36" s="7"/>
      <c r="G36" s="8"/>
      <c r="H36" s="8"/>
      <c r="I36" s="8"/>
      <c r="J36" s="8"/>
      <c r="K36" s="8"/>
    </row>
    <row r="37">
      <c r="F37" s="1"/>
      <c r="G37" s="1"/>
      <c r="H37" s="1"/>
      <c r="I37" s="1"/>
      <c r="J37" s="1"/>
      <c r="K37" s="1"/>
    </row>
    <row r="38">
      <c r="F38" s="7"/>
      <c r="G38" s="8"/>
      <c r="H38" s="8"/>
      <c r="I38" s="1"/>
      <c r="J38" s="1"/>
      <c r="K38" s="1"/>
    </row>
    <row r="39">
      <c r="F39" s="7"/>
      <c r="G39" s="8"/>
      <c r="H39" s="8"/>
      <c r="I39" s="1"/>
      <c r="J39" s="1"/>
      <c r="K39" s="1"/>
    </row>
    <row r="40">
      <c r="F40" s="7"/>
      <c r="G40" s="8"/>
      <c r="H40" s="8"/>
      <c r="I40" s="1"/>
      <c r="J40" s="1"/>
      <c r="K40" s="1"/>
    </row>
    <row r="41">
      <c r="F41" s="7"/>
      <c r="G41" s="8"/>
      <c r="H41" s="8"/>
      <c r="I41" s="1"/>
      <c r="J41" s="1"/>
      <c r="K41" s="1"/>
    </row>
    <row r="42">
      <c r="F42" s="7"/>
      <c r="G42" s="8"/>
      <c r="H42" s="8"/>
      <c r="I42" s="8"/>
      <c r="J42" s="1"/>
      <c r="K42" s="1"/>
    </row>
    <row r="43">
      <c r="F43" s="1"/>
      <c r="G43" s="1"/>
      <c r="H43" s="1"/>
      <c r="I43" s="1"/>
      <c r="J43" s="1"/>
      <c r="K43" s="1"/>
    </row>
    <row r="44">
      <c r="F44" s="9"/>
      <c r="G44" s="8"/>
      <c r="H44" s="1"/>
      <c r="I44" s="1"/>
      <c r="J44" s="1"/>
      <c r="K44" s="1"/>
    </row>
    <row r="45">
      <c r="F45" s="9"/>
      <c r="G45" s="8"/>
      <c r="H45" s="8"/>
      <c r="I45" s="1"/>
      <c r="J45" s="1"/>
      <c r="K45" s="1"/>
    </row>
    <row r="46">
      <c r="F46" s="9"/>
      <c r="G46" s="8"/>
      <c r="H46" s="1"/>
      <c r="I46" s="1"/>
      <c r="J46" s="1"/>
      <c r="K46" s="1"/>
    </row>
    <row r="47">
      <c r="F47" s="9"/>
      <c r="G47" s="8"/>
      <c r="H47" s="1"/>
      <c r="I47" s="1"/>
      <c r="J47" s="1"/>
      <c r="K47" s="1"/>
    </row>
    <row r="48">
      <c r="F48" s="9"/>
      <c r="G48" s="8"/>
      <c r="H48" s="8"/>
      <c r="I48" s="8"/>
      <c r="J48" s="1"/>
      <c r="K48" s="1"/>
    </row>
    <row r="49">
      <c r="F49" s="9"/>
      <c r="G49" s="8"/>
      <c r="H49" s="1"/>
      <c r="I49" s="1"/>
      <c r="J49" s="1"/>
      <c r="K49" s="1"/>
    </row>
    <row r="50">
      <c r="F50" s="9"/>
      <c r="G50" s="8"/>
      <c r="H50" s="1"/>
      <c r="I50" s="1"/>
      <c r="J50" s="1"/>
      <c r="K50" s="1"/>
    </row>
    <row r="51">
      <c r="F51" s="9"/>
      <c r="G51" s="8"/>
      <c r="H51" s="8"/>
      <c r="I51" s="1"/>
      <c r="J51" s="1"/>
      <c r="K51" s="1"/>
    </row>
    <row r="52">
      <c r="F52" s="9"/>
      <c r="G52" s="8"/>
      <c r="H52" s="8"/>
      <c r="I52" s="1"/>
      <c r="J52" s="1"/>
      <c r="K52" s="1"/>
    </row>
    <row r="53">
      <c r="F53" s="7"/>
      <c r="G53" s="8"/>
      <c r="H53" s="1"/>
      <c r="I53" s="1"/>
      <c r="J53" s="1"/>
      <c r="K53" s="1"/>
    </row>
    <row r="54">
      <c r="F54" s="7"/>
      <c r="G54" s="8"/>
      <c r="H54" s="8"/>
      <c r="I54" s="8"/>
      <c r="J54" s="8"/>
      <c r="K54" s="8"/>
    </row>
    <row r="55">
      <c r="F55" s="1"/>
      <c r="G55" s="1"/>
      <c r="H55" s="1"/>
      <c r="I55" s="1"/>
      <c r="J55" s="1"/>
      <c r="K55" s="1"/>
    </row>
    <row r="56">
      <c r="F56" s="7"/>
      <c r="G56" s="8"/>
      <c r="H56" s="8"/>
      <c r="I56" s="8"/>
      <c r="J56" s="1"/>
      <c r="K56" s="1"/>
    </row>
    <row r="57">
      <c r="F57" s="1"/>
      <c r="G57" s="1"/>
      <c r="H57" s="1"/>
      <c r="I57" s="1"/>
      <c r="J57" s="1"/>
      <c r="K57" s="1"/>
    </row>
    <row r="58">
      <c r="F58" s="10"/>
      <c r="G58" s="8"/>
      <c r="H58" s="8"/>
      <c r="I58" s="1"/>
      <c r="J58" s="1"/>
      <c r="K58" s="1"/>
    </row>
    <row r="59">
      <c r="G59" s="8"/>
      <c r="H59" s="8"/>
      <c r="I59" s="8"/>
      <c r="J59" s="8"/>
      <c r="K59" s="1"/>
    </row>
    <row r="60">
      <c r="F60" s="9"/>
      <c r="G60" s="8"/>
      <c r="H60" s="1"/>
      <c r="I60" s="1"/>
      <c r="J60" s="1"/>
      <c r="K60" s="1"/>
    </row>
    <row r="61">
      <c r="F61" s="11"/>
      <c r="G61" s="1"/>
      <c r="H61" s="1"/>
      <c r="I61" s="1"/>
      <c r="J61" s="1"/>
      <c r="K61" s="1"/>
    </row>
    <row r="62">
      <c r="F62" s="11"/>
      <c r="G62" s="1"/>
      <c r="H62" s="1"/>
      <c r="I62" s="1"/>
      <c r="J62" s="1"/>
      <c r="K62" s="1"/>
    </row>
  </sheetData>
  <autoFilter ref="$A$1:$D$14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17</v>
      </c>
      <c r="B1" s="13" t="s">
        <v>16</v>
      </c>
      <c r="C1" s="12" t="s">
        <v>9</v>
      </c>
      <c r="D1" s="12" t="s">
        <v>7</v>
      </c>
      <c r="E1" s="12" t="s">
        <v>10</v>
      </c>
      <c r="F1" s="12" t="s">
        <v>8</v>
      </c>
      <c r="G1" s="12" t="s">
        <v>4</v>
      </c>
      <c r="H1" s="12" t="s">
        <v>12</v>
      </c>
      <c r="I1" s="12" t="s">
        <v>13</v>
      </c>
      <c r="J1" s="12" t="s">
        <v>14</v>
      </c>
      <c r="K1" s="12" t="s">
        <v>11</v>
      </c>
      <c r="L1" s="12" t="s">
        <v>2</v>
      </c>
      <c r="M1" s="12" t="s">
        <v>6</v>
      </c>
      <c r="N1" s="12" t="s">
        <v>5</v>
      </c>
      <c r="O1" s="14" t="s">
        <v>18</v>
      </c>
      <c r="P1" s="15"/>
    </row>
    <row r="2">
      <c r="A2" s="12" t="s">
        <v>19</v>
      </c>
      <c r="B2" s="12">
        <v>5.0</v>
      </c>
      <c r="C2" s="16">
        <v>1.0</v>
      </c>
      <c r="D2" s="12">
        <v>5.0</v>
      </c>
      <c r="E2" s="12">
        <v>4.0</v>
      </c>
      <c r="F2" s="12">
        <v>5.0</v>
      </c>
      <c r="G2" s="12">
        <v>5.0</v>
      </c>
      <c r="H2" s="12">
        <v>4.0</v>
      </c>
      <c r="I2" s="12">
        <v>3.0</v>
      </c>
      <c r="J2" s="12">
        <v>2.0</v>
      </c>
      <c r="K2" s="12">
        <v>4.0</v>
      </c>
      <c r="L2" s="12">
        <v>5.0</v>
      </c>
      <c r="M2" s="12">
        <v>4.0</v>
      </c>
      <c r="N2" s="12">
        <v>4.0</v>
      </c>
      <c r="O2" s="17">
        <f t="shared" ref="O2:O17" si="1">SUM(B2:N2)</f>
        <v>51</v>
      </c>
      <c r="P2" s="18">
        <f t="shared" ref="P2:P17" si="2">(O2-$B$27)/$B$27</f>
        <v>0.09825033647</v>
      </c>
    </row>
    <row r="3">
      <c r="A3" s="12" t="s">
        <v>20</v>
      </c>
      <c r="B3" s="12">
        <v>5.0</v>
      </c>
      <c r="C3" s="12">
        <v>4.0</v>
      </c>
      <c r="D3" s="16">
        <v>1.0</v>
      </c>
      <c r="E3" s="12">
        <v>4.0</v>
      </c>
      <c r="F3" s="12">
        <v>3.0</v>
      </c>
      <c r="G3" s="12">
        <v>5.0</v>
      </c>
      <c r="H3" s="12">
        <v>4.0</v>
      </c>
      <c r="I3" s="12">
        <v>3.0</v>
      </c>
      <c r="J3" s="12">
        <v>4.0</v>
      </c>
      <c r="K3" s="12">
        <v>3.0</v>
      </c>
      <c r="L3" s="12">
        <v>4.0</v>
      </c>
      <c r="M3" s="12">
        <v>4.0</v>
      </c>
      <c r="N3" s="12">
        <v>5.0</v>
      </c>
      <c r="O3" s="17">
        <f t="shared" si="1"/>
        <v>49</v>
      </c>
      <c r="P3" s="18">
        <f t="shared" si="2"/>
        <v>0.05518169583</v>
      </c>
    </row>
    <row r="4">
      <c r="A4" s="19" t="s">
        <v>21</v>
      </c>
      <c r="B4" s="12">
        <v>4.0</v>
      </c>
      <c r="C4" s="12">
        <v>3.0</v>
      </c>
      <c r="D4" s="12">
        <v>3.0</v>
      </c>
      <c r="E4" s="12">
        <v>1.0</v>
      </c>
      <c r="F4" s="12">
        <v>1.0</v>
      </c>
      <c r="G4" s="12">
        <v>5.0</v>
      </c>
      <c r="H4" s="12">
        <v>1.0</v>
      </c>
      <c r="I4" s="12">
        <v>1.0</v>
      </c>
      <c r="J4" s="12">
        <v>2.0</v>
      </c>
      <c r="K4" s="12">
        <v>2.0</v>
      </c>
      <c r="L4" s="12">
        <v>4.0</v>
      </c>
      <c r="M4" s="12">
        <v>4.0</v>
      </c>
      <c r="N4" s="12">
        <v>2.0</v>
      </c>
      <c r="O4" s="17">
        <f t="shared" si="1"/>
        <v>33</v>
      </c>
      <c r="P4" s="18">
        <f t="shared" si="2"/>
        <v>-0.2893674293</v>
      </c>
    </row>
    <row r="5">
      <c r="A5" s="12" t="s">
        <v>22</v>
      </c>
      <c r="B5" s="12">
        <v>3.0</v>
      </c>
      <c r="C5" s="12">
        <v>3.0</v>
      </c>
      <c r="D5" s="12">
        <v>4.0</v>
      </c>
      <c r="E5" s="16">
        <v>1.0</v>
      </c>
      <c r="F5" s="12">
        <v>5.0</v>
      </c>
      <c r="G5" s="12">
        <v>4.0</v>
      </c>
      <c r="H5" s="12">
        <v>3.0</v>
      </c>
      <c r="I5" s="12">
        <v>3.0</v>
      </c>
      <c r="J5" s="12">
        <v>3.0</v>
      </c>
      <c r="K5" s="12">
        <v>4.0</v>
      </c>
      <c r="L5" s="12">
        <v>5.0</v>
      </c>
      <c r="M5" s="12">
        <v>4.0</v>
      </c>
      <c r="N5" s="12">
        <v>4.0</v>
      </c>
      <c r="O5" s="17">
        <f t="shared" si="1"/>
        <v>46</v>
      </c>
      <c r="P5" s="18">
        <f t="shared" si="2"/>
        <v>-0.009421265141</v>
      </c>
    </row>
    <row r="6">
      <c r="A6" s="19" t="s">
        <v>23</v>
      </c>
      <c r="B6" s="12">
        <v>4.0</v>
      </c>
      <c r="C6" s="12">
        <v>4.0</v>
      </c>
      <c r="D6" s="12">
        <v>3.0</v>
      </c>
      <c r="E6" s="12">
        <v>3.0</v>
      </c>
      <c r="F6" s="12">
        <v>3.0</v>
      </c>
      <c r="G6" s="12">
        <v>4.0</v>
      </c>
      <c r="H6" s="12">
        <v>3.0</v>
      </c>
      <c r="I6" s="12">
        <v>2.0</v>
      </c>
      <c r="J6" s="12">
        <v>3.0</v>
      </c>
      <c r="K6" s="12">
        <v>3.0</v>
      </c>
      <c r="L6" s="12">
        <v>4.0</v>
      </c>
      <c r="M6" s="12">
        <v>4.0</v>
      </c>
      <c r="N6" s="12">
        <v>5.0</v>
      </c>
      <c r="O6" s="17">
        <f t="shared" si="1"/>
        <v>45</v>
      </c>
      <c r="P6" s="18">
        <f t="shared" si="2"/>
        <v>-0.03095558546</v>
      </c>
    </row>
    <row r="7">
      <c r="A7" s="12" t="s">
        <v>24</v>
      </c>
      <c r="B7" s="12">
        <v>4.0</v>
      </c>
      <c r="C7" s="12">
        <v>3.0</v>
      </c>
      <c r="D7" s="12">
        <v>5.0</v>
      </c>
      <c r="E7" s="12">
        <v>3.0</v>
      </c>
      <c r="F7" s="16">
        <v>1.0</v>
      </c>
      <c r="G7" s="12">
        <v>4.0</v>
      </c>
      <c r="H7" s="12">
        <v>3.0</v>
      </c>
      <c r="I7" s="12">
        <v>3.0</v>
      </c>
      <c r="J7" s="12">
        <v>3.0</v>
      </c>
      <c r="K7" s="12">
        <v>4.0</v>
      </c>
      <c r="L7" s="12">
        <v>5.0</v>
      </c>
      <c r="M7" s="12">
        <v>4.0</v>
      </c>
      <c r="N7" s="12">
        <v>5.0</v>
      </c>
      <c r="O7" s="17">
        <f t="shared" si="1"/>
        <v>47</v>
      </c>
      <c r="P7" s="18">
        <f t="shared" si="2"/>
        <v>0.01211305518</v>
      </c>
    </row>
    <row r="8">
      <c r="A8" s="12" t="s">
        <v>25</v>
      </c>
      <c r="B8" s="12">
        <v>5.0</v>
      </c>
      <c r="C8" s="12">
        <v>4.0</v>
      </c>
      <c r="D8" s="12">
        <v>4.0</v>
      </c>
      <c r="E8" s="12">
        <v>4.0</v>
      </c>
      <c r="F8" s="12">
        <v>4.0</v>
      </c>
      <c r="G8" s="16">
        <v>1.0</v>
      </c>
      <c r="H8" s="12">
        <v>3.0</v>
      </c>
      <c r="I8" s="12">
        <v>3.0</v>
      </c>
      <c r="J8" s="12">
        <v>4.0</v>
      </c>
      <c r="K8" s="12">
        <v>4.0</v>
      </c>
      <c r="L8" s="12">
        <v>5.0</v>
      </c>
      <c r="M8" s="12">
        <v>3.0</v>
      </c>
      <c r="N8" s="12">
        <v>5.0</v>
      </c>
      <c r="O8" s="17">
        <f t="shared" si="1"/>
        <v>49</v>
      </c>
      <c r="P8" s="18">
        <f t="shared" si="2"/>
        <v>0.05518169583</v>
      </c>
    </row>
    <row r="9">
      <c r="A9" s="12" t="s">
        <v>26</v>
      </c>
      <c r="B9" s="12">
        <v>5.0</v>
      </c>
      <c r="C9" s="12">
        <v>3.0</v>
      </c>
      <c r="D9" s="12">
        <v>4.0</v>
      </c>
      <c r="E9" s="12">
        <v>4.0</v>
      </c>
      <c r="F9" s="12">
        <v>5.0</v>
      </c>
      <c r="G9" s="12">
        <v>4.0</v>
      </c>
      <c r="H9" s="16">
        <v>1.0</v>
      </c>
      <c r="I9" s="12">
        <v>4.0</v>
      </c>
      <c r="J9" s="12">
        <v>3.0</v>
      </c>
      <c r="K9" s="12">
        <v>5.0</v>
      </c>
      <c r="L9" s="12">
        <v>5.0</v>
      </c>
      <c r="M9" s="12">
        <v>4.0</v>
      </c>
      <c r="N9" s="12">
        <v>5.0</v>
      </c>
      <c r="O9" s="17">
        <f t="shared" si="1"/>
        <v>52</v>
      </c>
      <c r="P9" s="18">
        <f t="shared" si="2"/>
        <v>0.1197846568</v>
      </c>
    </row>
    <row r="10">
      <c r="A10" s="19" t="s">
        <v>27</v>
      </c>
      <c r="B10" s="12">
        <v>3.0</v>
      </c>
      <c r="C10" s="12">
        <v>3.0</v>
      </c>
      <c r="D10" s="12">
        <v>3.0</v>
      </c>
      <c r="E10" s="12">
        <v>2.0</v>
      </c>
      <c r="F10" s="12">
        <v>2.0</v>
      </c>
      <c r="G10" s="12">
        <v>4.0</v>
      </c>
      <c r="H10" s="12">
        <v>1.0</v>
      </c>
      <c r="I10" s="12">
        <v>1.0</v>
      </c>
      <c r="J10" s="12">
        <v>1.0</v>
      </c>
      <c r="K10" s="12">
        <v>2.0</v>
      </c>
      <c r="L10" s="12">
        <v>5.0</v>
      </c>
      <c r="M10" s="12">
        <v>4.0</v>
      </c>
      <c r="N10" s="12">
        <v>4.0</v>
      </c>
      <c r="O10" s="17">
        <f t="shared" si="1"/>
        <v>35</v>
      </c>
      <c r="P10" s="18">
        <f t="shared" si="2"/>
        <v>-0.2462987887</v>
      </c>
    </row>
    <row r="11">
      <c r="A11" s="12" t="s">
        <v>28</v>
      </c>
      <c r="B11" s="12">
        <v>3.0</v>
      </c>
      <c r="C11" s="12">
        <v>5.0</v>
      </c>
      <c r="D11" s="12">
        <v>3.0</v>
      </c>
      <c r="E11" s="12">
        <v>5.0</v>
      </c>
      <c r="F11" s="12">
        <v>4.0</v>
      </c>
      <c r="G11" s="12">
        <v>5.0</v>
      </c>
      <c r="H11" s="12">
        <v>4.0</v>
      </c>
      <c r="I11" s="16">
        <v>1.0</v>
      </c>
      <c r="J11" s="12">
        <v>3.0</v>
      </c>
      <c r="K11" s="12">
        <v>4.0</v>
      </c>
      <c r="L11" s="12">
        <v>5.0</v>
      </c>
      <c r="M11" s="12">
        <v>4.0</v>
      </c>
      <c r="N11" s="12">
        <v>5.0</v>
      </c>
      <c r="O11" s="17">
        <f t="shared" si="1"/>
        <v>51</v>
      </c>
      <c r="P11" s="18">
        <f t="shared" si="2"/>
        <v>0.09825033647</v>
      </c>
    </row>
    <row r="12">
      <c r="A12" s="12" t="s">
        <v>29</v>
      </c>
      <c r="B12" s="12">
        <v>4.0</v>
      </c>
      <c r="C12" s="12">
        <v>4.0</v>
      </c>
      <c r="D12" s="12">
        <v>4.0</v>
      </c>
      <c r="E12" s="12">
        <v>3.0</v>
      </c>
      <c r="F12" s="12">
        <v>3.0</v>
      </c>
      <c r="G12" s="12">
        <v>5.0</v>
      </c>
      <c r="H12" s="12">
        <v>2.0</v>
      </c>
      <c r="I12" s="12">
        <v>2.0</v>
      </c>
      <c r="J12" s="16">
        <v>1.0</v>
      </c>
      <c r="K12" s="12">
        <v>3.0</v>
      </c>
      <c r="L12" s="12">
        <v>5.0</v>
      </c>
      <c r="M12" s="12">
        <v>5.0</v>
      </c>
      <c r="N12" s="12">
        <v>3.0</v>
      </c>
      <c r="O12" s="17">
        <f t="shared" si="1"/>
        <v>44</v>
      </c>
      <c r="P12" s="18">
        <f t="shared" si="2"/>
        <v>-0.05248990579</v>
      </c>
    </row>
    <row r="13">
      <c r="A13" s="12" t="s">
        <v>30</v>
      </c>
      <c r="B13" s="12">
        <v>5.0</v>
      </c>
      <c r="C13" s="12">
        <v>4.0</v>
      </c>
      <c r="D13" s="12">
        <v>4.0</v>
      </c>
      <c r="E13" s="12">
        <v>4.0</v>
      </c>
      <c r="F13" s="12">
        <v>5.0</v>
      </c>
      <c r="G13" s="12">
        <v>5.0</v>
      </c>
      <c r="H13" s="12">
        <v>3.0</v>
      </c>
      <c r="I13" s="12">
        <v>3.0</v>
      </c>
      <c r="J13" s="12">
        <v>3.0</v>
      </c>
      <c r="K13" s="16">
        <v>1.0</v>
      </c>
      <c r="L13" s="12">
        <v>5.0</v>
      </c>
      <c r="M13" s="12">
        <v>5.0</v>
      </c>
      <c r="N13" s="12">
        <v>5.0</v>
      </c>
      <c r="O13" s="17">
        <f t="shared" si="1"/>
        <v>52</v>
      </c>
      <c r="P13" s="18">
        <f t="shared" si="2"/>
        <v>0.1197846568</v>
      </c>
    </row>
    <row r="14">
      <c r="A14" s="19" t="s">
        <v>31</v>
      </c>
      <c r="B14" s="12">
        <v>4.0</v>
      </c>
      <c r="C14" s="12">
        <v>5.0</v>
      </c>
      <c r="D14" s="12">
        <v>4.0</v>
      </c>
      <c r="E14" s="12">
        <v>4.0</v>
      </c>
      <c r="F14" s="12">
        <v>3.0</v>
      </c>
      <c r="G14" s="12">
        <v>5.0</v>
      </c>
      <c r="H14" s="12">
        <v>4.0</v>
      </c>
      <c r="I14" s="12">
        <v>4.0</v>
      </c>
      <c r="J14" s="12">
        <v>2.0</v>
      </c>
      <c r="K14" s="12">
        <v>3.0</v>
      </c>
      <c r="L14" s="12">
        <v>4.0</v>
      </c>
      <c r="M14" s="12">
        <v>4.0</v>
      </c>
      <c r="N14" s="12">
        <v>5.0</v>
      </c>
      <c r="O14" s="17">
        <f t="shared" si="1"/>
        <v>51</v>
      </c>
      <c r="P14" s="18">
        <f t="shared" si="2"/>
        <v>0.09825033647</v>
      </c>
    </row>
    <row r="15">
      <c r="A15" s="12" t="s">
        <v>32</v>
      </c>
      <c r="B15" s="12">
        <v>5.0</v>
      </c>
      <c r="C15" s="12">
        <v>3.0</v>
      </c>
      <c r="D15" s="12">
        <v>4.0</v>
      </c>
      <c r="E15" s="12">
        <v>4.0</v>
      </c>
      <c r="F15" s="12">
        <v>5.0</v>
      </c>
      <c r="G15" s="12">
        <v>5.0</v>
      </c>
      <c r="H15" s="12">
        <v>3.0</v>
      </c>
      <c r="I15" s="12">
        <v>3.0</v>
      </c>
      <c r="J15" s="12">
        <v>3.0</v>
      </c>
      <c r="K15" s="12">
        <v>4.0</v>
      </c>
      <c r="L15" s="16">
        <v>1.0</v>
      </c>
      <c r="M15" s="12">
        <v>4.0</v>
      </c>
      <c r="N15" s="12">
        <v>5.0</v>
      </c>
      <c r="O15" s="17">
        <f t="shared" si="1"/>
        <v>49</v>
      </c>
      <c r="P15" s="18">
        <f t="shared" si="2"/>
        <v>0.05518169583</v>
      </c>
    </row>
    <row r="16">
      <c r="A16" s="12" t="s">
        <v>33</v>
      </c>
      <c r="B16" s="12">
        <v>4.0</v>
      </c>
      <c r="C16" s="12">
        <v>4.0</v>
      </c>
      <c r="D16" s="12">
        <v>3.0</v>
      </c>
      <c r="E16" s="12">
        <v>3.0</v>
      </c>
      <c r="F16" s="12">
        <v>3.0</v>
      </c>
      <c r="G16" s="12">
        <v>3.0</v>
      </c>
      <c r="H16" s="12">
        <v>4.0</v>
      </c>
      <c r="I16" s="12">
        <v>2.0</v>
      </c>
      <c r="J16" s="12">
        <v>2.0</v>
      </c>
      <c r="K16" s="12">
        <v>2.0</v>
      </c>
      <c r="L16" s="12">
        <v>4.0</v>
      </c>
      <c r="M16" s="16">
        <v>1.0</v>
      </c>
      <c r="N16" s="12">
        <v>4.0</v>
      </c>
      <c r="O16" s="17">
        <f t="shared" si="1"/>
        <v>39</v>
      </c>
      <c r="P16" s="18">
        <f t="shared" si="2"/>
        <v>-0.1601615074</v>
      </c>
    </row>
    <row r="17">
      <c r="A17" s="12" t="s">
        <v>34</v>
      </c>
      <c r="B17" s="12">
        <v>5.0</v>
      </c>
      <c r="C17" s="12">
        <v>3.0</v>
      </c>
      <c r="D17" s="12">
        <v>4.0</v>
      </c>
      <c r="E17" s="12">
        <v>4.0</v>
      </c>
      <c r="F17" s="12">
        <v>4.0</v>
      </c>
      <c r="G17" s="12">
        <v>5.0</v>
      </c>
      <c r="H17" s="12">
        <v>4.0</v>
      </c>
      <c r="I17" s="12">
        <v>4.0</v>
      </c>
      <c r="J17" s="12">
        <v>3.0</v>
      </c>
      <c r="K17" s="12">
        <v>4.0</v>
      </c>
      <c r="L17" s="12">
        <v>5.0</v>
      </c>
      <c r="M17" s="12">
        <v>4.0</v>
      </c>
      <c r="N17" s="16">
        <v>1.0</v>
      </c>
      <c r="O17" s="17">
        <f t="shared" si="1"/>
        <v>50</v>
      </c>
      <c r="P17" s="18">
        <f t="shared" si="2"/>
        <v>0.07671601615</v>
      </c>
    </row>
    <row r="18">
      <c r="A18" s="20" t="s">
        <v>1</v>
      </c>
      <c r="B18" s="21">
        <f t="shared" ref="B18:N18" si="3">SUM(B2:B17)</f>
        <v>68</v>
      </c>
      <c r="C18" s="21">
        <f t="shared" si="3"/>
        <v>56</v>
      </c>
      <c r="D18" s="21">
        <f t="shared" si="3"/>
        <v>58</v>
      </c>
      <c r="E18" s="21">
        <f t="shared" si="3"/>
        <v>53</v>
      </c>
      <c r="F18" s="21">
        <f t="shared" si="3"/>
        <v>56</v>
      </c>
      <c r="G18" s="21">
        <f t="shared" si="3"/>
        <v>69</v>
      </c>
      <c r="H18" s="21">
        <f t="shared" si="3"/>
        <v>47</v>
      </c>
      <c r="I18" s="21">
        <f t="shared" si="3"/>
        <v>42</v>
      </c>
      <c r="J18" s="21">
        <f t="shared" si="3"/>
        <v>42</v>
      </c>
      <c r="K18" s="21">
        <f t="shared" si="3"/>
        <v>52</v>
      </c>
      <c r="L18" s="21">
        <f t="shared" si="3"/>
        <v>71</v>
      </c>
      <c r="M18" s="21">
        <f t="shared" si="3"/>
        <v>62</v>
      </c>
      <c r="N18" s="21">
        <f t="shared" si="3"/>
        <v>67</v>
      </c>
      <c r="O18" s="22" t="s">
        <v>35</v>
      </c>
      <c r="P18" s="15"/>
    </row>
    <row r="19">
      <c r="A19" s="23" t="s">
        <v>36</v>
      </c>
      <c r="B19" s="24">
        <f t="shared" ref="B19:N19" si="4">COUNTIF(B2:B17,5)</f>
        <v>7</v>
      </c>
      <c r="C19" s="24">
        <f t="shared" si="4"/>
        <v>2</v>
      </c>
      <c r="D19" s="24">
        <f t="shared" si="4"/>
        <v>2</v>
      </c>
      <c r="E19" s="24">
        <f t="shared" si="4"/>
        <v>1</v>
      </c>
      <c r="F19" s="24">
        <f t="shared" si="4"/>
        <v>5</v>
      </c>
      <c r="G19" s="24">
        <f t="shared" si="4"/>
        <v>9</v>
      </c>
      <c r="H19" s="24">
        <f t="shared" si="4"/>
        <v>0</v>
      </c>
      <c r="I19" s="24">
        <f t="shared" si="4"/>
        <v>0</v>
      </c>
      <c r="J19" s="24">
        <f t="shared" si="4"/>
        <v>0</v>
      </c>
      <c r="K19" s="24">
        <f t="shared" si="4"/>
        <v>1</v>
      </c>
      <c r="L19" s="24">
        <f t="shared" si="4"/>
        <v>10</v>
      </c>
      <c r="M19" s="24">
        <f t="shared" si="4"/>
        <v>2</v>
      </c>
      <c r="N19" s="24">
        <f t="shared" si="4"/>
        <v>9</v>
      </c>
      <c r="O19" s="4">
        <f t="shared" ref="O19:O23" si="6">SUM(B19:N19)</f>
        <v>48</v>
      </c>
      <c r="P19" s="25">
        <f t="shared" ref="P19:P24" si="7">O19/$O$24</f>
        <v>0.2307692308</v>
      </c>
    </row>
    <row r="20">
      <c r="A20" s="23" t="s">
        <v>37</v>
      </c>
      <c r="B20" s="24">
        <f t="shared" ref="B20:N20" si="5">COUNTIF(B2:B17,4)</f>
        <v>6</v>
      </c>
      <c r="C20" s="24">
        <f t="shared" si="5"/>
        <v>6</v>
      </c>
      <c r="D20" s="24">
        <f t="shared" si="5"/>
        <v>8</v>
      </c>
      <c r="E20" s="24">
        <f t="shared" si="5"/>
        <v>8</v>
      </c>
      <c r="F20" s="24">
        <f t="shared" si="5"/>
        <v>3</v>
      </c>
      <c r="G20" s="24">
        <f t="shared" si="5"/>
        <v>5</v>
      </c>
      <c r="H20" s="24">
        <f t="shared" si="5"/>
        <v>6</v>
      </c>
      <c r="I20" s="24">
        <f t="shared" si="5"/>
        <v>3</v>
      </c>
      <c r="J20" s="24">
        <f t="shared" si="5"/>
        <v>2</v>
      </c>
      <c r="K20" s="24">
        <f t="shared" si="5"/>
        <v>7</v>
      </c>
      <c r="L20" s="24">
        <f t="shared" si="5"/>
        <v>5</v>
      </c>
      <c r="M20" s="24">
        <f t="shared" si="5"/>
        <v>12</v>
      </c>
      <c r="N20" s="24">
        <f t="shared" si="5"/>
        <v>4</v>
      </c>
      <c r="O20" s="4">
        <f t="shared" si="6"/>
        <v>75</v>
      </c>
      <c r="P20" s="25">
        <f t="shared" si="7"/>
        <v>0.3605769231</v>
      </c>
    </row>
    <row r="21">
      <c r="A21" s="23" t="s">
        <v>38</v>
      </c>
      <c r="B21" s="24">
        <f t="shared" ref="B21:N21" si="8">COUNTIF(B2:B17,3)</f>
        <v>3</v>
      </c>
      <c r="C21" s="24">
        <f t="shared" si="8"/>
        <v>7</v>
      </c>
      <c r="D21" s="24">
        <f t="shared" si="8"/>
        <v>5</v>
      </c>
      <c r="E21" s="24">
        <f t="shared" si="8"/>
        <v>4</v>
      </c>
      <c r="F21" s="24">
        <f t="shared" si="8"/>
        <v>5</v>
      </c>
      <c r="G21" s="24">
        <f t="shared" si="8"/>
        <v>1</v>
      </c>
      <c r="H21" s="24">
        <f t="shared" si="8"/>
        <v>6</v>
      </c>
      <c r="I21" s="24">
        <f t="shared" si="8"/>
        <v>7</v>
      </c>
      <c r="J21" s="24">
        <f t="shared" si="8"/>
        <v>8</v>
      </c>
      <c r="K21" s="24">
        <f t="shared" si="8"/>
        <v>4</v>
      </c>
      <c r="L21" s="24">
        <f t="shared" si="8"/>
        <v>0</v>
      </c>
      <c r="M21" s="24">
        <f t="shared" si="8"/>
        <v>1</v>
      </c>
      <c r="N21" s="24">
        <f t="shared" si="8"/>
        <v>1</v>
      </c>
      <c r="O21" s="4">
        <f t="shared" si="6"/>
        <v>52</v>
      </c>
      <c r="P21" s="25">
        <f t="shared" si="7"/>
        <v>0.25</v>
      </c>
    </row>
    <row r="22">
      <c r="A22" s="23" t="s">
        <v>39</v>
      </c>
      <c r="B22" s="24">
        <f t="shared" ref="B22:N22" si="9">COUNTIF(B2:B17,2)</f>
        <v>0</v>
      </c>
      <c r="C22" s="24">
        <f t="shared" si="9"/>
        <v>0</v>
      </c>
      <c r="D22" s="24">
        <f t="shared" si="9"/>
        <v>0</v>
      </c>
      <c r="E22" s="24">
        <f t="shared" si="9"/>
        <v>1</v>
      </c>
      <c r="F22" s="24">
        <f t="shared" si="9"/>
        <v>1</v>
      </c>
      <c r="G22" s="24">
        <f t="shared" si="9"/>
        <v>0</v>
      </c>
      <c r="H22" s="24">
        <f t="shared" si="9"/>
        <v>1</v>
      </c>
      <c r="I22" s="24">
        <f t="shared" si="9"/>
        <v>3</v>
      </c>
      <c r="J22" s="24">
        <f t="shared" si="9"/>
        <v>4</v>
      </c>
      <c r="K22" s="24">
        <f t="shared" si="9"/>
        <v>3</v>
      </c>
      <c r="L22" s="24">
        <f t="shared" si="9"/>
        <v>0</v>
      </c>
      <c r="M22" s="24">
        <f t="shared" si="9"/>
        <v>0</v>
      </c>
      <c r="N22" s="24">
        <f t="shared" si="9"/>
        <v>1</v>
      </c>
      <c r="O22" s="4">
        <f t="shared" si="6"/>
        <v>14</v>
      </c>
      <c r="P22" s="25">
        <f t="shared" si="7"/>
        <v>0.06730769231</v>
      </c>
    </row>
    <row r="23">
      <c r="A23" s="23" t="s">
        <v>40</v>
      </c>
      <c r="B23" s="24">
        <f t="shared" ref="B23:N23" si="10">COUNTIF(B2:B17,1)</f>
        <v>0</v>
      </c>
      <c r="C23" s="24">
        <f t="shared" si="10"/>
        <v>1</v>
      </c>
      <c r="D23" s="24">
        <f t="shared" si="10"/>
        <v>1</v>
      </c>
      <c r="E23" s="24">
        <f t="shared" si="10"/>
        <v>2</v>
      </c>
      <c r="F23" s="24">
        <f t="shared" si="10"/>
        <v>2</v>
      </c>
      <c r="G23" s="24">
        <f t="shared" si="10"/>
        <v>1</v>
      </c>
      <c r="H23" s="24">
        <f t="shared" si="10"/>
        <v>3</v>
      </c>
      <c r="I23" s="24">
        <f t="shared" si="10"/>
        <v>3</v>
      </c>
      <c r="J23" s="24">
        <f t="shared" si="10"/>
        <v>2</v>
      </c>
      <c r="K23" s="24">
        <f t="shared" si="10"/>
        <v>1</v>
      </c>
      <c r="L23" s="24">
        <f t="shared" si="10"/>
        <v>1</v>
      </c>
      <c r="M23" s="24">
        <f t="shared" si="10"/>
        <v>1</v>
      </c>
      <c r="N23" s="24">
        <f t="shared" si="10"/>
        <v>1</v>
      </c>
      <c r="O23" s="4">
        <f t="shared" si="6"/>
        <v>19</v>
      </c>
      <c r="P23" s="25">
        <f t="shared" si="7"/>
        <v>0.09134615385</v>
      </c>
    </row>
    <row r="24">
      <c r="A24" s="1"/>
      <c r="B24" s="1"/>
      <c r="O24" s="4">
        <f>SUM(O19:O23)</f>
        <v>208</v>
      </c>
      <c r="P24" s="25">
        <f t="shared" si="7"/>
        <v>1</v>
      </c>
    </row>
    <row r="25">
      <c r="A25" s="1"/>
      <c r="B25" s="1"/>
    </row>
    <row r="26">
      <c r="A26" s="14" t="s">
        <v>41</v>
      </c>
      <c r="B26" s="1"/>
    </row>
    <row r="27">
      <c r="A27" s="26" t="s">
        <v>42</v>
      </c>
      <c r="B27" s="27">
        <f>AVERAGE(O2:O17)</f>
        <v>46.4375</v>
      </c>
    </row>
    <row r="28">
      <c r="A28" s="1"/>
      <c r="B28" s="1"/>
    </row>
  </sheetData>
  <conditionalFormatting sqref="B2:N17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5"/>
  </cols>
  <sheetData>
    <row r="1">
      <c r="A1" s="28" t="s">
        <v>43</v>
      </c>
      <c r="B1" s="29" t="s">
        <v>44</v>
      </c>
      <c r="C1" s="29" t="s">
        <v>45</v>
      </c>
      <c r="D1" s="29" t="s">
        <v>46</v>
      </c>
      <c r="E1" s="29" t="s">
        <v>47</v>
      </c>
    </row>
    <row r="2">
      <c r="A2" s="3">
        <v>1.0</v>
      </c>
      <c r="B2" s="1" t="s">
        <v>2</v>
      </c>
      <c r="C2" s="30" t="s">
        <v>48</v>
      </c>
      <c r="D2" s="1"/>
      <c r="E2" s="30" t="s">
        <v>49</v>
      </c>
    </row>
    <row r="3">
      <c r="A3" s="3">
        <v>2.0</v>
      </c>
      <c r="B3" s="1" t="s">
        <v>4</v>
      </c>
      <c r="C3" s="31" t="s">
        <v>50</v>
      </c>
      <c r="D3" s="1"/>
      <c r="E3" s="30" t="s">
        <v>49</v>
      </c>
    </row>
    <row r="4">
      <c r="A4" s="3">
        <v>3.0</v>
      </c>
      <c r="B4" s="1" t="s">
        <v>5</v>
      </c>
      <c r="C4" s="30" t="s">
        <v>51</v>
      </c>
      <c r="D4" s="1"/>
      <c r="E4" s="30" t="s">
        <v>52</v>
      </c>
    </row>
    <row r="5">
      <c r="A5" s="3">
        <v>4.0</v>
      </c>
      <c r="B5" s="1"/>
      <c r="C5" s="8"/>
      <c r="D5" s="1"/>
      <c r="E5" s="1"/>
    </row>
    <row r="6">
      <c r="A6" s="3">
        <v>5.0</v>
      </c>
      <c r="B6" s="1"/>
      <c r="C6" s="8"/>
      <c r="D6" s="1"/>
      <c r="E6" s="1"/>
    </row>
  </sheetData>
  <drawing r:id="rId1"/>
</worksheet>
</file>
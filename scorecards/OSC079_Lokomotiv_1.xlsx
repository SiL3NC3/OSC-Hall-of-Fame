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9" sheetId="2" r:id="rId5"/>
  </sheets>
  <definedNames>
    <definedName hidden="1" localSheetId="0" name="_xlnm._FilterDatabase">'Results!'!$A$1:$C$40</definedName>
  </definedNames>
  <calcPr/>
</workbook>
</file>

<file path=xl/sharedStrings.xml><?xml version="1.0" encoding="utf-8"?>
<sst xmlns="http://schemas.openxmlformats.org/spreadsheetml/2006/main" count="293" uniqueCount="136">
  <si>
    <t xml:space="preserve"># </t>
  </si>
  <si>
    <t>Voter Name (KVR nick)</t>
  </si>
  <si>
    <t>Score</t>
  </si>
  <si>
    <t>z.prime - Almost</t>
  </si>
  <si>
    <t>pts</t>
  </si>
  <si>
    <t>a1</t>
  </si>
  <si>
    <t>Jasinski - Moto Lotion</t>
  </si>
  <si>
    <t>a2</t>
  </si>
  <si>
    <t>Yeager - Station To Station</t>
  </si>
  <si>
    <t>a3</t>
  </si>
  <si>
    <t>Meakaale - For All The Good Times We Had</t>
  </si>
  <si>
    <t>a4</t>
  </si>
  <si>
    <t>Richard Semper - Letting Go  Lokomotiv</t>
  </si>
  <si>
    <t>a5</t>
  </si>
  <si>
    <t>dzah - DzAH NeoClass3</t>
  </si>
  <si>
    <t>b1</t>
  </si>
  <si>
    <t>Bluerobot - Die Modellbahn</t>
  </si>
  <si>
    <t>b2</t>
  </si>
  <si>
    <t>okapka - vitomokol</t>
  </si>
  <si>
    <t>b3</t>
  </si>
  <si>
    <t>Full Bucket - Loco System</t>
  </si>
  <si>
    <t>b4</t>
  </si>
  <si>
    <t>OntrackP - The End of Summer</t>
  </si>
  <si>
    <t>b5</t>
  </si>
  <si>
    <t>mehum - Rêver D'un Train De Faux</t>
  </si>
  <si>
    <t>c1</t>
  </si>
  <si>
    <t>a-type - Bullet Train</t>
  </si>
  <si>
    <t>c2</t>
  </si>
  <si>
    <t>L-ectrobit - September</t>
  </si>
  <si>
    <t>c3</t>
  </si>
  <si>
    <t>Loris - Remember</t>
  </si>
  <si>
    <t>c4</t>
  </si>
  <si>
    <t>marks-a-whybikky - 79</t>
  </si>
  <si>
    <t>c5</t>
  </si>
  <si>
    <t>rghvdberg - Happy Little Train</t>
  </si>
  <si>
    <t>d1</t>
  </si>
  <si>
    <t>bh9090 - Misguided</t>
  </si>
  <si>
    <t>d2</t>
  </si>
  <si>
    <t>jmqjmq - Shuffletuffle</t>
  </si>
  <si>
    <t>d3</t>
  </si>
  <si>
    <t>Action Cat - Hard Rain</t>
  </si>
  <si>
    <t>d4</t>
  </si>
  <si>
    <t>Dee.P.Tree - Two Telephone Calls</t>
  </si>
  <si>
    <t>d5</t>
  </si>
  <si>
    <t>Ere2Learn - Thing Thing</t>
  </si>
  <si>
    <t>e1</t>
  </si>
  <si>
    <t>eauson - Eauson Life Mo Belief</t>
  </si>
  <si>
    <t>e2</t>
  </si>
  <si>
    <t>aluode - maltitol dreams</t>
  </si>
  <si>
    <t>e3</t>
  </si>
  <si>
    <t>pylon - overland by night</t>
  </si>
  <si>
    <t>e4</t>
  </si>
  <si>
    <t>Psmacmur - Round The House</t>
  </si>
  <si>
    <t>e5</t>
  </si>
  <si>
    <t>DoctorBob - LokoGenerator</t>
  </si>
  <si>
    <t>f1</t>
  </si>
  <si>
    <t>ClaRago - Points Error</t>
  </si>
  <si>
    <t>f2</t>
  </si>
  <si>
    <t>Jay F. - Derailed Train Of Thought</t>
  </si>
  <si>
    <t>f3</t>
  </si>
  <si>
    <t>tylerm - Race Into Dusk</t>
  </si>
  <si>
    <t>f4</t>
  </si>
  <si>
    <t>Alvfaria - Highlands And The Sea</t>
  </si>
  <si>
    <t>f5</t>
  </si>
  <si>
    <t>fairplay - Light Weather Station</t>
  </si>
  <si>
    <t>g1</t>
  </si>
  <si>
    <t>TheBellows - Loco</t>
  </si>
  <si>
    <t>g2</t>
  </si>
  <si>
    <t>MTLE - Themes From Mindwalk Part 9</t>
  </si>
  <si>
    <t>g3</t>
  </si>
  <si>
    <t>Off Signal - OffSignal DayOff</t>
  </si>
  <si>
    <t>g4</t>
  </si>
  <si>
    <t>tonedef71 - Gruesome Foreshadowing</t>
  </si>
  <si>
    <t>g5</t>
  </si>
  <si>
    <t>e@rs - Cobra</t>
  </si>
  <si>
    <t>h1</t>
  </si>
  <si>
    <t>Wagtunes - Going Loko</t>
  </si>
  <si>
    <t>h2</t>
  </si>
  <si>
    <t>Hate - Loko</t>
  </si>
  <si>
    <t>h3</t>
  </si>
  <si>
    <t>(dq)</t>
  </si>
  <si>
    <t>key88 - NotToSparse</t>
  </si>
  <si>
    <t>h4</t>
  </si>
  <si>
    <t>Generosity Score</t>
  </si>
  <si>
    <t>a-type</t>
  </si>
  <si>
    <t>actioncat</t>
  </si>
  <si>
    <t>aluode</t>
  </si>
  <si>
    <t>alvfaria</t>
  </si>
  <si>
    <t>animehaus</t>
  </si>
  <si>
    <t>BbluntProductions</t>
  </si>
  <si>
    <t>bh9090</t>
  </si>
  <si>
    <t>bjporter</t>
  </si>
  <si>
    <t>bluerobot</t>
  </si>
  <si>
    <t>ClaRago</t>
  </si>
  <si>
    <t>Dee.P.Tree</t>
  </si>
  <si>
    <t>doctorbob</t>
  </si>
  <si>
    <t>DzAH</t>
  </si>
  <si>
    <t>e@rs</t>
  </si>
  <si>
    <t>eauson</t>
  </si>
  <si>
    <t>ere2learn</t>
  </si>
  <si>
    <t>fairplay</t>
  </si>
  <si>
    <t>FullBucket</t>
  </si>
  <si>
    <t>Hanz Meyzer</t>
  </si>
  <si>
    <t>hate</t>
  </si>
  <si>
    <t>jasinski</t>
  </si>
  <si>
    <t>Jay F.</t>
  </si>
  <si>
    <t>jmqjmq</t>
  </si>
  <si>
    <t>Kraftraum</t>
  </si>
  <si>
    <t>L-EctroBit</t>
  </si>
  <si>
    <t>loris16148</t>
  </si>
  <si>
    <t>marks-a-whybikky</t>
  </si>
  <si>
    <t>meakaale</t>
  </si>
  <si>
    <t>mehum</t>
  </si>
  <si>
    <t>MTLE</t>
  </si>
  <si>
    <t>OffSignal</t>
  </si>
  <si>
    <t>okapka</t>
  </si>
  <si>
    <t>ontrackp</t>
  </si>
  <si>
    <t>psmacmur</t>
  </si>
  <si>
    <t>pylon</t>
  </si>
  <si>
    <t>Reefius</t>
  </si>
  <si>
    <t>rghvdberg</t>
  </si>
  <si>
    <t>Richard Semper</t>
  </si>
  <si>
    <t>TheBellows</t>
  </si>
  <si>
    <t>tonedef71</t>
  </si>
  <si>
    <t>tylerm</t>
  </si>
  <si>
    <t>wagtunes</t>
  </si>
  <si>
    <t>Yeager</t>
  </si>
  <si>
    <t>z.prime</t>
  </si>
  <si>
    <t>5's</t>
  </si>
  <si>
    <t>4's</t>
  </si>
  <si>
    <t>3's</t>
  </si>
  <si>
    <t>2's</t>
  </si>
  <si>
    <t>1's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</si>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</sst>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1.0"/>
    </font>
    <font/>
    <font>
      <sz val="10.0"/>
    </font>
    <font>
      <color rgb="FFFFFFFF"/>
    </font>
    <font>
      <i/>
      <sz val="10.0"/>
      <color rgb="FF666666"/>
    </font>
    <font>
      <i/>
      <sz val="8.0"/>
      <color rgb="FF666666"/>
    </font>
    <font>
      <sz val="11.0"/>
      <color rgb="FF000000"/>
      <name val="Calibri"/>
    </font>
    <font>
      <sz val="11.0"/>
    </font>
    <font>
      <sz val="10.0"/>
      <color rgb="FF999999"/>
    </font>
    <font>
      <b/>
      <sz val="10.0"/>
    </font>
    <font>
      <sz val="10.0"/>
      <color rgb="FF666666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Font="1"/>
    <xf borderId="0" fillId="0" fontId="6" numFmtId="0" xfId="0" applyAlignment="1" applyFont="1">
      <alignment horizontal="left"/>
    </xf>
    <xf borderId="0" fillId="2" fontId="2" numFmtId="0" xfId="0" applyAlignment="1" applyFont="1">
      <alignment readingOrder="0"/>
    </xf>
    <xf borderId="1" fillId="2" fontId="7" numFmtId="0" xfId="0" applyAlignment="1" applyBorder="1" applyFont="1">
      <alignment horizontal="left" shrinkToFit="0" wrapText="0"/>
    </xf>
    <xf borderId="0" fillId="2" fontId="2" numFmtId="0" xfId="0" applyAlignment="1" applyFont="1">
      <alignment horizontal="left" readingOrder="0"/>
    </xf>
    <xf borderId="1" fillId="2" fontId="7" numFmtId="0" xfId="0" applyAlignment="1" applyBorder="1" applyFont="1">
      <alignment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/>
    </xf>
    <xf borderId="0" fillId="2" fontId="8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1" fillId="4" fontId="7" numFmtId="0" xfId="0" applyAlignment="1" applyBorder="1" applyFill="1" applyFont="1">
      <alignment shrinkToFit="0" wrapText="0"/>
    </xf>
    <xf borderId="0" fillId="5" fontId="2" numFmtId="0" xfId="0" applyAlignment="1" applyFill="1" applyFont="1">
      <alignment readingOrder="0"/>
    </xf>
    <xf borderId="0" fillId="5" fontId="2" numFmtId="9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" xfId="0" applyAlignment="1" applyFont="1" applyNumberFormat="1">
      <alignment horizontal="right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0" fontId="2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3.5"/>
    <col customWidth="1" min="3" max="3" width="8.0"/>
  </cols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>
        <v>179.0</v>
      </c>
      <c r="D2" s="3" t="s">
        <v>4</v>
      </c>
      <c r="E2" s="6" t="s">
        <v>5</v>
      </c>
    </row>
    <row r="3">
      <c r="A3">
        <f t="shared" ref="A3:A39" si="1">A2+1</f>
        <v>2</v>
      </c>
      <c r="B3" s="4" t="s">
        <v>6</v>
      </c>
      <c r="C3" s="5">
        <v>178.0</v>
      </c>
      <c r="D3" s="3" t="s">
        <v>4</v>
      </c>
      <c r="E3" s="6" t="s">
        <v>7</v>
      </c>
    </row>
    <row r="4">
      <c r="A4">
        <f t="shared" si="1"/>
        <v>3</v>
      </c>
      <c r="B4" s="4" t="s">
        <v>8</v>
      </c>
      <c r="C4" s="5">
        <v>176.0</v>
      </c>
      <c r="D4" s="3" t="s">
        <v>4</v>
      </c>
      <c r="E4" s="6" t="s">
        <v>9</v>
      </c>
    </row>
    <row r="5">
      <c r="A5">
        <f t="shared" si="1"/>
        <v>4</v>
      </c>
      <c r="B5" s="4" t="s">
        <v>10</v>
      </c>
      <c r="C5" s="5">
        <v>172.0</v>
      </c>
      <c r="D5" s="3" t="s">
        <v>4</v>
      </c>
      <c r="E5" s="6" t="s">
        <v>11</v>
      </c>
    </row>
    <row r="6">
      <c r="A6">
        <f t="shared" si="1"/>
        <v>5</v>
      </c>
      <c r="B6" s="4" t="s">
        <v>12</v>
      </c>
      <c r="C6" s="5">
        <v>169.0</v>
      </c>
      <c r="D6" s="3" t="s">
        <v>4</v>
      </c>
      <c r="E6" s="6" t="s">
        <v>13</v>
      </c>
    </row>
    <row r="7">
      <c r="A7">
        <f t="shared" si="1"/>
        <v>6</v>
      </c>
      <c r="B7" s="4" t="s">
        <v>14</v>
      </c>
      <c r="C7" s="5">
        <v>167.0</v>
      </c>
      <c r="D7" s="3" t="s">
        <v>4</v>
      </c>
      <c r="E7" s="6" t="s">
        <v>15</v>
      </c>
    </row>
    <row r="8">
      <c r="A8">
        <f t="shared" si="1"/>
        <v>7</v>
      </c>
      <c r="B8" s="4" t="s">
        <v>16</v>
      </c>
      <c r="C8" s="5">
        <v>167.0</v>
      </c>
      <c r="D8" s="3" t="s">
        <v>4</v>
      </c>
      <c r="E8" s="6" t="s">
        <v>17</v>
      </c>
    </row>
    <row r="9">
      <c r="A9">
        <f t="shared" si="1"/>
        <v>8</v>
      </c>
      <c r="B9" s="4" t="s">
        <v>18</v>
      </c>
      <c r="C9" s="5">
        <v>164.0</v>
      </c>
      <c r="D9" s="3" t="s">
        <v>4</v>
      </c>
      <c r="E9" s="6" t="s">
        <v>19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>
      <c r="A10">
        <f t="shared" si="1"/>
        <v>9</v>
      </c>
      <c r="B10" s="4" t="s">
        <v>20</v>
      </c>
      <c r="C10" s="5">
        <v>159.0</v>
      </c>
      <c r="D10" s="3" t="s">
        <v>4</v>
      </c>
      <c r="E10" s="6" t="s">
        <v>21</v>
      </c>
    </row>
    <row r="11">
      <c r="A11">
        <f t="shared" si="1"/>
        <v>10</v>
      </c>
      <c r="B11" s="4" t="s">
        <v>22</v>
      </c>
      <c r="C11" s="5">
        <v>157.0</v>
      </c>
      <c r="D11" s="3" t="s">
        <v>4</v>
      </c>
      <c r="E11" s="6" t="s">
        <v>23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>
      <c r="A12">
        <f t="shared" si="1"/>
        <v>11</v>
      </c>
      <c r="B12" s="4" t="s">
        <v>24</v>
      </c>
      <c r="C12" s="5">
        <v>156.0</v>
      </c>
      <c r="D12" s="3" t="s">
        <v>4</v>
      </c>
      <c r="E12" s="6" t="s">
        <v>25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>
      <c r="A13">
        <f t="shared" si="1"/>
        <v>12</v>
      </c>
      <c r="B13" s="4" t="s">
        <v>26</v>
      </c>
      <c r="C13" s="5">
        <v>150.0</v>
      </c>
      <c r="D13" s="3" t="s">
        <v>4</v>
      </c>
      <c r="E13" s="6" t="s">
        <v>27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>
      <c r="A14">
        <f t="shared" si="1"/>
        <v>13</v>
      </c>
      <c r="B14" s="4" t="s">
        <v>28</v>
      </c>
      <c r="C14" s="5">
        <v>150.0</v>
      </c>
      <c r="D14" s="3" t="s">
        <v>4</v>
      </c>
      <c r="E14" s="6" t="s">
        <v>29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>
      <c r="A15">
        <f t="shared" si="1"/>
        <v>14</v>
      </c>
      <c r="B15" s="4" t="s">
        <v>30</v>
      </c>
      <c r="C15" s="5">
        <v>148.0</v>
      </c>
      <c r="D15" s="3" t="s">
        <v>4</v>
      </c>
      <c r="E15" s="6" t="s">
        <v>31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>
      <c r="A16">
        <f t="shared" si="1"/>
        <v>15</v>
      </c>
      <c r="B16" s="4" t="s">
        <v>32</v>
      </c>
      <c r="C16" s="5">
        <v>144.0</v>
      </c>
      <c r="D16" s="3" t="s">
        <v>4</v>
      </c>
      <c r="E16" s="6" t="s">
        <v>33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>
      <c r="A17">
        <f t="shared" si="1"/>
        <v>16</v>
      </c>
      <c r="B17" s="4" t="s">
        <v>34</v>
      </c>
      <c r="C17" s="5">
        <v>144.0</v>
      </c>
      <c r="D17" s="3" t="s">
        <v>4</v>
      </c>
      <c r="E17" s="6" t="s">
        <v>35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>
      <c r="A18">
        <f t="shared" si="1"/>
        <v>17</v>
      </c>
      <c r="B18" s="4" t="s">
        <v>36</v>
      </c>
      <c r="C18" s="5">
        <v>143.0</v>
      </c>
      <c r="D18" s="3" t="s">
        <v>4</v>
      </c>
      <c r="E18" s="6" t="s">
        <v>37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>
      <c r="A19">
        <f t="shared" si="1"/>
        <v>18</v>
      </c>
      <c r="B19" s="4" t="s">
        <v>38</v>
      </c>
      <c r="C19" s="5">
        <v>141.0</v>
      </c>
      <c r="D19" s="3" t="s">
        <v>4</v>
      </c>
      <c r="E19" s="6" t="s">
        <v>39</v>
      </c>
      <c r="F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>
      <c r="A20">
        <f t="shared" si="1"/>
        <v>19</v>
      </c>
      <c r="B20" s="4" t="s">
        <v>40</v>
      </c>
      <c r="C20" s="5">
        <v>140.0</v>
      </c>
      <c r="D20" s="3" t="s">
        <v>4</v>
      </c>
      <c r="E20" s="6" t="s">
        <v>41</v>
      </c>
      <c r="F20" s="7"/>
      <c r="G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>
      <c r="A21">
        <f t="shared" si="1"/>
        <v>20</v>
      </c>
      <c r="B21" s="4" t="s">
        <v>42</v>
      </c>
      <c r="C21" s="5">
        <v>140.0</v>
      </c>
      <c r="D21" s="3" t="s">
        <v>4</v>
      </c>
      <c r="E21" s="6" t="s">
        <v>43</v>
      </c>
      <c r="F21" s="7"/>
      <c r="G21" s="7"/>
      <c r="H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>
      <c r="A22">
        <f t="shared" si="1"/>
        <v>21</v>
      </c>
      <c r="B22" s="4" t="s">
        <v>44</v>
      </c>
      <c r="C22" s="5">
        <v>138.0</v>
      </c>
      <c r="D22" s="3" t="s">
        <v>4</v>
      </c>
      <c r="E22" s="6" t="s">
        <v>45</v>
      </c>
      <c r="F22" s="7"/>
      <c r="G22" s="7"/>
      <c r="H22" s="7"/>
      <c r="I22" s="7"/>
      <c r="J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>
      <c r="A23">
        <f t="shared" si="1"/>
        <v>22</v>
      </c>
      <c r="B23" s="4" t="s">
        <v>46</v>
      </c>
      <c r="C23" s="5">
        <v>138.0</v>
      </c>
      <c r="D23" s="3" t="s">
        <v>4</v>
      </c>
      <c r="E23" s="6" t="s">
        <v>47</v>
      </c>
      <c r="F23" s="7"/>
      <c r="G23" s="7"/>
      <c r="H23" s="7"/>
      <c r="I23" s="7"/>
      <c r="J23" s="7"/>
      <c r="K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>
      <c r="A24">
        <f t="shared" si="1"/>
        <v>23</v>
      </c>
      <c r="B24" s="4" t="s">
        <v>48</v>
      </c>
      <c r="C24" s="5">
        <v>137.0</v>
      </c>
      <c r="D24" s="3" t="s">
        <v>4</v>
      </c>
      <c r="E24" s="6" t="s">
        <v>49</v>
      </c>
      <c r="F24" s="7"/>
      <c r="G24" s="7"/>
      <c r="H24" s="7"/>
      <c r="I24" s="7"/>
      <c r="J24" s="7"/>
      <c r="K24" s="7"/>
      <c r="L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>
      <c r="A25">
        <f t="shared" si="1"/>
        <v>24</v>
      </c>
      <c r="B25" s="4" t="s">
        <v>50</v>
      </c>
      <c r="C25" s="5">
        <v>136.0</v>
      </c>
      <c r="D25" s="3" t="s">
        <v>4</v>
      </c>
      <c r="E25" s="6" t="s">
        <v>51</v>
      </c>
      <c r="F25" s="7"/>
      <c r="G25" s="7"/>
      <c r="H25" s="7"/>
      <c r="I25" s="7"/>
      <c r="J25" s="7"/>
      <c r="K25" s="7"/>
      <c r="L25" s="7"/>
      <c r="M25" s="7"/>
      <c r="N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>
      <c r="A26">
        <f t="shared" si="1"/>
        <v>25</v>
      </c>
      <c r="B26" s="4" t="s">
        <v>52</v>
      </c>
      <c r="C26" s="5">
        <v>132.0</v>
      </c>
      <c r="D26" s="3" t="s">
        <v>4</v>
      </c>
      <c r="E26" s="6" t="s">
        <v>53</v>
      </c>
      <c r="F26" s="7"/>
      <c r="G26" s="7"/>
      <c r="H26" s="7"/>
      <c r="I26" s="7"/>
      <c r="J26" s="7"/>
      <c r="K26" s="7"/>
      <c r="L26" s="7"/>
      <c r="M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>
      <c r="A27">
        <f t="shared" si="1"/>
        <v>26</v>
      </c>
      <c r="B27" s="4" t="s">
        <v>54</v>
      </c>
      <c r="C27" s="5">
        <v>132.0</v>
      </c>
      <c r="D27" s="3" t="s">
        <v>4</v>
      </c>
      <c r="E27" s="6" t="s">
        <v>55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>
      <c r="A28">
        <f t="shared" si="1"/>
        <v>27</v>
      </c>
      <c r="B28" s="4" t="s">
        <v>56</v>
      </c>
      <c r="C28" s="5">
        <v>126.0</v>
      </c>
      <c r="D28" s="3" t="s">
        <v>4</v>
      </c>
      <c r="E28" s="6" t="s">
        <v>57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>
      <c r="A29">
        <f t="shared" si="1"/>
        <v>28</v>
      </c>
      <c r="B29" s="4" t="s">
        <v>58</v>
      </c>
      <c r="C29" s="5">
        <v>126.0</v>
      </c>
      <c r="D29" s="3" t="s">
        <v>4</v>
      </c>
      <c r="E29" s="6" t="s">
        <v>59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>
      <c r="A30">
        <f t="shared" si="1"/>
        <v>29</v>
      </c>
      <c r="B30" s="4" t="s">
        <v>60</v>
      </c>
      <c r="C30" s="5">
        <v>123.0</v>
      </c>
      <c r="D30" s="3" t="s">
        <v>4</v>
      </c>
      <c r="E30" s="6" t="s">
        <v>61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>
      <c r="A31">
        <f t="shared" si="1"/>
        <v>30</v>
      </c>
      <c r="B31" s="4" t="s">
        <v>62</v>
      </c>
      <c r="C31" s="5">
        <v>123.0</v>
      </c>
      <c r="D31" s="3" t="s">
        <v>4</v>
      </c>
      <c r="E31" s="6" t="s">
        <v>63</v>
      </c>
      <c r="F31" s="7"/>
      <c r="G31" s="7"/>
      <c r="H31" s="7"/>
      <c r="I31" s="7"/>
      <c r="J31" s="7"/>
      <c r="K31" s="7"/>
      <c r="L31" s="7"/>
      <c r="M31" s="7"/>
      <c r="N31" s="7"/>
      <c r="O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>
      <c r="A32">
        <f t="shared" si="1"/>
        <v>31</v>
      </c>
      <c r="B32" s="4" t="s">
        <v>64</v>
      </c>
      <c r="C32" s="5">
        <v>123.0</v>
      </c>
      <c r="D32" s="3" t="s">
        <v>4</v>
      </c>
      <c r="E32" s="6" t="s">
        <v>65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>
      <c r="A33">
        <f t="shared" si="1"/>
        <v>32</v>
      </c>
      <c r="B33" s="4" t="s">
        <v>66</v>
      </c>
      <c r="C33" s="5">
        <v>122.0</v>
      </c>
      <c r="D33" s="3" t="s">
        <v>4</v>
      </c>
      <c r="E33" s="6" t="s">
        <v>67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>
      <c r="A34">
        <f t="shared" si="1"/>
        <v>33</v>
      </c>
      <c r="B34" s="4" t="s">
        <v>68</v>
      </c>
      <c r="C34" s="5">
        <v>121.0</v>
      </c>
      <c r="D34" s="3" t="s">
        <v>4</v>
      </c>
      <c r="E34" s="6" t="s">
        <v>69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>
      <c r="A35">
        <f t="shared" si="1"/>
        <v>34</v>
      </c>
      <c r="B35" s="4" t="s">
        <v>70</v>
      </c>
      <c r="C35" s="5">
        <v>117.0</v>
      </c>
      <c r="D35" s="3" t="s">
        <v>4</v>
      </c>
      <c r="E35" s="6" t="s">
        <v>71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>
      <c r="A36">
        <f t="shared" si="1"/>
        <v>35</v>
      </c>
      <c r="B36" s="4" t="s">
        <v>72</v>
      </c>
      <c r="C36" s="5">
        <v>113.0</v>
      </c>
      <c r="D36" s="3" t="s">
        <v>4</v>
      </c>
      <c r="E36" s="6" t="s">
        <v>73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>
      <c r="A37">
        <f t="shared" si="1"/>
        <v>36</v>
      </c>
      <c r="B37" s="4" t="s">
        <v>74</v>
      </c>
      <c r="C37" s="5">
        <v>112.0</v>
      </c>
      <c r="D37" s="3" t="s">
        <v>4</v>
      </c>
      <c r="E37" s="6" t="s">
        <v>75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>
      <c r="A38">
        <f t="shared" si="1"/>
        <v>37</v>
      </c>
      <c r="B38" s="4" t="s">
        <v>76</v>
      </c>
      <c r="C38" s="5">
        <v>99.0</v>
      </c>
      <c r="D38" s="3" t="s">
        <v>4</v>
      </c>
      <c r="E38" s="6" t="s">
        <v>77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>
      <c r="A39">
        <f t="shared" si="1"/>
        <v>38</v>
      </c>
      <c r="B39" s="4" t="s">
        <v>78</v>
      </c>
      <c r="C39" s="5">
        <v>99.0</v>
      </c>
      <c r="D39" s="3" t="s">
        <v>4</v>
      </c>
      <c r="E39" s="6" t="s">
        <v>79</v>
      </c>
    </row>
    <row r="40">
      <c r="A40" s="8" t="s">
        <v>80</v>
      </c>
      <c r="B40" s="4" t="s">
        <v>81</v>
      </c>
      <c r="C40" s="5">
        <v>96.0</v>
      </c>
      <c r="D40" s="3" t="s">
        <v>4</v>
      </c>
      <c r="E40" s="9" t="s">
        <v>82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>
      <c r="B41" s="10"/>
      <c r="D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>
      <c r="B42" s="10"/>
      <c r="D42" s="7"/>
      <c r="E42" s="3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>
      <c r="B43" s="10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>
      <c r="B44" s="10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E44" s="7"/>
      <c r="AF44" s="7"/>
      <c r="AG44" s="7"/>
      <c r="AH44" s="7"/>
      <c r="AI44" s="7"/>
      <c r="AJ44" s="7"/>
      <c r="AK44" s="7"/>
      <c r="AL44" s="7"/>
      <c r="AM44" s="7"/>
    </row>
    <row r="45">
      <c r="B45" s="10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F45" s="7"/>
      <c r="AG45" s="7"/>
      <c r="AH45" s="7"/>
      <c r="AI45" s="7"/>
      <c r="AJ45" s="7"/>
      <c r="AK45" s="7"/>
      <c r="AL45" s="7"/>
      <c r="AM45" s="7"/>
    </row>
    <row r="46">
      <c r="B46" s="10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>
      <c r="B47" s="10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G47" s="7"/>
      <c r="AH47" s="7"/>
      <c r="AI47" s="7"/>
      <c r="AJ47" s="7"/>
      <c r="AK47" s="7"/>
      <c r="AL47" s="7"/>
      <c r="AM47" s="7"/>
    </row>
    <row r="48">
      <c r="A48" s="3"/>
      <c r="B48" s="10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H48" s="7"/>
      <c r="AI48" s="7"/>
      <c r="AJ48" s="7"/>
      <c r="AK48" s="7"/>
      <c r="AL48" s="7"/>
      <c r="AM48" s="7"/>
    </row>
    <row r="49">
      <c r="B49" s="10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I49" s="7"/>
      <c r="AJ49" s="7"/>
      <c r="AK49" s="7"/>
      <c r="AL49" s="7"/>
      <c r="AM49" s="7"/>
    </row>
    <row r="50">
      <c r="B50" s="10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J50" s="7"/>
      <c r="AK50" s="7"/>
      <c r="AL50" s="7"/>
      <c r="AM50" s="7"/>
    </row>
    <row r="51">
      <c r="B51" s="10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K51" s="7"/>
      <c r="AL51" s="7"/>
      <c r="AM51" s="7"/>
    </row>
    <row r="52">
      <c r="B52" s="10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L52" s="7"/>
      <c r="AM52" s="7"/>
    </row>
    <row r="53">
      <c r="B53" s="10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M53" s="7"/>
    </row>
    <row r="54">
      <c r="B54" s="10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A108" s="7"/>
      <c r="B108" s="1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>
      <c r="B109" s="10"/>
    </row>
    <row r="110">
      <c r="A110" s="7"/>
      <c r="B110" s="1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>
      <c r="A111" s="7"/>
      <c r="B111" s="1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>
      <c r="B112" s="10"/>
    </row>
    <row r="113">
      <c r="A113" s="7"/>
      <c r="B113" s="1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>
      <c r="B114" s="10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>
      <c r="B115" s="10"/>
      <c r="C115" s="7"/>
      <c r="D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>
      <c r="B116" s="1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>
      <c r="B117" s="10"/>
      <c r="C117" s="7"/>
      <c r="D117" s="7"/>
      <c r="E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>
      <c r="B118" s="10"/>
      <c r="C118" s="7"/>
      <c r="D118" s="7"/>
      <c r="E118" s="7"/>
      <c r="F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>
      <c r="B119" s="10"/>
      <c r="C119" s="7"/>
      <c r="D119" s="7"/>
      <c r="E119" s="7"/>
      <c r="F119" s="7"/>
      <c r="G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>
      <c r="B120" s="10"/>
      <c r="C120" s="7"/>
      <c r="D120" s="7"/>
      <c r="E120" s="7"/>
      <c r="F120" s="7"/>
      <c r="G120" s="7"/>
      <c r="H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>
      <c r="B121" s="10"/>
      <c r="C121" s="7"/>
      <c r="D121" s="7"/>
      <c r="E121" s="7"/>
      <c r="F121" s="7"/>
      <c r="G121" s="7"/>
      <c r="H121" s="7"/>
      <c r="I121" s="7"/>
      <c r="J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>
      <c r="B122" s="10"/>
      <c r="C122" s="7"/>
      <c r="D122" s="7"/>
      <c r="E122" s="7"/>
      <c r="F122" s="7"/>
      <c r="G122" s="7"/>
      <c r="H122" s="7"/>
      <c r="I122" s="7"/>
      <c r="J122" s="7"/>
      <c r="K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>
      <c r="B123" s="10"/>
      <c r="C123" s="7"/>
      <c r="D123" s="7"/>
      <c r="E123" s="7"/>
      <c r="F123" s="7"/>
      <c r="G123" s="7"/>
      <c r="H123" s="7"/>
      <c r="I123" s="7"/>
      <c r="J123" s="7"/>
      <c r="K123" s="7"/>
      <c r="L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>
      <c r="B124" s="1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>
      <c r="B125" s="1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>
      <c r="B126" s="1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>
      <c r="B127" s="1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>
      <c r="B128" s="1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>
      <c r="B129" s="1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>
      <c r="B130" s="1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>
      <c r="B131" s="1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>
      <c r="B132" s="1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>
      <c r="B133" s="1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>
      <c r="B134" s="1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>
      <c r="B135" s="1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>
      <c r="B136" s="1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>
      <c r="B137" s="1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>
      <c r="B138" s="1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>
      <c r="B139" s="1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>
      <c r="B140" s="1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>
      <c r="B141" s="1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>
      <c r="B142" s="1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F142" s="7"/>
      <c r="AG142" s="7"/>
      <c r="AH142" s="7"/>
      <c r="AI142" s="7"/>
      <c r="AJ142" s="7"/>
      <c r="AK142" s="7"/>
      <c r="AL142" s="7"/>
      <c r="AM142" s="7"/>
    </row>
    <row r="143">
      <c r="B143" s="1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>
      <c r="B144" s="1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G144" s="7"/>
      <c r="AH144" s="7"/>
      <c r="AI144" s="7"/>
      <c r="AJ144" s="7"/>
      <c r="AK144" s="7"/>
      <c r="AL144" s="7"/>
      <c r="AM144" s="7"/>
    </row>
    <row r="145">
      <c r="B145" s="1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H145" s="7"/>
      <c r="AI145" s="7"/>
      <c r="AJ145" s="7"/>
      <c r="AK145" s="7"/>
      <c r="AL145" s="7"/>
      <c r="AM145" s="7"/>
    </row>
    <row r="146">
      <c r="B146" s="1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I146" s="7"/>
      <c r="AJ146" s="7"/>
      <c r="AK146" s="7"/>
      <c r="AL146" s="7"/>
      <c r="AM146" s="7"/>
    </row>
    <row r="147">
      <c r="B147" s="1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J147" s="7"/>
      <c r="AK147" s="7"/>
      <c r="AL147" s="7"/>
      <c r="AM147" s="7"/>
    </row>
    <row r="148">
      <c r="B148" s="1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K148" s="7"/>
      <c r="AL148" s="7"/>
      <c r="AM148" s="7"/>
    </row>
    <row r="149">
      <c r="B149" s="1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L149" s="7"/>
      <c r="AM149" s="7"/>
    </row>
    <row r="150">
      <c r="B150" s="1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M150" s="7"/>
    </row>
    <row r="151">
      <c r="B151" s="1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A323" s="12" t="s">
        <v>26</v>
      </c>
      <c r="B323" s="13" t="s">
        <v>40</v>
      </c>
      <c r="C323" s="12" t="s">
        <v>48</v>
      </c>
      <c r="D323" s="12" t="s">
        <v>62</v>
      </c>
      <c r="E323" s="12" t="s">
        <v>36</v>
      </c>
      <c r="F323" s="12" t="s">
        <v>16</v>
      </c>
      <c r="G323" s="12" t="s">
        <v>56</v>
      </c>
      <c r="H323" s="12" t="s">
        <v>42</v>
      </c>
      <c r="I323" s="12" t="s">
        <v>54</v>
      </c>
      <c r="J323" s="12" t="s">
        <v>14</v>
      </c>
      <c r="K323" s="12" t="s">
        <v>74</v>
      </c>
      <c r="L323" s="12" t="s">
        <v>46</v>
      </c>
      <c r="M323" s="12" t="s">
        <v>44</v>
      </c>
      <c r="N323" s="12" t="s">
        <v>64</v>
      </c>
      <c r="O323" s="12" t="s">
        <v>20</v>
      </c>
      <c r="P323" s="12" t="s">
        <v>78</v>
      </c>
      <c r="Q323" s="12" t="s">
        <v>6</v>
      </c>
      <c r="R323" s="12" t="s">
        <v>58</v>
      </c>
      <c r="S323" s="12" t="s">
        <v>38</v>
      </c>
      <c r="T323" s="12" t="s">
        <v>81</v>
      </c>
      <c r="U323" s="12" t="s">
        <v>28</v>
      </c>
      <c r="V323" s="12" t="s">
        <v>30</v>
      </c>
      <c r="W323" s="12" t="s">
        <v>32</v>
      </c>
      <c r="X323" s="12" t="s">
        <v>10</v>
      </c>
      <c r="Y323" s="12" t="s">
        <v>24</v>
      </c>
      <c r="Z323" s="12" t="s">
        <v>68</v>
      </c>
      <c r="AA323" s="12" t="s">
        <v>70</v>
      </c>
      <c r="AB323" s="12" t="s">
        <v>18</v>
      </c>
      <c r="AC323" s="12" t="s">
        <v>22</v>
      </c>
      <c r="AD323" s="12" t="s">
        <v>52</v>
      </c>
      <c r="AE323" s="12" t="s">
        <v>50</v>
      </c>
      <c r="AF323" s="12" t="s">
        <v>34</v>
      </c>
      <c r="AG323" s="12" t="s">
        <v>12</v>
      </c>
      <c r="AH323" s="12" t="s">
        <v>66</v>
      </c>
      <c r="AI323" s="12" t="s">
        <v>72</v>
      </c>
      <c r="AJ323" s="12" t="s">
        <v>60</v>
      </c>
      <c r="AK323" s="12" t="s">
        <v>76</v>
      </c>
      <c r="AL323" s="12" t="s">
        <v>8</v>
      </c>
      <c r="AM323" s="12" t="s">
        <v>3</v>
      </c>
    </row>
    <row r="324">
      <c r="A324" s="14">
        <v>150.0</v>
      </c>
      <c r="B324" s="15">
        <v>140.0</v>
      </c>
      <c r="C324" s="14">
        <v>137.0</v>
      </c>
      <c r="D324" s="14">
        <v>123.0</v>
      </c>
      <c r="E324" s="14">
        <v>143.0</v>
      </c>
      <c r="F324" s="14">
        <v>167.0</v>
      </c>
      <c r="G324" s="14">
        <v>126.0</v>
      </c>
      <c r="H324" s="14">
        <v>140.0</v>
      </c>
      <c r="I324" s="14">
        <v>132.0</v>
      </c>
      <c r="J324" s="14">
        <v>167.0</v>
      </c>
      <c r="K324" s="14">
        <v>112.0</v>
      </c>
      <c r="L324" s="14">
        <v>138.0</v>
      </c>
      <c r="M324" s="14">
        <v>138.0</v>
      </c>
      <c r="N324" s="14">
        <v>123.0</v>
      </c>
      <c r="O324" s="14">
        <v>159.0</v>
      </c>
      <c r="P324" s="14">
        <v>99.0</v>
      </c>
      <c r="Q324" s="14">
        <v>178.0</v>
      </c>
      <c r="R324" s="14">
        <v>126.0</v>
      </c>
      <c r="S324" s="14">
        <v>141.0</v>
      </c>
      <c r="T324" s="14">
        <v>96.0</v>
      </c>
      <c r="U324" s="14">
        <v>150.0</v>
      </c>
      <c r="V324" s="14">
        <v>148.0</v>
      </c>
      <c r="W324" s="14">
        <v>144.0</v>
      </c>
      <c r="X324" s="14">
        <v>172.0</v>
      </c>
      <c r="Y324" s="14">
        <v>156.0</v>
      </c>
      <c r="Z324" s="14">
        <v>121.0</v>
      </c>
      <c r="AA324" s="14">
        <v>117.0</v>
      </c>
      <c r="AB324" s="14">
        <v>164.0</v>
      </c>
      <c r="AC324" s="14">
        <v>157.0</v>
      </c>
      <c r="AD324" s="14">
        <v>132.0</v>
      </c>
      <c r="AE324" s="14">
        <v>136.0</v>
      </c>
      <c r="AF324" s="14">
        <v>144.0</v>
      </c>
      <c r="AG324" s="14">
        <v>169.0</v>
      </c>
      <c r="AH324" s="14">
        <v>122.0</v>
      </c>
      <c r="AI324" s="14">
        <v>113.0</v>
      </c>
      <c r="AJ324" s="14">
        <v>123.0</v>
      </c>
      <c r="AK324" s="14">
        <v>99.0</v>
      </c>
      <c r="AL324" s="14">
        <v>176.0</v>
      </c>
      <c r="AM324" s="14">
        <v>179.0</v>
      </c>
    </row>
    <row r="325">
      <c r="A325" s="16"/>
      <c r="B325" s="17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</row>
    <row r="326">
      <c r="A326" s="16"/>
      <c r="B326" s="18"/>
      <c r="C326" s="19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</row>
    <row r="327">
      <c r="A327" s="20" t="s">
        <v>26</v>
      </c>
      <c r="B327" s="21">
        <v>150.0</v>
      </c>
      <c r="C327" s="16"/>
      <c r="D327" s="19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</row>
    <row r="328">
      <c r="A328" s="20" t="s">
        <v>40</v>
      </c>
      <c r="B328" s="21">
        <v>140.0</v>
      </c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</row>
    <row r="329">
      <c r="A329" s="20" t="s">
        <v>48</v>
      </c>
      <c r="B329" s="21">
        <v>137.0</v>
      </c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</row>
    <row r="330">
      <c r="A330" s="20" t="s">
        <v>62</v>
      </c>
      <c r="B330" s="21">
        <v>123.0</v>
      </c>
      <c r="C330" s="16"/>
      <c r="D330" s="16"/>
      <c r="E330" s="19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</row>
    <row r="331">
      <c r="A331" s="20" t="s">
        <v>36</v>
      </c>
      <c r="B331" s="21">
        <v>143.0</v>
      </c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</row>
    <row r="332">
      <c r="A332" s="20" t="s">
        <v>16</v>
      </c>
      <c r="B332" s="21">
        <v>167.0</v>
      </c>
      <c r="C332" s="16"/>
      <c r="D332" s="16"/>
      <c r="E332" s="16"/>
      <c r="F332" s="19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</row>
    <row r="333">
      <c r="A333" s="20" t="s">
        <v>56</v>
      </c>
      <c r="B333" s="21">
        <v>126.0</v>
      </c>
      <c r="C333" s="16"/>
      <c r="D333" s="16"/>
      <c r="E333" s="16"/>
      <c r="F333" s="16"/>
      <c r="G333" s="19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</row>
    <row r="334">
      <c r="A334" s="20" t="s">
        <v>42</v>
      </c>
      <c r="B334" s="21">
        <v>140.0</v>
      </c>
      <c r="C334" s="16"/>
      <c r="D334" s="16"/>
      <c r="E334" s="16"/>
      <c r="F334" s="16"/>
      <c r="G334" s="16"/>
      <c r="H334" s="19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</row>
    <row r="335">
      <c r="A335" s="20" t="s">
        <v>54</v>
      </c>
      <c r="B335" s="21">
        <v>132.0</v>
      </c>
      <c r="C335" s="16"/>
      <c r="D335" s="16"/>
      <c r="E335" s="16"/>
      <c r="F335" s="16"/>
      <c r="G335" s="16"/>
      <c r="H335" s="16"/>
      <c r="I335" s="19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</row>
    <row r="336">
      <c r="A336" s="20" t="s">
        <v>14</v>
      </c>
      <c r="B336" s="21">
        <v>167.0</v>
      </c>
      <c r="C336" s="22"/>
      <c r="D336" s="22"/>
      <c r="E336" s="22"/>
      <c r="F336" s="22"/>
      <c r="G336" s="22"/>
      <c r="H336" s="22"/>
      <c r="I336" s="22"/>
      <c r="J336" s="23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</row>
    <row r="337">
      <c r="A337" s="20" t="s">
        <v>74</v>
      </c>
      <c r="B337" s="21">
        <v>112.0</v>
      </c>
      <c r="C337" s="16"/>
      <c r="D337" s="16"/>
      <c r="E337" s="16"/>
      <c r="F337" s="16"/>
      <c r="G337" s="16"/>
      <c r="H337" s="16"/>
      <c r="I337" s="16"/>
      <c r="J337" s="16"/>
      <c r="K337" s="19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</row>
    <row r="338">
      <c r="A338" s="20" t="s">
        <v>46</v>
      </c>
      <c r="B338" s="21">
        <v>138.0</v>
      </c>
      <c r="C338" s="16"/>
      <c r="D338" s="16"/>
      <c r="E338" s="16"/>
      <c r="F338" s="16"/>
      <c r="G338" s="16"/>
      <c r="H338" s="16"/>
      <c r="I338" s="16"/>
      <c r="J338" s="16"/>
      <c r="K338" s="16"/>
      <c r="L338" s="19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</row>
    <row r="339">
      <c r="A339" s="20" t="s">
        <v>44</v>
      </c>
      <c r="B339" s="21">
        <v>138.0</v>
      </c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9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</row>
    <row r="340">
      <c r="A340" s="20" t="s">
        <v>64</v>
      </c>
      <c r="B340" s="21">
        <v>123.0</v>
      </c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9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</row>
    <row r="341">
      <c r="A341" s="20" t="s">
        <v>20</v>
      </c>
      <c r="B341" s="21">
        <v>159.0</v>
      </c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9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</row>
    <row r="342">
      <c r="A342" s="20" t="s">
        <v>78</v>
      </c>
      <c r="B342" s="21">
        <v>99.0</v>
      </c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</row>
    <row r="343">
      <c r="A343" s="20" t="s">
        <v>6</v>
      </c>
      <c r="B343" s="21">
        <v>178.0</v>
      </c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9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</row>
    <row r="344">
      <c r="A344" s="20" t="s">
        <v>58</v>
      </c>
      <c r="B344" s="21">
        <v>126.0</v>
      </c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</row>
    <row r="345">
      <c r="A345" s="20" t="s">
        <v>38</v>
      </c>
      <c r="B345" s="21">
        <v>141.0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9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</row>
    <row r="346">
      <c r="A346" s="20" t="s">
        <v>81</v>
      </c>
      <c r="B346" s="21">
        <v>96.0</v>
      </c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9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</row>
    <row r="347">
      <c r="A347" s="20" t="s">
        <v>28</v>
      </c>
      <c r="B347" s="21">
        <v>150.0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</row>
    <row r="348">
      <c r="A348" s="20" t="s">
        <v>30</v>
      </c>
      <c r="B348" s="21">
        <v>148.0</v>
      </c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9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</row>
    <row r="349">
      <c r="A349" s="20" t="s">
        <v>32</v>
      </c>
      <c r="B349" s="21">
        <v>144.0</v>
      </c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9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</row>
    <row r="350">
      <c r="A350" s="20" t="s">
        <v>10</v>
      </c>
      <c r="B350" s="21">
        <v>172.0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9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</row>
    <row r="351">
      <c r="A351" s="20" t="s">
        <v>24</v>
      </c>
      <c r="B351" s="21">
        <v>156.0</v>
      </c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9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</row>
    <row r="352">
      <c r="A352" s="20" t="s">
        <v>68</v>
      </c>
      <c r="B352" s="21">
        <v>121.0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9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</row>
    <row r="353">
      <c r="A353" s="20" t="s">
        <v>70</v>
      </c>
      <c r="B353" s="21">
        <v>117.0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9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>
      <c r="A354" s="20" t="s">
        <v>18</v>
      </c>
      <c r="B354" s="21">
        <v>164.0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9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</row>
    <row r="355">
      <c r="A355" s="20" t="s">
        <v>22</v>
      </c>
      <c r="B355" s="21">
        <v>157.0</v>
      </c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9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</row>
    <row r="356">
      <c r="A356" s="20" t="s">
        <v>52</v>
      </c>
      <c r="B356" s="21">
        <v>132.0</v>
      </c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9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>
      <c r="A357" s="20" t="s">
        <v>50</v>
      </c>
      <c r="B357" s="21">
        <v>136.0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9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>
      <c r="A358" s="20" t="s">
        <v>34</v>
      </c>
      <c r="B358" s="21">
        <v>144.0</v>
      </c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9"/>
      <c r="AF358" s="16"/>
      <c r="AG358" s="16"/>
      <c r="AH358" s="16"/>
      <c r="AI358" s="16"/>
      <c r="AJ358" s="16"/>
      <c r="AK358" s="16"/>
      <c r="AL358" s="16"/>
      <c r="AM358" s="16"/>
    </row>
    <row r="359">
      <c r="A359" s="20" t="s">
        <v>12</v>
      </c>
      <c r="B359" s="21">
        <v>169.0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>
      <c r="A360" s="20" t="s">
        <v>66</v>
      </c>
      <c r="B360" s="21">
        <v>122.0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9"/>
      <c r="AG360" s="16"/>
      <c r="AH360" s="16"/>
      <c r="AI360" s="16"/>
      <c r="AJ360" s="16"/>
      <c r="AK360" s="16"/>
      <c r="AL360" s="16"/>
      <c r="AM360" s="16"/>
    </row>
    <row r="361">
      <c r="A361" s="20" t="s">
        <v>72</v>
      </c>
      <c r="B361" s="21">
        <v>113.0</v>
      </c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9"/>
      <c r="AH361" s="16"/>
      <c r="AI361" s="16"/>
      <c r="AJ361" s="16"/>
      <c r="AK361" s="16"/>
      <c r="AL361" s="16"/>
      <c r="AM361" s="16"/>
    </row>
    <row r="362">
      <c r="A362" s="20" t="s">
        <v>60</v>
      </c>
      <c r="B362" s="21">
        <v>123.0</v>
      </c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9"/>
      <c r="AI362" s="16"/>
      <c r="AJ362" s="16"/>
      <c r="AK362" s="16"/>
      <c r="AL362" s="16"/>
      <c r="AM362" s="16"/>
    </row>
    <row r="363">
      <c r="A363" s="20" t="s">
        <v>76</v>
      </c>
      <c r="B363" s="21">
        <v>99.0</v>
      </c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9"/>
      <c r="AJ363" s="16"/>
      <c r="AK363" s="16"/>
      <c r="AL363" s="16"/>
      <c r="AM363" s="16"/>
    </row>
    <row r="364">
      <c r="A364" s="20" t="s">
        <v>8</v>
      </c>
      <c r="B364" s="21">
        <v>176.0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9"/>
      <c r="AK364" s="16"/>
      <c r="AL364" s="16"/>
      <c r="AM364" s="16"/>
    </row>
    <row r="365">
      <c r="A365" s="20" t="s">
        <v>3</v>
      </c>
      <c r="B365" s="21">
        <v>179.0</v>
      </c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9"/>
      <c r="AL365" s="16"/>
      <c r="AM365" s="16"/>
    </row>
    <row r="366">
      <c r="A366" s="16"/>
      <c r="B366" s="18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9"/>
      <c r="AM366" s="16"/>
    </row>
    <row r="367">
      <c r="A367" s="16"/>
      <c r="B367" s="18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9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</sheetData>
  <autoFilter ref="$A$1:$C$40">
    <sortState ref="A1:C40">
      <sortCondition descending="1" ref="C1:C40"/>
      <sortCondition ref="A1:A4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40" width="5.75"/>
    <col customWidth="1" min="41" max="41" width="7.5"/>
    <col customWidth="1" min="42" max="42" width="10.38"/>
  </cols>
  <sheetData>
    <row r="1" ht="9.0" customHeight="1">
      <c r="A1" s="3" t="s">
        <v>1</v>
      </c>
      <c r="B1" s="3" t="s">
        <v>26</v>
      </c>
      <c r="C1" s="3" t="s">
        <v>40</v>
      </c>
      <c r="D1" s="3" t="s">
        <v>48</v>
      </c>
      <c r="E1" s="3" t="s">
        <v>62</v>
      </c>
      <c r="F1" s="3" t="s">
        <v>36</v>
      </c>
      <c r="G1" s="3" t="s">
        <v>16</v>
      </c>
      <c r="H1" s="3" t="s">
        <v>56</v>
      </c>
      <c r="I1" s="3" t="s">
        <v>42</v>
      </c>
      <c r="J1" s="3" t="s">
        <v>54</v>
      </c>
      <c r="K1" s="3" t="s">
        <v>14</v>
      </c>
      <c r="L1" s="3" t="s">
        <v>74</v>
      </c>
      <c r="M1" s="3" t="s">
        <v>46</v>
      </c>
      <c r="N1" s="3" t="s">
        <v>44</v>
      </c>
      <c r="O1" s="3" t="s">
        <v>64</v>
      </c>
      <c r="P1" s="3" t="s">
        <v>20</v>
      </c>
      <c r="Q1" s="3" t="s">
        <v>78</v>
      </c>
      <c r="R1" s="3" t="s">
        <v>6</v>
      </c>
      <c r="S1" s="3" t="s">
        <v>58</v>
      </c>
      <c r="T1" s="3" t="s">
        <v>38</v>
      </c>
      <c r="U1" s="24" t="s">
        <v>81</v>
      </c>
      <c r="V1" s="3" t="s">
        <v>28</v>
      </c>
      <c r="W1" s="3" t="s">
        <v>30</v>
      </c>
      <c r="X1" s="3" t="s">
        <v>32</v>
      </c>
      <c r="Y1" s="3" t="s">
        <v>10</v>
      </c>
      <c r="Z1" s="3" t="s">
        <v>24</v>
      </c>
      <c r="AA1" s="3" t="s">
        <v>68</v>
      </c>
      <c r="AB1" s="3" t="s">
        <v>70</v>
      </c>
      <c r="AC1" s="3" t="s">
        <v>18</v>
      </c>
      <c r="AD1" s="3" t="s">
        <v>22</v>
      </c>
      <c r="AE1" s="3" t="s">
        <v>52</v>
      </c>
      <c r="AF1" s="3" t="s">
        <v>50</v>
      </c>
      <c r="AG1" s="3" t="s">
        <v>34</v>
      </c>
      <c r="AH1" s="3" t="s">
        <v>12</v>
      </c>
      <c r="AI1" s="3" t="s">
        <v>66</v>
      </c>
      <c r="AJ1" s="3" t="s">
        <v>72</v>
      </c>
      <c r="AK1" s="3" t="s">
        <v>60</v>
      </c>
      <c r="AL1" s="3" t="s">
        <v>76</v>
      </c>
      <c r="AM1" s="3" t="s">
        <v>8</v>
      </c>
      <c r="AN1" s="3" t="s">
        <v>3</v>
      </c>
      <c r="AO1" s="25" t="s">
        <v>83</v>
      </c>
      <c r="AP1" s="3"/>
    </row>
    <row r="2" ht="9.0" customHeight="1">
      <c r="A2" s="3" t="s">
        <v>84</v>
      </c>
      <c r="B2" s="26">
        <v>1.0</v>
      </c>
      <c r="C2" s="3">
        <v>2.0</v>
      </c>
      <c r="D2" s="3">
        <v>1.0</v>
      </c>
      <c r="E2" s="3">
        <v>1.0</v>
      </c>
      <c r="F2" s="3">
        <v>1.0</v>
      </c>
      <c r="G2" s="3">
        <v>3.0</v>
      </c>
      <c r="H2" s="3">
        <v>1.0</v>
      </c>
      <c r="I2" s="3">
        <v>2.0</v>
      </c>
      <c r="J2" s="3">
        <v>1.0</v>
      </c>
      <c r="K2" s="3">
        <v>2.0</v>
      </c>
      <c r="L2" s="3">
        <v>2.0</v>
      </c>
      <c r="M2" s="3">
        <v>4.0</v>
      </c>
      <c r="N2" s="3">
        <v>3.0</v>
      </c>
      <c r="O2" s="3">
        <v>1.0</v>
      </c>
      <c r="P2" s="3">
        <v>2.0</v>
      </c>
      <c r="Q2" s="3">
        <v>1.0</v>
      </c>
      <c r="R2" s="3">
        <v>4.0</v>
      </c>
      <c r="S2" s="3">
        <v>2.0</v>
      </c>
      <c r="T2" s="3">
        <v>3.0</v>
      </c>
      <c r="U2" s="3">
        <v>1.0</v>
      </c>
      <c r="V2" s="3">
        <v>3.0</v>
      </c>
      <c r="W2" s="3">
        <v>1.0</v>
      </c>
      <c r="X2" s="3">
        <v>1.0</v>
      </c>
      <c r="Y2" s="3">
        <v>2.0</v>
      </c>
      <c r="Z2" s="3">
        <v>2.0</v>
      </c>
      <c r="AA2" s="3">
        <v>1.0</v>
      </c>
      <c r="AB2" s="3">
        <v>1.0</v>
      </c>
      <c r="AC2" s="3">
        <v>5.0</v>
      </c>
      <c r="AD2" s="3">
        <v>1.0</v>
      </c>
      <c r="AE2" s="3">
        <v>2.0</v>
      </c>
      <c r="AF2" s="3">
        <v>1.0</v>
      </c>
      <c r="AG2" s="3">
        <v>2.0</v>
      </c>
      <c r="AH2" s="3">
        <v>2.0</v>
      </c>
      <c r="AI2" s="3">
        <v>1.0</v>
      </c>
      <c r="AJ2" s="3">
        <v>1.0</v>
      </c>
      <c r="AK2" s="3">
        <v>2.0</v>
      </c>
      <c r="AL2" s="3">
        <v>1.0</v>
      </c>
      <c r="AM2" s="3">
        <v>3.0</v>
      </c>
      <c r="AN2" s="3">
        <v>3.0</v>
      </c>
      <c r="AO2" s="27">
        <f t="shared" ref="AO2:AO45" si="1">SUM(B2:AN2)</f>
        <v>73</v>
      </c>
      <c r="AP2" s="28">
        <f t="shared" ref="AP2:AP45" si="2">(AO2-$B$55)/AO2</f>
        <v>-0.6989414695</v>
      </c>
    </row>
    <row r="3" ht="9.0" customHeight="1">
      <c r="A3" s="3" t="s">
        <v>85</v>
      </c>
      <c r="B3" s="3">
        <v>5.0</v>
      </c>
      <c r="C3" s="26">
        <v>1.0</v>
      </c>
      <c r="D3" s="3">
        <v>3.0</v>
      </c>
      <c r="E3" s="3">
        <v>3.0</v>
      </c>
      <c r="F3" s="3">
        <v>4.0</v>
      </c>
      <c r="G3" s="3">
        <v>3.0</v>
      </c>
      <c r="H3" s="3">
        <v>2.0</v>
      </c>
      <c r="I3" s="3">
        <v>3.0</v>
      </c>
      <c r="J3" s="3">
        <v>3.0</v>
      </c>
      <c r="K3" s="3">
        <v>3.0</v>
      </c>
      <c r="L3" s="3">
        <v>3.0</v>
      </c>
      <c r="M3" s="3">
        <v>2.0</v>
      </c>
      <c r="N3" s="3">
        <v>3.0</v>
      </c>
      <c r="O3" s="3">
        <v>2.0</v>
      </c>
      <c r="P3" s="3">
        <v>4.0</v>
      </c>
      <c r="Q3" s="3">
        <v>2.0</v>
      </c>
      <c r="R3" s="3">
        <v>5.0</v>
      </c>
      <c r="S3" s="3">
        <v>3.0</v>
      </c>
      <c r="T3" s="3">
        <v>3.0</v>
      </c>
      <c r="U3" s="3">
        <v>2.0</v>
      </c>
      <c r="V3" s="3">
        <v>3.0</v>
      </c>
      <c r="W3" s="3">
        <v>3.0</v>
      </c>
      <c r="X3" s="3">
        <v>4.0</v>
      </c>
      <c r="Y3" s="3">
        <v>5.0</v>
      </c>
      <c r="Z3" s="3">
        <v>4.0</v>
      </c>
      <c r="AA3" s="3">
        <v>3.0</v>
      </c>
      <c r="AB3" s="3">
        <v>3.0</v>
      </c>
      <c r="AC3" s="3">
        <v>4.0</v>
      </c>
      <c r="AD3" s="3">
        <v>4.0</v>
      </c>
      <c r="AE3" s="3">
        <v>2.0</v>
      </c>
      <c r="AF3" s="3">
        <v>4.0</v>
      </c>
      <c r="AG3" s="3">
        <v>3.0</v>
      </c>
      <c r="AH3" s="3">
        <v>4.0</v>
      </c>
      <c r="AI3" s="3">
        <v>3.0</v>
      </c>
      <c r="AJ3" s="3">
        <v>2.0</v>
      </c>
      <c r="AK3" s="3">
        <v>5.0</v>
      </c>
      <c r="AL3" s="3">
        <v>2.0</v>
      </c>
      <c r="AM3" s="3">
        <v>4.0</v>
      </c>
      <c r="AN3" s="3">
        <v>5.0</v>
      </c>
      <c r="AO3" s="3">
        <f t="shared" si="1"/>
        <v>126</v>
      </c>
      <c r="AP3" s="29">
        <f t="shared" si="2"/>
        <v>0.01569264069</v>
      </c>
    </row>
    <row r="4" ht="9.0" customHeight="1">
      <c r="A4" s="3" t="s">
        <v>86</v>
      </c>
      <c r="B4" s="3">
        <v>4.0</v>
      </c>
      <c r="C4" s="3">
        <v>3.0</v>
      </c>
      <c r="D4" s="26">
        <v>1.0</v>
      </c>
      <c r="E4" s="3">
        <v>3.0</v>
      </c>
      <c r="F4" s="3">
        <v>4.0</v>
      </c>
      <c r="G4" s="3">
        <v>3.0</v>
      </c>
      <c r="H4" s="3">
        <v>4.0</v>
      </c>
      <c r="I4" s="3">
        <v>3.0</v>
      </c>
      <c r="J4" s="3">
        <v>4.0</v>
      </c>
      <c r="K4" s="3">
        <v>5.0</v>
      </c>
      <c r="L4" s="3">
        <v>3.0</v>
      </c>
      <c r="M4" s="3">
        <v>4.0</v>
      </c>
      <c r="N4" s="3">
        <v>3.0</v>
      </c>
      <c r="O4" s="3">
        <v>3.0</v>
      </c>
      <c r="P4" s="3">
        <v>4.0</v>
      </c>
      <c r="Q4" s="3">
        <v>3.0</v>
      </c>
      <c r="R4" s="3">
        <v>5.0</v>
      </c>
      <c r="S4" s="3">
        <v>3.0</v>
      </c>
      <c r="T4" s="3">
        <v>3.0</v>
      </c>
      <c r="U4" s="3">
        <v>4.0</v>
      </c>
      <c r="V4" s="3">
        <v>4.0</v>
      </c>
      <c r="W4" s="3">
        <v>4.0</v>
      </c>
      <c r="X4" s="3">
        <v>4.0</v>
      </c>
      <c r="Y4" s="3">
        <v>3.0</v>
      </c>
      <c r="Z4" s="3">
        <v>4.0</v>
      </c>
      <c r="AA4" s="3">
        <v>3.0</v>
      </c>
      <c r="AB4" s="3">
        <v>3.0</v>
      </c>
      <c r="AC4" s="3">
        <v>4.0</v>
      </c>
      <c r="AD4" s="3">
        <v>3.0</v>
      </c>
      <c r="AE4" s="3">
        <v>3.0</v>
      </c>
      <c r="AF4" s="3">
        <v>4.0</v>
      </c>
      <c r="AG4" s="3">
        <v>4.0</v>
      </c>
      <c r="AH4" s="3">
        <v>4.0</v>
      </c>
      <c r="AI4" s="3">
        <v>4.0</v>
      </c>
      <c r="AJ4" s="3">
        <v>3.0</v>
      </c>
      <c r="AK4" s="3">
        <v>3.0</v>
      </c>
      <c r="AL4" s="3">
        <v>4.0</v>
      </c>
      <c r="AM4" s="3">
        <v>4.0</v>
      </c>
      <c r="AN4" s="3">
        <v>5.0</v>
      </c>
      <c r="AO4" s="3">
        <f t="shared" si="1"/>
        <v>139</v>
      </c>
      <c r="AP4" s="29">
        <f t="shared" si="2"/>
        <v>0.1077501635</v>
      </c>
    </row>
    <row r="5" ht="9.0" customHeight="1">
      <c r="A5" s="3" t="s">
        <v>87</v>
      </c>
      <c r="B5" s="3">
        <v>2.0</v>
      </c>
      <c r="C5" s="3">
        <v>3.0</v>
      </c>
      <c r="D5" s="3">
        <v>3.0</v>
      </c>
      <c r="E5" s="26">
        <v>1.0</v>
      </c>
      <c r="F5" s="3">
        <v>3.0</v>
      </c>
      <c r="G5" s="3">
        <v>5.0</v>
      </c>
      <c r="H5" s="3">
        <v>4.0</v>
      </c>
      <c r="I5" s="3">
        <v>3.0</v>
      </c>
      <c r="J5" s="3">
        <v>3.0</v>
      </c>
      <c r="K5" s="3">
        <v>3.0</v>
      </c>
      <c r="L5" s="3">
        <v>2.0</v>
      </c>
      <c r="M5" s="3">
        <v>3.0</v>
      </c>
      <c r="N5" s="3">
        <v>2.0</v>
      </c>
      <c r="O5" s="3">
        <v>2.0</v>
      </c>
      <c r="P5" s="3">
        <v>5.0</v>
      </c>
      <c r="Q5" s="3">
        <v>2.0</v>
      </c>
      <c r="R5" s="3">
        <v>4.0</v>
      </c>
      <c r="S5" s="3">
        <v>4.0</v>
      </c>
      <c r="T5" s="3">
        <v>4.0</v>
      </c>
      <c r="U5" s="3">
        <v>2.0</v>
      </c>
      <c r="V5" s="3">
        <v>4.0</v>
      </c>
      <c r="W5" s="3">
        <v>4.0</v>
      </c>
      <c r="X5" s="3">
        <v>2.0</v>
      </c>
      <c r="Y5" s="3">
        <v>5.0</v>
      </c>
      <c r="Z5" s="3">
        <v>3.0</v>
      </c>
      <c r="AA5" s="3">
        <v>2.0</v>
      </c>
      <c r="AB5" s="3">
        <v>2.0</v>
      </c>
      <c r="AC5" s="3">
        <v>2.0</v>
      </c>
      <c r="AD5" s="3">
        <v>4.0</v>
      </c>
      <c r="AE5" s="3">
        <v>2.0</v>
      </c>
      <c r="AF5" s="3">
        <v>4.0</v>
      </c>
      <c r="AG5" s="3">
        <v>3.0</v>
      </c>
      <c r="AH5" s="3">
        <v>5.0</v>
      </c>
      <c r="AI5" s="3">
        <v>2.0</v>
      </c>
      <c r="AJ5" s="3">
        <v>5.0</v>
      </c>
      <c r="AK5" s="3">
        <v>3.0</v>
      </c>
      <c r="AL5" s="3">
        <v>3.0</v>
      </c>
      <c r="AM5" s="3">
        <v>5.0</v>
      </c>
      <c r="AN5" s="3">
        <v>3.0</v>
      </c>
      <c r="AO5" s="3">
        <f t="shared" si="1"/>
        <v>123</v>
      </c>
      <c r="AP5" s="29">
        <f t="shared" si="2"/>
        <v>-0.008314855876</v>
      </c>
    </row>
    <row r="6" ht="9.0" customHeight="1">
      <c r="A6" s="3" t="s">
        <v>88</v>
      </c>
      <c r="B6" s="3">
        <v>4.0</v>
      </c>
      <c r="C6" s="3">
        <v>4.0</v>
      </c>
      <c r="D6" s="3">
        <v>3.0</v>
      </c>
      <c r="E6" s="3">
        <v>2.0</v>
      </c>
      <c r="F6" s="3">
        <v>4.0</v>
      </c>
      <c r="G6" s="3">
        <v>5.0</v>
      </c>
      <c r="H6" s="3">
        <v>3.0</v>
      </c>
      <c r="I6" s="3">
        <v>2.0</v>
      </c>
      <c r="J6" s="3">
        <v>3.0</v>
      </c>
      <c r="K6" s="3">
        <v>4.0</v>
      </c>
      <c r="L6" s="3">
        <v>2.0</v>
      </c>
      <c r="M6" s="3">
        <v>3.0</v>
      </c>
      <c r="N6" s="3">
        <v>3.0</v>
      </c>
      <c r="O6" s="3">
        <v>2.0</v>
      </c>
      <c r="P6" s="3">
        <v>4.0</v>
      </c>
      <c r="Q6" s="3">
        <v>1.0</v>
      </c>
      <c r="R6" s="3">
        <v>4.0</v>
      </c>
      <c r="S6" s="3">
        <v>4.0</v>
      </c>
      <c r="T6" s="3">
        <v>3.0</v>
      </c>
      <c r="U6" s="3">
        <v>1.0</v>
      </c>
      <c r="V6" s="3">
        <v>4.0</v>
      </c>
      <c r="W6" s="3">
        <v>4.0</v>
      </c>
      <c r="X6" s="3">
        <v>3.0</v>
      </c>
      <c r="Y6" s="3">
        <v>4.0</v>
      </c>
      <c r="Z6" s="3">
        <v>3.0</v>
      </c>
      <c r="AA6" s="3">
        <v>3.0</v>
      </c>
      <c r="AB6" s="3">
        <v>2.0</v>
      </c>
      <c r="AC6" s="3">
        <v>3.0</v>
      </c>
      <c r="AD6" s="3">
        <v>4.0</v>
      </c>
      <c r="AE6" s="3">
        <v>3.0</v>
      </c>
      <c r="AF6" s="3">
        <v>2.0</v>
      </c>
      <c r="AG6" s="3">
        <v>4.0</v>
      </c>
      <c r="AH6" s="3">
        <v>5.0</v>
      </c>
      <c r="AI6" s="3">
        <v>3.0</v>
      </c>
      <c r="AJ6" s="3">
        <v>3.0</v>
      </c>
      <c r="AK6" s="3">
        <v>2.0</v>
      </c>
      <c r="AL6" s="3">
        <v>2.0</v>
      </c>
      <c r="AM6" s="3">
        <v>4.0</v>
      </c>
      <c r="AN6" s="3">
        <v>3.0</v>
      </c>
      <c r="AO6" s="3">
        <f t="shared" si="1"/>
        <v>122</v>
      </c>
      <c r="AP6" s="29">
        <f t="shared" si="2"/>
        <v>-0.01657973174</v>
      </c>
    </row>
    <row r="7" ht="9.0" customHeight="1">
      <c r="A7" s="3" t="s">
        <v>89</v>
      </c>
      <c r="B7" s="3">
        <v>2.0</v>
      </c>
      <c r="C7" s="3">
        <v>3.0</v>
      </c>
      <c r="D7" s="3">
        <v>4.0</v>
      </c>
      <c r="E7" s="3">
        <v>3.0</v>
      </c>
      <c r="F7" s="3">
        <v>2.0</v>
      </c>
      <c r="G7" s="3">
        <v>3.0</v>
      </c>
      <c r="H7" s="3">
        <v>2.0</v>
      </c>
      <c r="I7" s="3">
        <v>2.0</v>
      </c>
      <c r="J7" s="3">
        <v>2.0</v>
      </c>
      <c r="K7" s="3">
        <v>5.0</v>
      </c>
      <c r="L7" s="3">
        <v>2.0</v>
      </c>
      <c r="M7" s="3">
        <v>3.0</v>
      </c>
      <c r="N7" s="3">
        <v>4.0</v>
      </c>
      <c r="O7" s="3">
        <v>2.0</v>
      </c>
      <c r="P7" s="3">
        <v>4.0</v>
      </c>
      <c r="Q7" s="3">
        <v>2.0</v>
      </c>
      <c r="R7" s="3">
        <v>4.0</v>
      </c>
      <c r="S7" s="3">
        <v>4.0</v>
      </c>
      <c r="T7" s="3">
        <v>4.0</v>
      </c>
      <c r="U7" s="3">
        <v>1.0</v>
      </c>
      <c r="V7" s="3">
        <v>5.0</v>
      </c>
      <c r="W7" s="3">
        <v>3.0</v>
      </c>
      <c r="X7" s="3">
        <v>3.0</v>
      </c>
      <c r="Y7" s="3">
        <v>3.0</v>
      </c>
      <c r="Z7" s="3">
        <v>4.0</v>
      </c>
      <c r="AA7" s="3">
        <v>3.0</v>
      </c>
      <c r="AB7" s="3">
        <v>4.0</v>
      </c>
      <c r="AC7" s="3">
        <v>3.0</v>
      </c>
      <c r="AD7" s="3">
        <v>4.0</v>
      </c>
      <c r="AE7" s="3">
        <v>2.0</v>
      </c>
      <c r="AF7" s="3">
        <v>3.0</v>
      </c>
      <c r="AG7" s="3">
        <v>5.0</v>
      </c>
      <c r="AH7" s="3">
        <v>3.0</v>
      </c>
      <c r="AI7" s="3">
        <v>3.0</v>
      </c>
      <c r="AJ7" s="3">
        <v>2.0</v>
      </c>
      <c r="AK7" s="3">
        <v>3.0</v>
      </c>
      <c r="AL7" s="3">
        <v>2.0</v>
      </c>
      <c r="AM7" s="3">
        <v>3.0</v>
      </c>
      <c r="AN7" s="3">
        <v>4.0</v>
      </c>
      <c r="AO7" s="3">
        <f t="shared" si="1"/>
        <v>120</v>
      </c>
      <c r="AP7" s="29">
        <f t="shared" si="2"/>
        <v>-0.03352272727</v>
      </c>
    </row>
    <row r="8" ht="9.0" customHeight="1">
      <c r="A8" s="3" t="s">
        <v>90</v>
      </c>
      <c r="B8" s="3">
        <v>3.0</v>
      </c>
      <c r="C8" s="3">
        <v>3.0</v>
      </c>
      <c r="D8" s="3">
        <v>4.0</v>
      </c>
      <c r="E8" s="3">
        <v>3.0</v>
      </c>
      <c r="F8" s="26">
        <v>1.0</v>
      </c>
      <c r="G8" s="3">
        <v>4.0</v>
      </c>
      <c r="H8" s="3">
        <v>3.0</v>
      </c>
      <c r="I8" s="3">
        <v>4.0</v>
      </c>
      <c r="J8" s="3">
        <v>3.0</v>
      </c>
      <c r="K8" s="3">
        <v>4.0</v>
      </c>
      <c r="L8" s="3">
        <v>2.0</v>
      </c>
      <c r="M8" s="3">
        <v>3.0</v>
      </c>
      <c r="N8" s="3">
        <v>3.0</v>
      </c>
      <c r="O8" s="3">
        <v>3.0</v>
      </c>
      <c r="P8" s="3">
        <v>2.0</v>
      </c>
      <c r="Q8" s="3">
        <v>3.0</v>
      </c>
      <c r="R8" s="3">
        <v>5.0</v>
      </c>
      <c r="S8" s="3">
        <v>3.0</v>
      </c>
      <c r="T8" s="3">
        <v>4.0</v>
      </c>
      <c r="U8" s="3">
        <v>3.0</v>
      </c>
      <c r="V8" s="3">
        <v>4.0</v>
      </c>
      <c r="W8" s="3">
        <v>3.0</v>
      </c>
      <c r="X8" s="3">
        <v>3.0</v>
      </c>
      <c r="Y8" s="3">
        <v>4.0</v>
      </c>
      <c r="Z8" s="3">
        <v>4.0</v>
      </c>
      <c r="AA8" s="3">
        <v>3.0</v>
      </c>
      <c r="AB8" s="3">
        <v>3.0</v>
      </c>
      <c r="AC8" s="3">
        <v>4.0</v>
      </c>
      <c r="AD8" s="3">
        <v>3.0</v>
      </c>
      <c r="AE8" s="3">
        <v>3.0</v>
      </c>
      <c r="AF8" s="3">
        <v>3.0</v>
      </c>
      <c r="AG8" s="3">
        <v>3.0</v>
      </c>
      <c r="AH8" s="3">
        <v>4.0</v>
      </c>
      <c r="AI8" s="3">
        <v>3.0</v>
      </c>
      <c r="AJ8" s="3">
        <v>3.0</v>
      </c>
      <c r="AK8" s="3">
        <v>4.0</v>
      </c>
      <c r="AL8" s="3">
        <v>2.0</v>
      </c>
      <c r="AM8" s="3">
        <v>3.0</v>
      </c>
      <c r="AN8" s="3">
        <v>5.0</v>
      </c>
      <c r="AO8" s="3">
        <f t="shared" si="1"/>
        <v>127</v>
      </c>
      <c r="AP8" s="29">
        <f t="shared" si="2"/>
        <v>0.02344309234</v>
      </c>
    </row>
    <row r="9" ht="9.0" customHeight="1">
      <c r="A9" s="3" t="s">
        <v>91</v>
      </c>
      <c r="B9" s="3">
        <v>3.0</v>
      </c>
      <c r="C9" s="3">
        <v>4.0</v>
      </c>
      <c r="D9" s="3">
        <v>3.0</v>
      </c>
      <c r="E9" s="3">
        <v>3.0</v>
      </c>
      <c r="F9" s="3">
        <v>3.0</v>
      </c>
      <c r="G9" s="3">
        <v>4.0</v>
      </c>
      <c r="H9" s="3">
        <v>3.0</v>
      </c>
      <c r="I9" s="3">
        <v>4.0</v>
      </c>
      <c r="J9" s="3">
        <v>5.0</v>
      </c>
      <c r="K9" s="3">
        <v>5.0</v>
      </c>
      <c r="L9" s="3">
        <v>3.0</v>
      </c>
      <c r="M9" s="3">
        <v>3.0</v>
      </c>
      <c r="N9" s="3">
        <v>3.0</v>
      </c>
      <c r="O9" s="3">
        <v>3.0</v>
      </c>
      <c r="P9" s="3">
        <v>5.0</v>
      </c>
      <c r="Q9" s="3">
        <v>3.0</v>
      </c>
      <c r="R9" s="3">
        <v>5.0</v>
      </c>
      <c r="S9" s="3">
        <v>3.0</v>
      </c>
      <c r="T9" s="3">
        <v>2.0</v>
      </c>
      <c r="U9" s="3">
        <v>4.0</v>
      </c>
      <c r="V9" s="3">
        <v>4.0</v>
      </c>
      <c r="W9" s="3">
        <v>3.0</v>
      </c>
      <c r="X9" s="3">
        <v>4.0</v>
      </c>
      <c r="Y9" s="3">
        <v>5.0</v>
      </c>
      <c r="Z9" s="3">
        <v>5.0</v>
      </c>
      <c r="AA9" s="3">
        <v>4.0</v>
      </c>
      <c r="AB9" s="3">
        <v>3.0</v>
      </c>
      <c r="AC9" s="3">
        <v>4.0</v>
      </c>
      <c r="AD9" s="3">
        <v>3.0</v>
      </c>
      <c r="AE9" s="3">
        <v>4.0</v>
      </c>
      <c r="AF9" s="3">
        <v>3.0</v>
      </c>
      <c r="AG9" s="3">
        <v>5.0</v>
      </c>
      <c r="AH9" s="3">
        <v>5.0</v>
      </c>
      <c r="AI9" s="3">
        <v>3.0</v>
      </c>
      <c r="AJ9" s="3">
        <v>3.0</v>
      </c>
      <c r="AK9" s="3">
        <v>2.0</v>
      </c>
      <c r="AL9" s="3">
        <v>2.0</v>
      </c>
      <c r="AM9" s="3">
        <v>5.0</v>
      </c>
      <c r="AN9" s="3">
        <v>5.0</v>
      </c>
      <c r="AO9" s="3">
        <f t="shared" si="1"/>
        <v>143</v>
      </c>
      <c r="AP9" s="29">
        <f t="shared" si="2"/>
        <v>0.1327082009</v>
      </c>
    </row>
    <row r="10" ht="9.0" customHeight="1">
      <c r="A10" s="3" t="s">
        <v>92</v>
      </c>
      <c r="B10" s="3">
        <v>4.0</v>
      </c>
      <c r="C10" s="3">
        <v>3.0</v>
      </c>
      <c r="D10" s="3">
        <v>2.0</v>
      </c>
      <c r="E10" s="3">
        <v>3.0</v>
      </c>
      <c r="F10" s="3">
        <v>3.0</v>
      </c>
      <c r="G10" s="26">
        <v>1.0</v>
      </c>
      <c r="H10" s="3">
        <v>3.0</v>
      </c>
      <c r="I10" s="3">
        <v>3.0</v>
      </c>
      <c r="J10" s="3">
        <v>4.0</v>
      </c>
      <c r="K10" s="3">
        <v>3.0</v>
      </c>
      <c r="L10" s="3">
        <v>3.0</v>
      </c>
      <c r="M10" s="3">
        <v>3.0</v>
      </c>
      <c r="N10" s="3">
        <v>3.0</v>
      </c>
      <c r="O10" s="3">
        <v>3.0</v>
      </c>
      <c r="P10" s="3">
        <v>4.0</v>
      </c>
      <c r="Q10" s="3">
        <v>3.0</v>
      </c>
      <c r="R10" s="3">
        <v>4.0</v>
      </c>
      <c r="S10" s="3">
        <v>3.0</v>
      </c>
      <c r="T10" s="3">
        <v>3.0</v>
      </c>
      <c r="U10" s="3">
        <v>3.0</v>
      </c>
      <c r="V10" s="3">
        <v>3.0</v>
      </c>
      <c r="W10" s="3">
        <v>3.0</v>
      </c>
      <c r="X10" s="3">
        <v>3.0</v>
      </c>
      <c r="Y10" s="3">
        <v>4.0</v>
      </c>
      <c r="Z10" s="3">
        <v>3.0</v>
      </c>
      <c r="AA10" s="3">
        <v>2.0</v>
      </c>
      <c r="AB10" s="3">
        <v>3.0</v>
      </c>
      <c r="AC10" s="3">
        <v>5.0</v>
      </c>
      <c r="AD10" s="3">
        <v>3.0</v>
      </c>
      <c r="AE10" s="3">
        <v>5.0</v>
      </c>
      <c r="AF10" s="3">
        <v>3.0</v>
      </c>
      <c r="AG10" s="3">
        <v>4.0</v>
      </c>
      <c r="AH10" s="3">
        <v>3.0</v>
      </c>
      <c r="AI10" s="3">
        <v>4.0</v>
      </c>
      <c r="AJ10" s="3">
        <v>3.0</v>
      </c>
      <c r="AK10" s="3">
        <v>4.0</v>
      </c>
      <c r="AL10" s="3">
        <v>2.0</v>
      </c>
      <c r="AM10" s="3">
        <v>5.0</v>
      </c>
      <c r="AN10" s="3">
        <v>3.0</v>
      </c>
      <c r="AO10" s="3">
        <f t="shared" si="1"/>
        <v>126</v>
      </c>
      <c r="AP10" s="29">
        <f t="shared" si="2"/>
        <v>0.01569264069</v>
      </c>
    </row>
    <row r="11" ht="9.0" customHeight="1">
      <c r="A11" s="3" t="s">
        <v>93</v>
      </c>
      <c r="B11" s="3">
        <v>4.0</v>
      </c>
      <c r="C11" s="3">
        <v>2.0</v>
      </c>
      <c r="D11" s="3">
        <v>3.0</v>
      </c>
      <c r="E11" s="3">
        <v>2.0</v>
      </c>
      <c r="F11" s="3">
        <v>3.0</v>
      </c>
      <c r="G11" s="3">
        <v>5.0</v>
      </c>
      <c r="H11" s="26">
        <v>1.0</v>
      </c>
      <c r="I11" s="3">
        <v>2.0</v>
      </c>
      <c r="J11" s="3">
        <v>4.0</v>
      </c>
      <c r="K11" s="3">
        <v>5.0</v>
      </c>
      <c r="L11" s="3">
        <v>2.0</v>
      </c>
      <c r="M11" s="3">
        <v>3.0</v>
      </c>
      <c r="N11" s="3">
        <v>2.0</v>
      </c>
      <c r="O11" s="3">
        <v>3.0</v>
      </c>
      <c r="P11" s="3">
        <v>4.0</v>
      </c>
      <c r="Q11" s="3">
        <v>3.0</v>
      </c>
      <c r="R11" s="3">
        <v>3.0</v>
      </c>
      <c r="S11" s="3">
        <v>2.0</v>
      </c>
      <c r="T11" s="3">
        <v>3.0</v>
      </c>
      <c r="U11" s="3">
        <v>3.0</v>
      </c>
      <c r="V11" s="3">
        <v>3.0</v>
      </c>
      <c r="W11" s="3">
        <v>3.0</v>
      </c>
      <c r="X11" s="3">
        <v>4.0</v>
      </c>
      <c r="Y11" s="3">
        <v>5.0</v>
      </c>
      <c r="Z11" s="3">
        <v>4.0</v>
      </c>
      <c r="AA11" s="3">
        <v>3.0</v>
      </c>
      <c r="AB11" s="3">
        <v>5.0</v>
      </c>
      <c r="AC11" s="3">
        <v>4.0</v>
      </c>
      <c r="AD11" s="3">
        <v>4.0</v>
      </c>
      <c r="AE11" s="3">
        <v>4.0</v>
      </c>
      <c r="AF11" s="3">
        <v>4.0</v>
      </c>
      <c r="AG11" s="3">
        <v>2.0</v>
      </c>
      <c r="AH11" s="3">
        <v>4.0</v>
      </c>
      <c r="AI11" s="3">
        <v>2.0</v>
      </c>
      <c r="AJ11" s="3">
        <v>3.0</v>
      </c>
      <c r="AK11" s="3">
        <v>3.0</v>
      </c>
      <c r="AL11" s="3">
        <v>2.0</v>
      </c>
      <c r="AM11" s="3">
        <v>4.0</v>
      </c>
      <c r="AN11" s="3">
        <v>4.0</v>
      </c>
      <c r="AO11" s="3">
        <f t="shared" si="1"/>
        <v>126</v>
      </c>
      <c r="AP11" s="29">
        <f t="shared" si="2"/>
        <v>0.01569264069</v>
      </c>
    </row>
    <row r="12" ht="9.0" customHeight="1">
      <c r="A12" s="3" t="s">
        <v>94</v>
      </c>
      <c r="B12" s="3">
        <v>3.0</v>
      </c>
      <c r="C12" s="3">
        <v>5.0</v>
      </c>
      <c r="D12" s="3">
        <v>5.0</v>
      </c>
      <c r="E12" s="3">
        <v>3.0</v>
      </c>
      <c r="F12" s="3">
        <v>4.0</v>
      </c>
      <c r="G12" s="3">
        <v>5.0</v>
      </c>
      <c r="H12" s="3">
        <v>3.0</v>
      </c>
      <c r="I12" s="26">
        <v>1.0</v>
      </c>
      <c r="J12" s="3">
        <v>3.0</v>
      </c>
      <c r="K12" s="3">
        <v>4.0</v>
      </c>
      <c r="L12" s="3">
        <v>3.0</v>
      </c>
      <c r="M12" s="3">
        <v>3.0</v>
      </c>
      <c r="N12" s="3">
        <v>4.0</v>
      </c>
      <c r="O12" s="3">
        <v>3.0</v>
      </c>
      <c r="P12" s="3">
        <v>4.0</v>
      </c>
      <c r="Q12" s="3">
        <v>3.0</v>
      </c>
      <c r="R12" s="3">
        <v>5.0</v>
      </c>
      <c r="S12" s="3">
        <v>4.0</v>
      </c>
      <c r="T12" s="3">
        <v>3.0</v>
      </c>
      <c r="U12" s="3">
        <v>3.0</v>
      </c>
      <c r="V12" s="3">
        <v>4.0</v>
      </c>
      <c r="W12" s="3">
        <v>5.0</v>
      </c>
      <c r="X12" s="3">
        <v>3.0</v>
      </c>
      <c r="Y12" s="3">
        <v>5.0</v>
      </c>
      <c r="Z12" s="3">
        <v>5.0</v>
      </c>
      <c r="AA12" s="3">
        <v>3.0</v>
      </c>
      <c r="AB12" s="3">
        <v>3.0</v>
      </c>
      <c r="AC12" s="3">
        <v>3.0</v>
      </c>
      <c r="AD12" s="3">
        <v>4.0</v>
      </c>
      <c r="AE12" s="3">
        <v>3.0</v>
      </c>
      <c r="AF12" s="3">
        <v>4.0</v>
      </c>
      <c r="AG12" s="3">
        <v>4.0</v>
      </c>
      <c r="AH12" s="3">
        <v>5.0</v>
      </c>
      <c r="AI12" s="3">
        <v>3.0</v>
      </c>
      <c r="AJ12" s="3">
        <v>3.0</v>
      </c>
      <c r="AK12" s="3">
        <v>3.0</v>
      </c>
      <c r="AL12" s="3">
        <v>3.0</v>
      </c>
      <c r="AM12" s="3">
        <v>4.0</v>
      </c>
      <c r="AN12" s="3">
        <v>5.0</v>
      </c>
      <c r="AO12" s="3">
        <f t="shared" si="1"/>
        <v>143</v>
      </c>
      <c r="AP12" s="29">
        <f t="shared" si="2"/>
        <v>0.1327082009</v>
      </c>
    </row>
    <row r="13" ht="9.0" customHeight="1">
      <c r="A13" s="3" t="s">
        <v>95</v>
      </c>
      <c r="B13" s="3">
        <v>3.0</v>
      </c>
      <c r="C13" s="3">
        <v>3.0</v>
      </c>
      <c r="D13" s="3">
        <v>3.0</v>
      </c>
      <c r="E13" s="3">
        <v>3.0</v>
      </c>
      <c r="F13" s="3">
        <v>3.0</v>
      </c>
      <c r="G13" s="3">
        <v>3.0</v>
      </c>
      <c r="H13" s="3">
        <v>3.0</v>
      </c>
      <c r="I13" s="3">
        <v>4.0</v>
      </c>
      <c r="J13" s="26">
        <v>1.0</v>
      </c>
      <c r="K13" s="3">
        <v>3.0</v>
      </c>
      <c r="L13" s="3">
        <v>3.0</v>
      </c>
      <c r="M13" s="3">
        <v>3.0</v>
      </c>
      <c r="N13" s="3">
        <v>3.0</v>
      </c>
      <c r="O13" s="3">
        <v>3.0</v>
      </c>
      <c r="P13" s="3">
        <v>4.0</v>
      </c>
      <c r="Q13" s="3">
        <v>2.0</v>
      </c>
      <c r="R13" s="3">
        <v>5.0</v>
      </c>
      <c r="S13" s="3">
        <v>3.0</v>
      </c>
      <c r="T13" s="3">
        <v>3.0</v>
      </c>
      <c r="U13" s="3">
        <v>3.0</v>
      </c>
      <c r="V13" s="3">
        <v>3.0</v>
      </c>
      <c r="W13" s="3">
        <v>4.0</v>
      </c>
      <c r="X13" s="3">
        <v>3.0</v>
      </c>
      <c r="Y13" s="3">
        <v>5.0</v>
      </c>
      <c r="Z13" s="3">
        <v>3.0</v>
      </c>
      <c r="AA13" s="3">
        <v>4.0</v>
      </c>
      <c r="AB13" s="3">
        <v>2.0</v>
      </c>
      <c r="AC13" s="3">
        <v>3.0</v>
      </c>
      <c r="AD13" s="3">
        <v>4.0</v>
      </c>
      <c r="AE13" s="3">
        <v>4.0</v>
      </c>
      <c r="AF13" s="3">
        <v>4.0</v>
      </c>
      <c r="AG13" s="3">
        <v>3.0</v>
      </c>
      <c r="AH13" s="3">
        <v>5.0</v>
      </c>
      <c r="AI13" s="3">
        <v>3.0</v>
      </c>
      <c r="AJ13" s="3">
        <v>4.0</v>
      </c>
      <c r="AK13" s="3">
        <v>2.0</v>
      </c>
      <c r="AL13" s="3">
        <v>2.0</v>
      </c>
      <c r="AM13" s="3">
        <v>5.0</v>
      </c>
      <c r="AN13" s="3">
        <v>5.0</v>
      </c>
      <c r="AO13" s="3">
        <f t="shared" si="1"/>
        <v>129</v>
      </c>
      <c r="AP13" s="29">
        <f t="shared" si="2"/>
        <v>0.03858350951</v>
      </c>
    </row>
    <row r="14" ht="9.0" customHeight="1">
      <c r="A14" s="30" t="s">
        <v>96</v>
      </c>
      <c r="B14" s="30">
        <v>4.0</v>
      </c>
      <c r="C14" s="30">
        <v>4.0</v>
      </c>
      <c r="D14" s="30">
        <v>3.0</v>
      </c>
      <c r="E14" s="30">
        <v>3.0</v>
      </c>
      <c r="F14" s="30">
        <v>4.0</v>
      </c>
      <c r="G14" s="30">
        <v>3.0</v>
      </c>
      <c r="H14" s="30">
        <v>3.0</v>
      </c>
      <c r="I14" s="30">
        <v>4.0</v>
      </c>
      <c r="J14" s="30">
        <v>4.0</v>
      </c>
      <c r="K14" s="26">
        <v>1.0</v>
      </c>
      <c r="L14" s="30">
        <v>3.0</v>
      </c>
      <c r="M14" s="30">
        <v>3.0</v>
      </c>
      <c r="N14" s="30">
        <v>4.0</v>
      </c>
      <c r="O14" s="30">
        <v>3.0</v>
      </c>
      <c r="P14" s="30">
        <v>4.0</v>
      </c>
      <c r="Q14" s="30">
        <v>2.0</v>
      </c>
      <c r="R14" s="30">
        <v>5.0</v>
      </c>
      <c r="S14" s="30">
        <v>3.0</v>
      </c>
      <c r="T14" s="30">
        <v>3.0</v>
      </c>
      <c r="U14" s="30">
        <v>2.0</v>
      </c>
      <c r="V14" s="30">
        <v>5.0</v>
      </c>
      <c r="W14" s="30">
        <v>4.0</v>
      </c>
      <c r="X14" s="30">
        <v>4.0</v>
      </c>
      <c r="Y14" s="30">
        <v>5.0</v>
      </c>
      <c r="Z14" s="30">
        <v>4.0</v>
      </c>
      <c r="AA14" s="30">
        <v>3.0</v>
      </c>
      <c r="AB14" s="30">
        <v>2.0</v>
      </c>
      <c r="AC14" s="30">
        <v>4.0</v>
      </c>
      <c r="AD14" s="30">
        <v>3.0</v>
      </c>
      <c r="AE14" s="30">
        <v>3.0</v>
      </c>
      <c r="AF14" s="30">
        <v>3.0</v>
      </c>
      <c r="AG14" s="30">
        <v>3.0</v>
      </c>
      <c r="AH14" s="30">
        <v>4.0</v>
      </c>
      <c r="AI14" s="30">
        <v>3.0</v>
      </c>
      <c r="AJ14" s="30">
        <v>4.0</v>
      </c>
      <c r="AK14" s="30">
        <v>3.0</v>
      </c>
      <c r="AL14" s="30">
        <v>3.0</v>
      </c>
      <c r="AM14" s="30">
        <v>5.0</v>
      </c>
      <c r="AN14" s="30">
        <v>4.0</v>
      </c>
      <c r="AO14" s="3">
        <f t="shared" si="1"/>
        <v>134</v>
      </c>
      <c r="AP14" s="29">
        <f t="shared" si="2"/>
        <v>0.07445725916</v>
      </c>
    </row>
    <row r="15" ht="9.0" customHeight="1">
      <c r="A15" s="3" t="s">
        <v>97</v>
      </c>
      <c r="B15" s="3">
        <v>4.0</v>
      </c>
      <c r="C15" s="3">
        <v>4.0</v>
      </c>
      <c r="D15" s="3">
        <v>3.0</v>
      </c>
      <c r="E15" s="3">
        <v>2.0</v>
      </c>
      <c r="F15" s="3">
        <v>3.0</v>
      </c>
      <c r="G15" s="3">
        <v>4.0</v>
      </c>
      <c r="H15" s="3">
        <v>3.0</v>
      </c>
      <c r="I15" s="3">
        <v>4.0</v>
      </c>
      <c r="J15" s="3">
        <v>2.0</v>
      </c>
      <c r="K15" s="3">
        <v>4.0</v>
      </c>
      <c r="L15" s="26">
        <v>1.0</v>
      </c>
      <c r="M15" s="3">
        <v>2.0</v>
      </c>
      <c r="N15" s="3">
        <v>3.0</v>
      </c>
      <c r="O15" s="3">
        <v>2.0</v>
      </c>
      <c r="P15" s="3">
        <v>3.0</v>
      </c>
      <c r="Q15" s="3">
        <v>2.0</v>
      </c>
      <c r="R15" s="3">
        <v>4.0</v>
      </c>
      <c r="S15" s="3">
        <v>2.0</v>
      </c>
      <c r="T15" s="3">
        <v>4.0</v>
      </c>
      <c r="U15" s="3">
        <v>1.0</v>
      </c>
      <c r="V15" s="3">
        <v>2.0</v>
      </c>
      <c r="W15" s="3">
        <v>4.0</v>
      </c>
      <c r="X15" s="3">
        <v>3.0</v>
      </c>
      <c r="Y15" s="3">
        <v>5.0</v>
      </c>
      <c r="Z15" s="3">
        <v>2.0</v>
      </c>
      <c r="AA15" s="3">
        <v>3.0</v>
      </c>
      <c r="AB15" s="3">
        <v>2.0</v>
      </c>
      <c r="AC15" s="3">
        <v>4.0</v>
      </c>
      <c r="AD15" s="3">
        <v>5.0</v>
      </c>
      <c r="AE15" s="3">
        <v>3.0</v>
      </c>
      <c r="AF15" s="3">
        <v>3.0</v>
      </c>
      <c r="AG15" s="3">
        <v>4.0</v>
      </c>
      <c r="AH15" s="3">
        <v>5.0</v>
      </c>
      <c r="AI15" s="3">
        <v>5.0</v>
      </c>
      <c r="AJ15" s="3">
        <v>2.0</v>
      </c>
      <c r="AK15" s="3">
        <v>3.0</v>
      </c>
      <c r="AL15" s="3">
        <v>2.0</v>
      </c>
      <c r="AM15" s="3">
        <v>4.0</v>
      </c>
      <c r="AN15" s="3">
        <v>4.0</v>
      </c>
      <c r="AO15" s="3">
        <f t="shared" si="1"/>
        <v>122</v>
      </c>
      <c r="AP15" s="29">
        <f t="shared" si="2"/>
        <v>-0.01657973174</v>
      </c>
    </row>
    <row r="16" ht="9.0" customHeight="1">
      <c r="A16" s="3" t="s">
        <v>98</v>
      </c>
      <c r="B16" s="3">
        <v>4.0</v>
      </c>
      <c r="C16" s="3">
        <v>5.0</v>
      </c>
      <c r="D16" s="3">
        <v>4.0</v>
      </c>
      <c r="E16" s="3">
        <v>4.0</v>
      </c>
      <c r="F16" s="3">
        <v>4.0</v>
      </c>
      <c r="G16" s="3">
        <v>5.0</v>
      </c>
      <c r="H16" s="3">
        <v>4.0</v>
      </c>
      <c r="I16" s="3">
        <v>4.0</v>
      </c>
      <c r="J16" s="3">
        <v>4.0</v>
      </c>
      <c r="K16" s="3">
        <v>4.0</v>
      </c>
      <c r="L16" s="3">
        <v>4.0</v>
      </c>
      <c r="M16" s="26">
        <v>1.0</v>
      </c>
      <c r="N16" s="3">
        <v>4.0</v>
      </c>
      <c r="O16" s="3">
        <v>4.0</v>
      </c>
      <c r="P16" s="3">
        <v>4.0</v>
      </c>
      <c r="Q16" s="3">
        <v>4.0</v>
      </c>
      <c r="R16" s="3">
        <v>4.0</v>
      </c>
      <c r="S16" s="3">
        <v>4.0</v>
      </c>
      <c r="T16" s="3">
        <v>4.0</v>
      </c>
      <c r="U16" s="3">
        <v>4.0</v>
      </c>
      <c r="V16" s="3">
        <v>4.0</v>
      </c>
      <c r="W16" s="3">
        <v>4.0</v>
      </c>
      <c r="X16" s="3">
        <v>4.0</v>
      </c>
      <c r="Y16" s="3">
        <v>4.0</v>
      </c>
      <c r="Z16" s="3">
        <v>5.0</v>
      </c>
      <c r="AA16" s="3">
        <v>4.0</v>
      </c>
      <c r="AB16" s="3">
        <v>4.0</v>
      </c>
      <c r="AC16" s="3">
        <v>5.0</v>
      </c>
      <c r="AD16" s="3">
        <v>4.0</v>
      </c>
      <c r="AE16" s="3">
        <v>4.0</v>
      </c>
      <c r="AF16" s="3">
        <v>4.0</v>
      </c>
      <c r="AG16" s="3">
        <v>4.0</v>
      </c>
      <c r="AH16" s="3">
        <v>4.0</v>
      </c>
      <c r="AI16" s="3">
        <v>4.0</v>
      </c>
      <c r="AJ16" s="3">
        <v>4.0</v>
      </c>
      <c r="AK16" s="3">
        <v>4.0</v>
      </c>
      <c r="AL16" s="3">
        <v>4.0</v>
      </c>
      <c r="AM16" s="3">
        <v>4.0</v>
      </c>
      <c r="AN16" s="3">
        <v>4.0</v>
      </c>
      <c r="AO16" s="3">
        <f t="shared" si="1"/>
        <v>157</v>
      </c>
      <c r="AP16" s="29">
        <f t="shared" si="2"/>
        <v>0.2100463231</v>
      </c>
    </row>
    <row r="17" ht="9.0" customHeight="1">
      <c r="A17" s="3" t="s">
        <v>99</v>
      </c>
      <c r="B17" s="3">
        <v>3.0</v>
      </c>
      <c r="C17" s="3">
        <v>3.0</v>
      </c>
      <c r="D17" s="3">
        <v>3.0</v>
      </c>
      <c r="E17" s="3">
        <v>3.0</v>
      </c>
      <c r="F17" s="3">
        <v>3.0</v>
      </c>
      <c r="G17" s="3">
        <v>3.0</v>
      </c>
      <c r="H17" s="3">
        <v>3.0</v>
      </c>
      <c r="I17" s="3">
        <v>4.0</v>
      </c>
      <c r="J17" s="3">
        <v>3.0</v>
      </c>
      <c r="K17" s="3">
        <v>5.0</v>
      </c>
      <c r="L17" s="3">
        <v>3.0</v>
      </c>
      <c r="M17" s="3">
        <v>3.0</v>
      </c>
      <c r="N17" s="26">
        <v>1.0</v>
      </c>
      <c r="O17" s="3">
        <v>3.0</v>
      </c>
      <c r="P17" s="3">
        <v>5.0</v>
      </c>
      <c r="Q17" s="3">
        <v>3.0</v>
      </c>
      <c r="R17" s="3">
        <v>4.0</v>
      </c>
      <c r="S17" s="3">
        <v>3.0</v>
      </c>
      <c r="T17" s="3">
        <v>3.0</v>
      </c>
      <c r="U17" s="3">
        <v>3.0</v>
      </c>
      <c r="V17" s="3">
        <v>3.0</v>
      </c>
      <c r="W17" s="3">
        <v>3.0</v>
      </c>
      <c r="X17" s="3">
        <v>3.0</v>
      </c>
      <c r="Y17" s="3">
        <v>3.0</v>
      </c>
      <c r="Z17" s="3">
        <v>3.0</v>
      </c>
      <c r="AA17" s="3">
        <v>3.0</v>
      </c>
      <c r="AB17" s="3">
        <v>3.0</v>
      </c>
      <c r="AC17" s="3">
        <v>3.0</v>
      </c>
      <c r="AD17" s="3">
        <v>3.0</v>
      </c>
      <c r="AE17" s="3">
        <v>3.0</v>
      </c>
      <c r="AF17" s="3">
        <v>3.0</v>
      </c>
      <c r="AG17" s="3">
        <v>3.0</v>
      </c>
      <c r="AH17" s="3">
        <v>3.0</v>
      </c>
      <c r="AI17" s="3">
        <v>3.0</v>
      </c>
      <c r="AJ17" s="3">
        <v>3.0</v>
      </c>
      <c r="AK17" s="3">
        <v>3.0</v>
      </c>
      <c r="AL17" s="3">
        <v>3.0</v>
      </c>
      <c r="AM17" s="3">
        <v>3.0</v>
      </c>
      <c r="AN17" s="3">
        <v>3.0</v>
      </c>
      <c r="AO17" s="3">
        <f t="shared" si="1"/>
        <v>121</v>
      </c>
      <c r="AP17" s="29">
        <f t="shared" si="2"/>
        <v>-0.02498121713</v>
      </c>
    </row>
    <row r="18" ht="9.0" customHeight="1">
      <c r="A18" s="3" t="s">
        <v>100</v>
      </c>
      <c r="B18" s="3">
        <v>3.0</v>
      </c>
      <c r="C18" s="3">
        <v>3.0</v>
      </c>
      <c r="D18" s="3">
        <v>3.0</v>
      </c>
      <c r="E18" s="3">
        <v>5.0</v>
      </c>
      <c r="F18" s="3">
        <v>3.0</v>
      </c>
      <c r="G18" s="3">
        <v>4.0</v>
      </c>
      <c r="H18" s="3">
        <v>4.0</v>
      </c>
      <c r="I18" s="3">
        <v>4.0</v>
      </c>
      <c r="J18" s="3">
        <v>4.0</v>
      </c>
      <c r="K18" s="3">
        <v>4.0</v>
      </c>
      <c r="L18" s="3">
        <v>4.0</v>
      </c>
      <c r="M18" s="3">
        <v>3.0</v>
      </c>
      <c r="N18" s="3">
        <v>3.0</v>
      </c>
      <c r="O18" s="26">
        <v>1.0</v>
      </c>
      <c r="P18" s="3">
        <v>4.0</v>
      </c>
      <c r="Q18" s="3">
        <v>3.0</v>
      </c>
      <c r="R18" s="3">
        <v>4.0</v>
      </c>
      <c r="S18" s="3">
        <v>3.0</v>
      </c>
      <c r="T18" s="3">
        <v>4.0</v>
      </c>
      <c r="U18" s="3">
        <v>4.0</v>
      </c>
      <c r="V18" s="3">
        <v>2.0</v>
      </c>
      <c r="W18" s="3">
        <v>3.0</v>
      </c>
      <c r="X18" s="3">
        <v>4.0</v>
      </c>
      <c r="Y18" s="3">
        <v>5.0</v>
      </c>
      <c r="Z18" s="3">
        <v>4.0</v>
      </c>
      <c r="AA18" s="3">
        <v>3.0</v>
      </c>
      <c r="AB18" s="3">
        <v>2.0</v>
      </c>
      <c r="AC18" s="3">
        <v>5.0</v>
      </c>
      <c r="AD18" s="3">
        <v>5.0</v>
      </c>
      <c r="AE18" s="3">
        <v>3.0</v>
      </c>
      <c r="AF18" s="3">
        <v>3.0</v>
      </c>
      <c r="AG18" s="3">
        <v>2.0</v>
      </c>
      <c r="AH18" s="3">
        <v>3.0</v>
      </c>
      <c r="AI18" s="3">
        <v>4.0</v>
      </c>
      <c r="AJ18" s="3">
        <v>2.0</v>
      </c>
      <c r="AK18" s="3">
        <v>5.0</v>
      </c>
      <c r="AL18" s="3">
        <v>2.0</v>
      </c>
      <c r="AM18" s="3">
        <v>4.0</v>
      </c>
      <c r="AN18" s="3">
        <v>4.0</v>
      </c>
      <c r="AO18" s="3">
        <f t="shared" si="1"/>
        <v>135</v>
      </c>
      <c r="AP18" s="29">
        <f t="shared" si="2"/>
        <v>0.08131313131</v>
      </c>
    </row>
    <row r="19" ht="9.0" customHeight="1">
      <c r="A19" s="3" t="s">
        <v>101</v>
      </c>
      <c r="B19" s="3">
        <v>4.0</v>
      </c>
      <c r="C19" s="3">
        <v>2.0</v>
      </c>
      <c r="D19" s="3">
        <v>3.0</v>
      </c>
      <c r="E19" s="3">
        <v>2.0</v>
      </c>
      <c r="F19" s="3">
        <v>3.0</v>
      </c>
      <c r="G19" s="3">
        <v>5.0</v>
      </c>
      <c r="H19" s="3">
        <v>4.0</v>
      </c>
      <c r="I19" s="3">
        <v>4.0</v>
      </c>
      <c r="J19" s="3">
        <v>5.0</v>
      </c>
      <c r="K19" s="3">
        <v>3.0</v>
      </c>
      <c r="L19" s="3">
        <v>3.0</v>
      </c>
      <c r="M19" s="3">
        <v>3.0</v>
      </c>
      <c r="N19" s="3">
        <v>4.0</v>
      </c>
      <c r="O19" s="3">
        <v>4.0</v>
      </c>
      <c r="P19" s="26">
        <v>1.0</v>
      </c>
      <c r="Q19" s="3">
        <v>3.0</v>
      </c>
      <c r="R19" s="3">
        <v>4.0</v>
      </c>
      <c r="S19" s="3">
        <v>2.0</v>
      </c>
      <c r="T19" s="3">
        <v>4.0</v>
      </c>
      <c r="U19" s="3">
        <v>3.0</v>
      </c>
      <c r="V19" s="3">
        <v>4.0</v>
      </c>
      <c r="W19" s="3">
        <v>5.0</v>
      </c>
      <c r="X19" s="3">
        <v>5.0</v>
      </c>
      <c r="Y19" s="3">
        <v>3.0</v>
      </c>
      <c r="Z19" s="3">
        <v>5.0</v>
      </c>
      <c r="AA19" s="3">
        <v>3.0</v>
      </c>
      <c r="AB19" s="3">
        <v>4.0</v>
      </c>
      <c r="AC19" s="3">
        <v>5.0</v>
      </c>
      <c r="AD19" s="3">
        <v>3.0</v>
      </c>
      <c r="AE19" s="3">
        <v>3.0</v>
      </c>
      <c r="AF19" s="3">
        <v>3.0</v>
      </c>
      <c r="AG19" s="3">
        <v>3.0</v>
      </c>
      <c r="AH19" s="3">
        <v>4.0</v>
      </c>
      <c r="AI19" s="3">
        <v>2.0</v>
      </c>
      <c r="AJ19" s="3">
        <v>3.0</v>
      </c>
      <c r="AK19" s="3">
        <v>4.0</v>
      </c>
      <c r="AL19" s="3">
        <v>2.0</v>
      </c>
      <c r="AM19" s="3">
        <v>5.0</v>
      </c>
      <c r="AN19" s="3">
        <v>5.0</v>
      </c>
      <c r="AO19" s="3">
        <f t="shared" si="1"/>
        <v>137</v>
      </c>
      <c r="AP19" s="29">
        <f t="shared" si="2"/>
        <v>0.09472461845</v>
      </c>
    </row>
    <row r="20" ht="9.0" customHeight="1">
      <c r="A20" s="3" t="s">
        <v>102</v>
      </c>
      <c r="B20" s="3">
        <v>4.0</v>
      </c>
      <c r="C20" s="3">
        <v>1.0</v>
      </c>
      <c r="D20" s="3">
        <v>3.0</v>
      </c>
      <c r="E20" s="3">
        <v>3.0</v>
      </c>
      <c r="F20" s="3">
        <v>2.0</v>
      </c>
      <c r="G20" s="3">
        <v>3.0</v>
      </c>
      <c r="H20" s="3">
        <v>2.0</v>
      </c>
      <c r="I20" s="3">
        <v>3.0</v>
      </c>
      <c r="J20" s="3">
        <v>3.0</v>
      </c>
      <c r="K20" s="3">
        <v>3.0</v>
      </c>
      <c r="L20" s="3">
        <v>1.0</v>
      </c>
      <c r="M20" s="3">
        <v>2.0</v>
      </c>
      <c r="N20" s="3">
        <v>3.0</v>
      </c>
      <c r="O20" s="3">
        <v>3.0</v>
      </c>
      <c r="P20" s="3">
        <v>5.0</v>
      </c>
      <c r="Q20" s="3">
        <v>1.0</v>
      </c>
      <c r="R20" s="3">
        <v>3.0</v>
      </c>
      <c r="S20" s="3">
        <v>3.0</v>
      </c>
      <c r="T20" s="3">
        <v>3.0</v>
      </c>
      <c r="U20" s="3">
        <v>1.0</v>
      </c>
      <c r="V20" s="3">
        <v>3.0</v>
      </c>
      <c r="W20" s="3">
        <v>1.0</v>
      </c>
      <c r="X20" s="3">
        <v>2.0</v>
      </c>
      <c r="Y20" s="3">
        <v>3.0</v>
      </c>
      <c r="Z20" s="3">
        <v>4.0</v>
      </c>
      <c r="AA20" s="3">
        <v>2.0</v>
      </c>
      <c r="AB20" s="3">
        <v>3.0</v>
      </c>
      <c r="AC20" s="3">
        <v>4.0</v>
      </c>
      <c r="AD20" s="3">
        <v>5.0</v>
      </c>
      <c r="AE20" s="3">
        <v>2.0</v>
      </c>
      <c r="AF20" s="3">
        <v>3.0</v>
      </c>
      <c r="AG20" s="3">
        <v>2.0</v>
      </c>
      <c r="AH20" s="3">
        <v>3.0</v>
      </c>
      <c r="AI20" s="3">
        <v>3.0</v>
      </c>
      <c r="AJ20" s="3">
        <v>1.0</v>
      </c>
      <c r="AK20" s="3">
        <v>2.0</v>
      </c>
      <c r="AL20" s="3">
        <v>1.0</v>
      </c>
      <c r="AM20" s="3">
        <v>3.0</v>
      </c>
      <c r="AN20" s="3">
        <v>4.0</v>
      </c>
      <c r="AO20" s="3">
        <f t="shared" si="1"/>
        <v>103</v>
      </c>
      <c r="AP20" s="29">
        <f t="shared" si="2"/>
        <v>-0.2041041483</v>
      </c>
    </row>
    <row r="21" ht="9.0" customHeight="1">
      <c r="A21" s="3" t="s">
        <v>103</v>
      </c>
      <c r="B21" s="3">
        <v>5.0</v>
      </c>
      <c r="C21" s="3">
        <v>5.0</v>
      </c>
      <c r="D21" s="3">
        <v>4.0</v>
      </c>
      <c r="E21" s="3">
        <v>2.0</v>
      </c>
      <c r="F21" s="3">
        <v>2.0</v>
      </c>
      <c r="G21" s="3">
        <v>4.0</v>
      </c>
      <c r="H21" s="3">
        <v>2.0</v>
      </c>
      <c r="I21" s="3">
        <v>2.0</v>
      </c>
      <c r="J21" s="3">
        <v>2.0</v>
      </c>
      <c r="K21" s="3">
        <v>3.0</v>
      </c>
      <c r="L21" s="3">
        <v>3.0</v>
      </c>
      <c r="M21" s="3">
        <v>2.0</v>
      </c>
      <c r="N21" s="3">
        <v>4.0</v>
      </c>
      <c r="O21" s="3">
        <v>1.0</v>
      </c>
      <c r="P21" s="3">
        <v>5.0</v>
      </c>
      <c r="Q21" s="26">
        <v>1.0</v>
      </c>
      <c r="R21" s="3">
        <v>3.0</v>
      </c>
      <c r="S21" s="3">
        <v>3.0</v>
      </c>
      <c r="T21" s="3">
        <v>2.0</v>
      </c>
      <c r="U21" s="3">
        <v>1.0</v>
      </c>
      <c r="V21" s="3">
        <v>3.0</v>
      </c>
      <c r="W21" s="3">
        <v>5.0</v>
      </c>
      <c r="X21" s="3">
        <v>1.0</v>
      </c>
      <c r="Y21" s="3">
        <v>3.0</v>
      </c>
      <c r="Z21" s="3">
        <v>3.0</v>
      </c>
      <c r="AA21" s="3">
        <v>2.0</v>
      </c>
      <c r="AB21" s="3">
        <v>2.0</v>
      </c>
      <c r="AC21" s="3">
        <v>2.0</v>
      </c>
      <c r="AD21" s="3">
        <v>4.0</v>
      </c>
      <c r="AE21" s="3">
        <v>3.0</v>
      </c>
      <c r="AF21" s="3">
        <v>3.0</v>
      </c>
      <c r="AG21" s="3">
        <v>4.0</v>
      </c>
      <c r="AH21" s="3">
        <v>3.0</v>
      </c>
      <c r="AI21" s="3">
        <v>5.0</v>
      </c>
      <c r="AJ21" s="3">
        <v>3.0</v>
      </c>
      <c r="AK21" s="3">
        <v>1.0</v>
      </c>
      <c r="AL21" s="3">
        <v>3.0</v>
      </c>
      <c r="AM21" s="3">
        <v>4.0</v>
      </c>
      <c r="AN21" s="3">
        <v>2.0</v>
      </c>
      <c r="AO21" s="3">
        <f t="shared" si="1"/>
        <v>112</v>
      </c>
      <c r="AP21" s="29">
        <f t="shared" si="2"/>
        <v>-0.1073457792</v>
      </c>
    </row>
    <row r="22" ht="9.0" customHeight="1">
      <c r="A22" s="3" t="s">
        <v>104</v>
      </c>
      <c r="B22" s="3">
        <v>5.0</v>
      </c>
      <c r="C22" s="3">
        <v>3.0</v>
      </c>
      <c r="D22" s="3">
        <v>3.0</v>
      </c>
      <c r="E22" s="3">
        <v>3.0</v>
      </c>
      <c r="F22" s="3">
        <v>5.0</v>
      </c>
      <c r="G22" s="3">
        <v>4.0</v>
      </c>
      <c r="H22" s="3">
        <v>3.0</v>
      </c>
      <c r="I22" s="3">
        <v>3.0</v>
      </c>
      <c r="J22" s="3">
        <v>4.0</v>
      </c>
      <c r="K22" s="3">
        <v>5.0</v>
      </c>
      <c r="L22" s="3">
        <v>3.0</v>
      </c>
      <c r="M22" s="3">
        <v>4.0</v>
      </c>
      <c r="N22" s="3">
        <v>4.0</v>
      </c>
      <c r="O22" s="3">
        <v>3.0</v>
      </c>
      <c r="P22" s="3">
        <v>3.0</v>
      </c>
      <c r="Q22" s="3">
        <v>2.0</v>
      </c>
      <c r="R22" s="26">
        <v>1.0</v>
      </c>
      <c r="S22" s="3">
        <v>4.0</v>
      </c>
      <c r="T22" s="3">
        <v>4.0</v>
      </c>
      <c r="U22" s="3">
        <v>2.0</v>
      </c>
      <c r="V22" s="3">
        <v>3.0</v>
      </c>
      <c r="W22" s="3">
        <v>4.0</v>
      </c>
      <c r="X22" s="3">
        <v>5.0</v>
      </c>
      <c r="Y22" s="3">
        <v>5.0</v>
      </c>
      <c r="Z22" s="3">
        <v>4.0</v>
      </c>
      <c r="AA22" s="3">
        <v>2.0</v>
      </c>
      <c r="AB22" s="3">
        <v>2.0</v>
      </c>
      <c r="AC22" s="3">
        <v>5.0</v>
      </c>
      <c r="AD22" s="3">
        <v>5.0</v>
      </c>
      <c r="AE22" s="3">
        <v>3.0</v>
      </c>
      <c r="AF22" s="3">
        <v>4.0</v>
      </c>
      <c r="AG22" s="3">
        <v>2.0</v>
      </c>
      <c r="AH22" s="3">
        <v>4.0</v>
      </c>
      <c r="AI22" s="3">
        <v>2.0</v>
      </c>
      <c r="AJ22" s="3">
        <v>3.0</v>
      </c>
      <c r="AK22" s="3">
        <v>4.0</v>
      </c>
      <c r="AL22" s="3">
        <v>2.0</v>
      </c>
      <c r="AM22" s="3">
        <v>5.0</v>
      </c>
      <c r="AN22" s="3">
        <v>5.0</v>
      </c>
      <c r="AO22" s="3">
        <f t="shared" si="1"/>
        <v>137</v>
      </c>
      <c r="AP22" s="29">
        <f t="shared" si="2"/>
        <v>0.09472461845</v>
      </c>
    </row>
    <row r="23" ht="9.0" customHeight="1">
      <c r="A23" s="3" t="s">
        <v>105</v>
      </c>
      <c r="B23" s="3">
        <v>3.0</v>
      </c>
      <c r="C23" s="3">
        <v>3.0</v>
      </c>
      <c r="D23" s="3">
        <v>3.0</v>
      </c>
      <c r="E23" s="3">
        <v>3.0</v>
      </c>
      <c r="F23" s="3">
        <v>5.0</v>
      </c>
      <c r="G23" s="3">
        <v>5.0</v>
      </c>
      <c r="H23" s="3">
        <v>3.0</v>
      </c>
      <c r="I23" s="3">
        <v>4.0</v>
      </c>
      <c r="J23" s="3">
        <v>3.0</v>
      </c>
      <c r="K23" s="3">
        <v>5.0</v>
      </c>
      <c r="L23" s="3">
        <v>2.0</v>
      </c>
      <c r="M23" s="3">
        <v>4.0</v>
      </c>
      <c r="N23" s="3">
        <v>4.0</v>
      </c>
      <c r="O23" s="3">
        <v>4.0</v>
      </c>
      <c r="P23" s="3">
        <v>4.0</v>
      </c>
      <c r="Q23" s="3">
        <v>2.0</v>
      </c>
      <c r="R23" s="3">
        <v>4.0</v>
      </c>
      <c r="S23" s="26">
        <v>1.0</v>
      </c>
      <c r="T23" s="3">
        <v>3.0</v>
      </c>
      <c r="U23" s="3">
        <v>2.0</v>
      </c>
      <c r="V23" s="3">
        <v>3.0</v>
      </c>
      <c r="W23" s="3">
        <v>3.0</v>
      </c>
      <c r="X23" s="3">
        <v>4.0</v>
      </c>
      <c r="Y23" s="3">
        <v>4.0</v>
      </c>
      <c r="Z23" s="3">
        <v>4.0</v>
      </c>
      <c r="AA23" s="3">
        <v>3.0</v>
      </c>
      <c r="AB23" s="3">
        <v>3.0</v>
      </c>
      <c r="AC23" s="3">
        <v>4.0</v>
      </c>
      <c r="AD23" s="3">
        <v>3.0</v>
      </c>
      <c r="AE23" s="3">
        <v>2.0</v>
      </c>
      <c r="AF23" s="3">
        <v>3.0</v>
      </c>
      <c r="AG23" s="3">
        <v>3.0</v>
      </c>
      <c r="AH23" s="3">
        <v>3.0</v>
      </c>
      <c r="AI23" s="3">
        <v>3.0</v>
      </c>
      <c r="AJ23" s="3">
        <v>2.0</v>
      </c>
      <c r="AK23" s="3">
        <v>3.0</v>
      </c>
      <c r="AL23" s="3">
        <v>2.0</v>
      </c>
      <c r="AM23" s="3">
        <v>5.0</v>
      </c>
      <c r="AN23" s="3">
        <v>5.0</v>
      </c>
      <c r="AO23" s="3">
        <f t="shared" si="1"/>
        <v>129</v>
      </c>
      <c r="AP23" s="29">
        <f t="shared" si="2"/>
        <v>0.03858350951</v>
      </c>
    </row>
    <row r="24" ht="9.0" customHeight="1">
      <c r="A24" s="3" t="s">
        <v>106</v>
      </c>
      <c r="B24" s="3">
        <v>4.0</v>
      </c>
      <c r="C24" s="3">
        <v>1.0</v>
      </c>
      <c r="D24" s="3">
        <v>3.0</v>
      </c>
      <c r="E24" s="3">
        <v>1.0</v>
      </c>
      <c r="F24" s="3">
        <v>5.0</v>
      </c>
      <c r="G24" s="3">
        <v>5.0</v>
      </c>
      <c r="H24" s="3">
        <v>1.0</v>
      </c>
      <c r="I24" s="3">
        <v>4.0</v>
      </c>
      <c r="J24" s="3">
        <v>4.0</v>
      </c>
      <c r="K24" s="3">
        <v>3.0</v>
      </c>
      <c r="L24" s="3">
        <v>1.0</v>
      </c>
      <c r="M24" s="3">
        <v>4.0</v>
      </c>
      <c r="N24" s="3">
        <v>3.0</v>
      </c>
      <c r="O24" s="3">
        <v>1.0</v>
      </c>
      <c r="P24" s="3">
        <v>2.0</v>
      </c>
      <c r="Q24" s="3">
        <v>1.0</v>
      </c>
      <c r="R24" s="3">
        <v>3.0</v>
      </c>
      <c r="S24" s="3">
        <v>2.0</v>
      </c>
      <c r="T24" s="26">
        <v>1.0</v>
      </c>
      <c r="U24" s="3">
        <v>1.0</v>
      </c>
      <c r="V24" s="3">
        <v>2.0</v>
      </c>
      <c r="W24" s="3">
        <v>4.0</v>
      </c>
      <c r="X24" s="3">
        <v>2.0</v>
      </c>
      <c r="Y24" s="3">
        <v>2.0</v>
      </c>
      <c r="Z24" s="3">
        <v>4.0</v>
      </c>
      <c r="AA24" s="3">
        <v>3.0</v>
      </c>
      <c r="AB24" s="3">
        <v>2.0</v>
      </c>
      <c r="AC24" s="3">
        <v>5.0</v>
      </c>
      <c r="AD24" s="3">
        <v>3.0</v>
      </c>
      <c r="AE24" s="3">
        <v>2.0</v>
      </c>
      <c r="AF24" s="3">
        <v>3.0</v>
      </c>
      <c r="AG24" s="3">
        <v>2.0</v>
      </c>
      <c r="AH24" s="3">
        <v>3.0</v>
      </c>
      <c r="AI24" s="3">
        <v>3.0</v>
      </c>
      <c r="AJ24" s="3">
        <v>1.0</v>
      </c>
      <c r="AK24" s="3">
        <v>2.0</v>
      </c>
      <c r="AL24" s="3">
        <v>1.0</v>
      </c>
      <c r="AM24" s="3">
        <v>4.0</v>
      </c>
      <c r="AN24" s="3">
        <v>4.0</v>
      </c>
      <c r="AO24" s="3">
        <f t="shared" si="1"/>
        <v>102</v>
      </c>
      <c r="AP24" s="29">
        <f t="shared" si="2"/>
        <v>-0.2159090909</v>
      </c>
    </row>
    <row r="25" ht="9.0" customHeight="1">
      <c r="A25" s="3" t="s">
        <v>107</v>
      </c>
      <c r="B25" s="3">
        <v>3.0</v>
      </c>
      <c r="C25" s="3">
        <v>4.0</v>
      </c>
      <c r="D25" s="3">
        <v>4.0</v>
      </c>
      <c r="E25" s="3">
        <v>3.0</v>
      </c>
      <c r="F25" s="3">
        <v>5.0</v>
      </c>
      <c r="G25" s="3">
        <v>4.0</v>
      </c>
      <c r="H25" s="3">
        <v>3.0</v>
      </c>
      <c r="I25" s="3">
        <v>3.0</v>
      </c>
      <c r="J25" s="3">
        <v>3.0</v>
      </c>
      <c r="K25" s="3">
        <v>3.0</v>
      </c>
      <c r="L25" s="3">
        <v>3.0</v>
      </c>
      <c r="M25" s="3">
        <v>3.0</v>
      </c>
      <c r="N25" s="3">
        <v>3.0</v>
      </c>
      <c r="O25" s="3">
        <v>3.0</v>
      </c>
      <c r="P25" s="3">
        <v>4.0</v>
      </c>
      <c r="Q25" s="3">
        <v>3.0</v>
      </c>
      <c r="R25" s="3">
        <v>4.0</v>
      </c>
      <c r="S25" s="3">
        <v>3.0</v>
      </c>
      <c r="T25" s="3">
        <v>3.0</v>
      </c>
      <c r="U25" s="3">
        <v>2.0</v>
      </c>
      <c r="V25" s="3">
        <v>4.0</v>
      </c>
      <c r="W25" s="3">
        <v>4.0</v>
      </c>
      <c r="X25" s="3">
        <v>4.0</v>
      </c>
      <c r="Y25" s="3">
        <v>3.0</v>
      </c>
      <c r="Z25" s="3">
        <v>4.0</v>
      </c>
      <c r="AA25" s="3">
        <v>3.0</v>
      </c>
      <c r="AB25" s="3">
        <v>3.0</v>
      </c>
      <c r="AC25" s="3">
        <v>3.0</v>
      </c>
      <c r="AD25" s="3">
        <v>4.0</v>
      </c>
      <c r="AE25" s="3">
        <v>3.0</v>
      </c>
      <c r="AF25" s="3">
        <v>3.0</v>
      </c>
      <c r="AG25" s="3">
        <v>3.0</v>
      </c>
      <c r="AH25" s="3">
        <v>5.0</v>
      </c>
      <c r="AI25" s="3">
        <v>3.0</v>
      </c>
      <c r="AJ25" s="3">
        <v>3.0</v>
      </c>
      <c r="AK25" s="3">
        <v>3.0</v>
      </c>
      <c r="AL25" s="3">
        <v>3.0</v>
      </c>
      <c r="AM25" s="3">
        <v>5.0</v>
      </c>
      <c r="AN25" s="3">
        <v>4.0</v>
      </c>
      <c r="AO25" s="3">
        <f t="shared" si="1"/>
        <v>133</v>
      </c>
      <c r="AP25" s="29">
        <f t="shared" si="2"/>
        <v>0.06749829118</v>
      </c>
    </row>
    <row r="26" ht="9.0" customHeight="1">
      <c r="A26" s="3" t="s">
        <v>108</v>
      </c>
      <c r="B26" s="3">
        <v>3.0</v>
      </c>
      <c r="C26" s="3">
        <v>3.0</v>
      </c>
      <c r="D26" s="3">
        <v>4.0</v>
      </c>
      <c r="E26" s="3">
        <v>3.0</v>
      </c>
      <c r="F26" s="3">
        <v>4.0</v>
      </c>
      <c r="G26" s="3">
        <v>4.0</v>
      </c>
      <c r="H26" s="3">
        <v>3.0</v>
      </c>
      <c r="I26" s="3">
        <v>4.0</v>
      </c>
      <c r="J26" s="3">
        <v>3.0</v>
      </c>
      <c r="K26" s="3">
        <v>3.0</v>
      </c>
      <c r="L26" s="3">
        <v>3.0</v>
      </c>
      <c r="M26" s="3">
        <v>4.0</v>
      </c>
      <c r="N26" s="3">
        <v>3.0</v>
      </c>
      <c r="O26" s="3">
        <v>3.0</v>
      </c>
      <c r="P26" s="3">
        <v>3.0</v>
      </c>
      <c r="Q26" s="3">
        <v>2.0</v>
      </c>
      <c r="R26" s="3">
        <v>5.0</v>
      </c>
      <c r="S26" s="3">
        <v>3.0</v>
      </c>
      <c r="T26" s="3">
        <v>3.0</v>
      </c>
      <c r="U26" s="3">
        <v>2.0</v>
      </c>
      <c r="V26" s="26">
        <v>1.0</v>
      </c>
      <c r="W26" s="3">
        <v>3.0</v>
      </c>
      <c r="X26" s="3">
        <v>3.0</v>
      </c>
      <c r="Y26" s="3">
        <v>4.0</v>
      </c>
      <c r="Z26" s="3">
        <v>4.0</v>
      </c>
      <c r="AA26" s="3">
        <v>3.0</v>
      </c>
      <c r="AB26" s="3">
        <v>3.0</v>
      </c>
      <c r="AC26" s="3">
        <v>4.0</v>
      </c>
      <c r="AD26" s="3">
        <v>4.0</v>
      </c>
      <c r="AE26" s="3">
        <v>2.0</v>
      </c>
      <c r="AF26" s="3">
        <v>3.0</v>
      </c>
      <c r="AG26" s="3">
        <v>3.0</v>
      </c>
      <c r="AH26" s="3">
        <v>4.0</v>
      </c>
      <c r="AI26" s="3">
        <v>2.0</v>
      </c>
      <c r="AJ26" s="3">
        <v>2.0</v>
      </c>
      <c r="AK26" s="3">
        <v>3.0</v>
      </c>
      <c r="AL26" s="3">
        <v>2.0</v>
      </c>
      <c r="AM26" s="3">
        <v>4.0</v>
      </c>
      <c r="AN26" s="3">
        <v>5.0</v>
      </c>
      <c r="AO26" s="3">
        <f t="shared" si="1"/>
        <v>124</v>
      </c>
      <c r="AP26" s="29">
        <f t="shared" si="2"/>
        <v>-0.0001832844575</v>
      </c>
    </row>
    <row r="27" ht="9.0" customHeight="1">
      <c r="A27" s="3" t="s">
        <v>109</v>
      </c>
      <c r="B27" s="3">
        <v>3.0</v>
      </c>
      <c r="C27" s="3">
        <v>5.0</v>
      </c>
      <c r="D27" s="3">
        <v>3.0</v>
      </c>
      <c r="E27" s="3">
        <v>3.0</v>
      </c>
      <c r="F27" s="3">
        <v>3.0</v>
      </c>
      <c r="G27" s="3">
        <v>3.0</v>
      </c>
      <c r="H27" s="3">
        <v>2.0</v>
      </c>
      <c r="I27" s="3">
        <v>5.0</v>
      </c>
      <c r="J27" s="3">
        <v>2.0</v>
      </c>
      <c r="K27" s="3">
        <v>5.0</v>
      </c>
      <c r="L27" s="3">
        <v>3.0</v>
      </c>
      <c r="M27" s="3">
        <v>4.0</v>
      </c>
      <c r="N27" s="3">
        <v>3.0</v>
      </c>
      <c r="O27" s="3">
        <v>3.0</v>
      </c>
      <c r="P27" s="3">
        <v>3.0</v>
      </c>
      <c r="Q27" s="3">
        <v>2.0</v>
      </c>
      <c r="R27" s="3">
        <v>5.0</v>
      </c>
      <c r="S27" s="3">
        <v>3.0</v>
      </c>
      <c r="T27" s="3">
        <v>3.0</v>
      </c>
      <c r="U27" s="3">
        <v>3.0</v>
      </c>
      <c r="V27" s="3">
        <v>5.0</v>
      </c>
      <c r="W27" s="26">
        <v>1.0</v>
      </c>
      <c r="X27" s="3">
        <v>4.0</v>
      </c>
      <c r="Y27" s="3">
        <v>5.0</v>
      </c>
      <c r="Z27" s="3">
        <v>4.0</v>
      </c>
      <c r="AA27" s="3">
        <v>4.0</v>
      </c>
      <c r="AB27" s="3">
        <v>3.0</v>
      </c>
      <c r="AC27" s="3">
        <v>5.0</v>
      </c>
      <c r="AD27" s="3">
        <v>2.0</v>
      </c>
      <c r="AE27" s="3">
        <v>4.0</v>
      </c>
      <c r="AF27" s="3">
        <v>2.0</v>
      </c>
      <c r="AG27" s="3">
        <v>5.0</v>
      </c>
      <c r="AH27" s="3">
        <v>5.0</v>
      </c>
      <c r="AI27" s="3">
        <v>2.0</v>
      </c>
      <c r="AJ27" s="3">
        <v>2.0</v>
      </c>
      <c r="AK27" s="3">
        <v>3.0</v>
      </c>
      <c r="AL27" s="3">
        <v>2.0</v>
      </c>
      <c r="AM27" s="3">
        <v>4.0</v>
      </c>
      <c r="AN27" s="3">
        <v>5.0</v>
      </c>
      <c r="AO27" s="3">
        <f t="shared" si="1"/>
        <v>133</v>
      </c>
      <c r="AP27" s="29">
        <f t="shared" si="2"/>
        <v>0.06749829118</v>
      </c>
    </row>
    <row r="28" ht="9.0" customHeight="1">
      <c r="A28" s="3" t="s">
        <v>110</v>
      </c>
      <c r="B28" s="3">
        <v>3.0</v>
      </c>
      <c r="C28" s="3">
        <v>3.0</v>
      </c>
      <c r="D28" s="3">
        <v>3.0</v>
      </c>
      <c r="E28" s="3">
        <v>3.0</v>
      </c>
      <c r="F28" s="3">
        <v>3.0</v>
      </c>
      <c r="G28" s="3">
        <v>4.0</v>
      </c>
      <c r="H28" s="3">
        <v>4.0</v>
      </c>
      <c r="I28" s="3">
        <v>3.0</v>
      </c>
      <c r="J28" s="3">
        <v>3.0</v>
      </c>
      <c r="K28" s="3">
        <v>5.0</v>
      </c>
      <c r="L28" s="3">
        <v>5.0</v>
      </c>
      <c r="M28" s="3">
        <v>4.0</v>
      </c>
      <c r="N28" s="3">
        <v>4.0</v>
      </c>
      <c r="O28" s="3">
        <v>5.0</v>
      </c>
      <c r="P28" s="3">
        <v>5.0</v>
      </c>
      <c r="Q28" s="3">
        <v>4.0</v>
      </c>
      <c r="R28" s="3">
        <v>3.0</v>
      </c>
      <c r="S28" s="3">
        <v>3.0</v>
      </c>
      <c r="T28" s="3">
        <v>4.0</v>
      </c>
      <c r="U28" s="3">
        <v>5.0</v>
      </c>
      <c r="V28" s="3">
        <v>3.0</v>
      </c>
      <c r="W28" s="3">
        <v>4.0</v>
      </c>
      <c r="X28" s="26">
        <v>1.0</v>
      </c>
      <c r="Y28" s="3">
        <v>4.0</v>
      </c>
      <c r="Z28" s="3">
        <v>3.0</v>
      </c>
      <c r="AA28" s="3">
        <v>3.0</v>
      </c>
      <c r="AB28" s="3">
        <v>4.0</v>
      </c>
      <c r="AC28" s="3">
        <v>5.0</v>
      </c>
      <c r="AD28" s="3">
        <v>4.0</v>
      </c>
      <c r="AE28" s="3">
        <v>3.0</v>
      </c>
      <c r="AF28" s="3">
        <v>4.0</v>
      </c>
      <c r="AG28" s="3">
        <v>3.0</v>
      </c>
      <c r="AH28" s="3">
        <v>4.0</v>
      </c>
      <c r="AI28" s="3">
        <v>3.0</v>
      </c>
      <c r="AJ28" s="3">
        <v>5.0</v>
      </c>
      <c r="AK28" s="3">
        <v>5.0</v>
      </c>
      <c r="AL28" s="3">
        <v>3.0</v>
      </c>
      <c r="AM28" s="3">
        <v>3.0</v>
      </c>
      <c r="AN28" s="3">
        <v>4.0</v>
      </c>
      <c r="AO28" s="3">
        <f t="shared" si="1"/>
        <v>144</v>
      </c>
      <c r="AP28" s="29">
        <f t="shared" si="2"/>
        <v>0.1387310606</v>
      </c>
    </row>
    <row r="29" ht="9.0" customHeight="1">
      <c r="A29" s="3" t="s">
        <v>111</v>
      </c>
      <c r="B29" s="3">
        <v>3.0</v>
      </c>
      <c r="C29" s="3">
        <v>3.0</v>
      </c>
      <c r="D29" s="3">
        <v>3.0</v>
      </c>
      <c r="E29" s="3">
        <v>3.0</v>
      </c>
      <c r="F29" s="3">
        <v>3.0</v>
      </c>
      <c r="G29" s="3">
        <v>3.0</v>
      </c>
      <c r="H29" s="3">
        <v>2.0</v>
      </c>
      <c r="I29" s="3">
        <v>3.0</v>
      </c>
      <c r="J29" s="3">
        <v>2.0</v>
      </c>
      <c r="K29" s="3">
        <v>3.0</v>
      </c>
      <c r="L29" s="3">
        <v>2.0</v>
      </c>
      <c r="M29" s="3">
        <v>3.0</v>
      </c>
      <c r="N29" s="3">
        <v>3.0</v>
      </c>
      <c r="O29" s="3">
        <v>2.0</v>
      </c>
      <c r="P29" s="3">
        <v>4.0</v>
      </c>
      <c r="Q29" s="3">
        <v>2.0</v>
      </c>
      <c r="R29" s="3">
        <v>5.0</v>
      </c>
      <c r="S29" s="3">
        <v>2.0</v>
      </c>
      <c r="T29" s="3">
        <v>2.0</v>
      </c>
      <c r="U29" s="3">
        <v>2.0</v>
      </c>
      <c r="V29" s="3">
        <v>3.0</v>
      </c>
      <c r="W29" s="3">
        <v>3.0</v>
      </c>
      <c r="X29" s="3">
        <v>3.0</v>
      </c>
      <c r="Y29" s="26">
        <v>1.0</v>
      </c>
      <c r="Z29" s="3">
        <v>3.0</v>
      </c>
      <c r="AA29" s="3">
        <v>3.0</v>
      </c>
      <c r="AB29" s="3">
        <v>2.0</v>
      </c>
      <c r="AC29" s="3">
        <v>3.0</v>
      </c>
      <c r="AD29" s="3">
        <v>5.0</v>
      </c>
      <c r="AE29" s="3">
        <v>3.0</v>
      </c>
      <c r="AF29" s="3">
        <v>3.0</v>
      </c>
      <c r="AG29" s="3">
        <v>4.0</v>
      </c>
      <c r="AH29" s="3">
        <v>4.0</v>
      </c>
      <c r="AI29" s="3">
        <v>2.0</v>
      </c>
      <c r="AJ29" s="3">
        <v>2.0</v>
      </c>
      <c r="AK29" s="3">
        <v>2.0</v>
      </c>
      <c r="AL29" s="3">
        <v>2.0</v>
      </c>
      <c r="AM29" s="3">
        <v>4.0</v>
      </c>
      <c r="AN29" s="3">
        <v>4.0</v>
      </c>
      <c r="AO29" s="3">
        <f t="shared" si="1"/>
        <v>111</v>
      </c>
      <c r="AP29" s="29">
        <f t="shared" si="2"/>
        <v>-0.1173218673</v>
      </c>
    </row>
    <row r="30" ht="9.0" customHeight="1">
      <c r="A30" s="3" t="s">
        <v>112</v>
      </c>
      <c r="B30" s="3">
        <v>3.0</v>
      </c>
      <c r="C30" s="3">
        <v>2.0</v>
      </c>
      <c r="D30" s="3">
        <v>3.0</v>
      </c>
      <c r="E30" s="3">
        <v>2.0</v>
      </c>
      <c r="F30" s="3">
        <v>4.0</v>
      </c>
      <c r="G30" s="3">
        <v>3.0</v>
      </c>
      <c r="H30" s="3">
        <v>4.0</v>
      </c>
      <c r="I30" s="3">
        <v>3.0</v>
      </c>
      <c r="J30" s="3">
        <v>3.0</v>
      </c>
      <c r="K30" s="3">
        <v>5.0</v>
      </c>
      <c r="L30" s="3">
        <v>1.0</v>
      </c>
      <c r="M30" s="3">
        <v>4.0</v>
      </c>
      <c r="N30" s="3">
        <v>3.0</v>
      </c>
      <c r="O30" s="3">
        <v>3.0</v>
      </c>
      <c r="P30" s="3">
        <v>3.0</v>
      </c>
      <c r="Q30" s="3">
        <v>2.0</v>
      </c>
      <c r="R30" s="3">
        <v>4.0</v>
      </c>
      <c r="S30" s="3">
        <v>3.0</v>
      </c>
      <c r="T30" s="3">
        <v>5.0</v>
      </c>
      <c r="U30" s="3">
        <v>1.0</v>
      </c>
      <c r="V30" s="3">
        <v>3.0</v>
      </c>
      <c r="W30" s="3">
        <v>4.0</v>
      </c>
      <c r="X30" s="3">
        <v>5.0</v>
      </c>
      <c r="Y30" s="3">
        <v>4.0</v>
      </c>
      <c r="Z30" s="26">
        <v>1.0</v>
      </c>
      <c r="AA30" s="3">
        <v>2.0</v>
      </c>
      <c r="AB30" s="3">
        <v>2.0</v>
      </c>
      <c r="AC30" s="3">
        <v>5.0</v>
      </c>
      <c r="AD30" s="3">
        <v>4.0</v>
      </c>
      <c r="AE30" s="3">
        <v>1.0</v>
      </c>
      <c r="AF30" s="3">
        <v>4.0</v>
      </c>
      <c r="AG30" s="3">
        <v>3.0</v>
      </c>
      <c r="AH30" s="3">
        <v>3.0</v>
      </c>
      <c r="AI30" s="3">
        <v>3.0</v>
      </c>
      <c r="AJ30" s="3">
        <v>2.0</v>
      </c>
      <c r="AK30" s="3">
        <v>3.0</v>
      </c>
      <c r="AL30" s="3">
        <v>3.0</v>
      </c>
      <c r="AM30" s="3">
        <v>5.0</v>
      </c>
      <c r="AN30" s="3">
        <v>4.0</v>
      </c>
      <c r="AO30" s="3">
        <f t="shared" si="1"/>
        <v>122</v>
      </c>
      <c r="AP30" s="29">
        <f t="shared" si="2"/>
        <v>-0.01657973174</v>
      </c>
    </row>
    <row r="31" ht="9.0" customHeight="1">
      <c r="A31" s="3" t="s">
        <v>113</v>
      </c>
      <c r="B31" s="3">
        <v>2.0</v>
      </c>
      <c r="C31" s="3">
        <v>4.0</v>
      </c>
      <c r="D31" s="3">
        <v>3.0</v>
      </c>
      <c r="E31" s="3">
        <v>3.0</v>
      </c>
      <c r="F31" s="3">
        <v>4.0</v>
      </c>
      <c r="G31" s="3">
        <v>4.0</v>
      </c>
      <c r="H31" s="3">
        <v>2.0</v>
      </c>
      <c r="I31" s="3">
        <v>2.0</v>
      </c>
      <c r="J31" s="3">
        <v>2.0</v>
      </c>
      <c r="K31" s="3">
        <v>5.0</v>
      </c>
      <c r="L31" s="3">
        <v>1.0</v>
      </c>
      <c r="M31" s="3">
        <v>3.0</v>
      </c>
      <c r="N31" s="3">
        <v>2.0</v>
      </c>
      <c r="O31" s="3">
        <v>3.0</v>
      </c>
      <c r="P31" s="3">
        <v>2.0</v>
      </c>
      <c r="Q31" s="3">
        <v>1.0</v>
      </c>
      <c r="R31" s="3">
        <v>3.0</v>
      </c>
      <c r="S31" s="3">
        <v>2.0</v>
      </c>
      <c r="T31" s="3">
        <v>2.0</v>
      </c>
      <c r="U31" s="3">
        <v>2.0</v>
      </c>
      <c r="V31" s="3">
        <v>3.0</v>
      </c>
      <c r="W31" s="3">
        <v>3.0</v>
      </c>
      <c r="X31" s="3">
        <v>3.0</v>
      </c>
      <c r="Y31" s="3">
        <v>5.0</v>
      </c>
      <c r="Z31" s="3">
        <v>3.0</v>
      </c>
      <c r="AA31" s="26">
        <v>1.0</v>
      </c>
      <c r="AB31" s="3">
        <v>1.0</v>
      </c>
      <c r="AC31" s="3">
        <v>3.0</v>
      </c>
      <c r="AD31" s="3">
        <v>3.0</v>
      </c>
      <c r="AE31" s="3">
        <v>3.0</v>
      </c>
      <c r="AF31" s="3">
        <v>3.0</v>
      </c>
      <c r="AG31" s="3">
        <v>3.0</v>
      </c>
      <c r="AH31" s="3">
        <v>5.0</v>
      </c>
      <c r="AI31" s="3">
        <v>2.0</v>
      </c>
      <c r="AJ31" s="3">
        <v>1.0</v>
      </c>
      <c r="AK31" s="3">
        <v>1.0</v>
      </c>
      <c r="AL31" s="3">
        <v>1.0</v>
      </c>
      <c r="AM31" s="3">
        <v>3.0</v>
      </c>
      <c r="AN31" s="3">
        <v>4.0</v>
      </c>
      <c r="AO31" s="3">
        <f t="shared" si="1"/>
        <v>103</v>
      </c>
      <c r="AP31" s="29">
        <f t="shared" si="2"/>
        <v>-0.2041041483</v>
      </c>
    </row>
    <row r="32" ht="9.0" customHeight="1">
      <c r="A32" s="3" t="s">
        <v>114</v>
      </c>
      <c r="B32" s="3">
        <v>5.0</v>
      </c>
      <c r="C32" s="3">
        <v>3.0</v>
      </c>
      <c r="D32" s="3">
        <v>2.0</v>
      </c>
      <c r="E32" s="3">
        <v>3.0</v>
      </c>
      <c r="F32" s="3">
        <v>3.0</v>
      </c>
      <c r="G32" s="3">
        <v>3.0</v>
      </c>
      <c r="H32" s="3">
        <v>4.0</v>
      </c>
      <c r="I32" s="3">
        <v>2.0</v>
      </c>
      <c r="J32" s="3">
        <v>3.0</v>
      </c>
      <c r="K32" s="3">
        <v>2.0</v>
      </c>
      <c r="L32" s="3">
        <v>2.0</v>
      </c>
      <c r="M32" s="3">
        <v>4.0</v>
      </c>
      <c r="N32" s="3">
        <v>3.0</v>
      </c>
      <c r="O32" s="3">
        <v>3.0</v>
      </c>
      <c r="P32" s="3">
        <v>4.0</v>
      </c>
      <c r="Q32" s="3">
        <v>2.0</v>
      </c>
      <c r="R32" s="3">
        <v>1.0</v>
      </c>
      <c r="S32" s="3">
        <v>3.0</v>
      </c>
      <c r="T32" s="3">
        <v>3.0</v>
      </c>
      <c r="U32" s="3">
        <v>1.0</v>
      </c>
      <c r="V32" s="3">
        <v>2.0</v>
      </c>
      <c r="W32" s="3">
        <v>1.0</v>
      </c>
      <c r="X32" s="3">
        <v>3.0</v>
      </c>
      <c r="Y32" s="3">
        <v>2.0</v>
      </c>
      <c r="Z32" s="3">
        <v>2.0</v>
      </c>
      <c r="AA32" s="3">
        <v>2.0</v>
      </c>
      <c r="AB32" s="26">
        <v>1.0</v>
      </c>
      <c r="AC32" s="3">
        <v>4.0</v>
      </c>
      <c r="AD32" s="3">
        <v>3.0</v>
      </c>
      <c r="AE32" s="3">
        <v>2.0</v>
      </c>
      <c r="AF32" s="3">
        <v>4.0</v>
      </c>
      <c r="AG32" s="3">
        <v>1.0</v>
      </c>
      <c r="AH32" s="3">
        <v>3.0</v>
      </c>
      <c r="AI32" s="3">
        <v>3.0</v>
      </c>
      <c r="AJ32" s="3">
        <v>2.0</v>
      </c>
      <c r="AK32" s="3">
        <v>4.0</v>
      </c>
      <c r="AL32" s="3">
        <v>3.0</v>
      </c>
      <c r="AM32" s="3">
        <v>2.0</v>
      </c>
      <c r="AN32" s="3">
        <v>3.0</v>
      </c>
      <c r="AO32" s="3">
        <f t="shared" si="1"/>
        <v>103</v>
      </c>
      <c r="AP32" s="29">
        <f t="shared" si="2"/>
        <v>-0.2041041483</v>
      </c>
    </row>
    <row r="33" ht="9.0" customHeight="1">
      <c r="A33" s="3" t="s">
        <v>115</v>
      </c>
      <c r="B33" s="3">
        <v>3.0</v>
      </c>
      <c r="C33" s="3">
        <v>2.0</v>
      </c>
      <c r="D33" s="3">
        <v>2.0</v>
      </c>
      <c r="E33" s="3">
        <v>3.0</v>
      </c>
      <c r="F33" s="3">
        <v>2.0</v>
      </c>
      <c r="G33" s="3">
        <v>4.0</v>
      </c>
      <c r="H33" s="3">
        <v>3.0</v>
      </c>
      <c r="I33" s="3">
        <v>3.0</v>
      </c>
      <c r="J33" s="3">
        <v>2.0</v>
      </c>
      <c r="K33" s="3">
        <v>3.0</v>
      </c>
      <c r="L33" s="3">
        <v>1.0</v>
      </c>
      <c r="M33" s="3">
        <v>2.0</v>
      </c>
      <c r="N33" s="3">
        <v>1.0</v>
      </c>
      <c r="O33" s="3">
        <v>2.0</v>
      </c>
      <c r="P33" s="3">
        <v>3.0</v>
      </c>
      <c r="Q33" s="3">
        <v>1.0</v>
      </c>
      <c r="R33" s="3">
        <v>2.0</v>
      </c>
      <c r="S33" s="3">
        <v>2.0</v>
      </c>
      <c r="T33" s="3">
        <v>5.0</v>
      </c>
      <c r="U33" s="3">
        <v>1.0</v>
      </c>
      <c r="V33" s="3">
        <v>2.0</v>
      </c>
      <c r="W33" s="3">
        <v>1.0</v>
      </c>
      <c r="X33" s="3">
        <v>2.0</v>
      </c>
      <c r="Y33" s="3">
        <v>4.0</v>
      </c>
      <c r="Z33" s="3">
        <v>4.0</v>
      </c>
      <c r="AA33" s="3">
        <v>2.0</v>
      </c>
      <c r="AB33" s="3">
        <v>2.0</v>
      </c>
      <c r="AC33" s="26">
        <v>1.0</v>
      </c>
      <c r="AD33" s="3">
        <v>2.0</v>
      </c>
      <c r="AE33" s="3">
        <v>3.0</v>
      </c>
      <c r="AF33" s="3">
        <v>1.0</v>
      </c>
      <c r="AG33" s="3">
        <v>4.0</v>
      </c>
      <c r="AH33" s="3">
        <v>2.0</v>
      </c>
      <c r="AI33" s="3">
        <v>3.0</v>
      </c>
      <c r="AJ33" s="3">
        <v>2.0</v>
      </c>
      <c r="AK33" s="3">
        <v>4.0</v>
      </c>
      <c r="AL33" s="3">
        <v>1.0</v>
      </c>
      <c r="AM33" s="3">
        <v>3.0</v>
      </c>
      <c r="AN33" s="3">
        <v>3.0</v>
      </c>
      <c r="AO33" s="27">
        <f t="shared" si="1"/>
        <v>93</v>
      </c>
      <c r="AP33" s="28">
        <f t="shared" si="2"/>
        <v>-0.3335777126</v>
      </c>
    </row>
    <row r="34" ht="9.0" customHeight="1">
      <c r="A34" s="3" t="s">
        <v>116</v>
      </c>
      <c r="B34" s="3">
        <v>3.0</v>
      </c>
      <c r="C34" s="3">
        <v>5.0</v>
      </c>
      <c r="D34" s="3">
        <v>3.0</v>
      </c>
      <c r="E34" s="3">
        <v>3.0</v>
      </c>
      <c r="F34" s="3">
        <v>3.0</v>
      </c>
      <c r="G34" s="3">
        <v>4.0</v>
      </c>
      <c r="H34" s="3">
        <v>4.0</v>
      </c>
      <c r="I34" s="3">
        <v>3.0</v>
      </c>
      <c r="J34" s="3">
        <v>3.0</v>
      </c>
      <c r="K34" s="3">
        <v>4.0</v>
      </c>
      <c r="L34" s="3">
        <v>3.0</v>
      </c>
      <c r="M34" s="3">
        <v>3.0</v>
      </c>
      <c r="N34" s="3">
        <v>3.0</v>
      </c>
      <c r="O34" s="3">
        <v>3.0</v>
      </c>
      <c r="P34" s="3">
        <v>4.0</v>
      </c>
      <c r="Q34" s="3">
        <v>2.0</v>
      </c>
      <c r="R34" s="3">
        <v>4.0</v>
      </c>
      <c r="S34" s="3">
        <v>4.0</v>
      </c>
      <c r="T34" s="3">
        <v>3.0</v>
      </c>
      <c r="U34" s="3">
        <v>3.0</v>
      </c>
      <c r="V34" s="3">
        <v>4.0</v>
      </c>
      <c r="W34" s="3">
        <v>3.0</v>
      </c>
      <c r="X34" s="3">
        <v>4.0</v>
      </c>
      <c r="Y34" s="3">
        <v>5.0</v>
      </c>
      <c r="Z34" s="3">
        <v>3.0</v>
      </c>
      <c r="AA34" s="3">
        <v>3.0</v>
      </c>
      <c r="AB34" s="3">
        <v>3.0</v>
      </c>
      <c r="AC34" s="3">
        <v>3.0</v>
      </c>
      <c r="AD34" s="26">
        <v>1.0</v>
      </c>
      <c r="AE34" s="3">
        <v>5.0</v>
      </c>
      <c r="AF34" s="3">
        <v>3.0</v>
      </c>
      <c r="AG34" s="3">
        <v>4.0</v>
      </c>
      <c r="AH34" s="3">
        <v>4.0</v>
      </c>
      <c r="AI34" s="3">
        <v>3.0</v>
      </c>
      <c r="AJ34" s="3">
        <v>3.0</v>
      </c>
      <c r="AK34" s="3">
        <v>3.0</v>
      </c>
      <c r="AL34" s="3">
        <v>2.0</v>
      </c>
      <c r="AM34" s="3">
        <v>4.0</v>
      </c>
      <c r="AN34" s="3">
        <v>5.0</v>
      </c>
      <c r="AO34" s="3">
        <f t="shared" si="1"/>
        <v>132</v>
      </c>
      <c r="AP34" s="29">
        <f t="shared" si="2"/>
        <v>0.0604338843</v>
      </c>
    </row>
    <row r="35" ht="9.0" customHeight="1">
      <c r="A35" s="3" t="s">
        <v>117</v>
      </c>
      <c r="B35" s="3">
        <v>2.0</v>
      </c>
      <c r="C35" s="3">
        <v>4.0</v>
      </c>
      <c r="D35" s="3">
        <v>4.0</v>
      </c>
      <c r="E35" s="3">
        <v>3.0</v>
      </c>
      <c r="F35" s="3">
        <v>4.0</v>
      </c>
      <c r="G35" s="3">
        <v>5.0</v>
      </c>
      <c r="H35" s="3">
        <v>3.0</v>
      </c>
      <c r="I35" s="3">
        <v>4.0</v>
      </c>
      <c r="J35" s="3">
        <v>3.0</v>
      </c>
      <c r="K35" s="3">
        <v>4.0</v>
      </c>
      <c r="L35" s="3">
        <v>3.0</v>
      </c>
      <c r="M35" s="3">
        <v>4.0</v>
      </c>
      <c r="N35" s="3">
        <v>5.0</v>
      </c>
      <c r="O35" s="3">
        <v>4.0</v>
      </c>
      <c r="P35" s="3">
        <v>5.0</v>
      </c>
      <c r="Q35" s="3">
        <v>2.0</v>
      </c>
      <c r="R35" s="3">
        <v>5.0</v>
      </c>
      <c r="S35" s="3">
        <v>4.0</v>
      </c>
      <c r="T35" s="3">
        <v>3.0</v>
      </c>
      <c r="U35" s="3">
        <v>3.0</v>
      </c>
      <c r="V35" s="3">
        <v>3.0</v>
      </c>
      <c r="W35" s="3">
        <v>5.0</v>
      </c>
      <c r="X35" s="3">
        <v>3.0</v>
      </c>
      <c r="Y35" s="3">
        <v>4.0</v>
      </c>
      <c r="Z35" s="3">
        <v>4.0</v>
      </c>
      <c r="AA35" s="3">
        <v>3.0</v>
      </c>
      <c r="AB35" s="3">
        <v>4.0</v>
      </c>
      <c r="AC35" s="3">
        <v>4.0</v>
      </c>
      <c r="AD35" s="3">
        <v>3.0</v>
      </c>
      <c r="AE35" s="26">
        <v>1.0</v>
      </c>
      <c r="AF35" s="3">
        <v>2.0</v>
      </c>
      <c r="AG35" s="3">
        <v>4.0</v>
      </c>
      <c r="AH35" s="3">
        <v>5.0</v>
      </c>
      <c r="AI35" s="3">
        <v>4.0</v>
      </c>
      <c r="AJ35" s="3">
        <v>3.0</v>
      </c>
      <c r="AK35" s="3">
        <v>3.0</v>
      </c>
      <c r="AL35" s="3">
        <v>3.0</v>
      </c>
      <c r="AM35" s="3">
        <v>5.0</v>
      </c>
      <c r="AN35" s="3">
        <v>5.0</v>
      </c>
      <c r="AO35" s="3">
        <f t="shared" si="1"/>
        <v>142</v>
      </c>
      <c r="AP35" s="29">
        <f t="shared" si="2"/>
        <v>0.1266005122</v>
      </c>
    </row>
    <row r="36" ht="9.0" customHeight="1">
      <c r="A36" s="3" t="s">
        <v>118</v>
      </c>
      <c r="B36" s="3">
        <v>3.0</v>
      </c>
      <c r="C36" s="3">
        <v>2.0</v>
      </c>
      <c r="D36" s="3">
        <v>1.0</v>
      </c>
      <c r="E36" s="3">
        <v>2.0</v>
      </c>
      <c r="F36" s="3">
        <v>2.0</v>
      </c>
      <c r="G36" s="3">
        <v>3.0</v>
      </c>
      <c r="H36" s="3">
        <v>4.0</v>
      </c>
      <c r="I36" s="3">
        <v>1.0</v>
      </c>
      <c r="J36" s="3">
        <v>2.0</v>
      </c>
      <c r="K36" s="3">
        <v>3.0</v>
      </c>
      <c r="L36" s="3">
        <v>1.0</v>
      </c>
      <c r="M36" s="3">
        <v>3.0</v>
      </c>
      <c r="N36" s="3">
        <v>2.0</v>
      </c>
      <c r="O36" s="3">
        <v>2.0</v>
      </c>
      <c r="P36" s="3">
        <v>3.0</v>
      </c>
      <c r="Q36" s="3">
        <v>1.0</v>
      </c>
      <c r="R36" s="3">
        <v>3.0</v>
      </c>
      <c r="S36" s="3">
        <v>1.0</v>
      </c>
      <c r="T36" s="3">
        <v>3.0</v>
      </c>
      <c r="U36" s="3">
        <v>1.0</v>
      </c>
      <c r="V36" s="3">
        <v>3.0</v>
      </c>
      <c r="W36" s="3">
        <v>3.0</v>
      </c>
      <c r="X36" s="3">
        <v>5.0</v>
      </c>
      <c r="Y36" s="3">
        <v>2.0</v>
      </c>
      <c r="Z36" s="3">
        <v>2.0</v>
      </c>
      <c r="AA36" s="3">
        <v>2.0</v>
      </c>
      <c r="AB36" s="3">
        <v>2.0</v>
      </c>
      <c r="AC36" s="3">
        <v>5.0</v>
      </c>
      <c r="AD36" s="3">
        <v>3.0</v>
      </c>
      <c r="AE36" s="3">
        <v>1.0</v>
      </c>
      <c r="AF36" s="26">
        <v>1.0</v>
      </c>
      <c r="AG36" s="3">
        <v>2.0</v>
      </c>
      <c r="AH36" s="3">
        <v>4.0</v>
      </c>
      <c r="AI36" s="3">
        <v>1.0</v>
      </c>
      <c r="AJ36" s="3">
        <v>1.0</v>
      </c>
      <c r="AK36" s="3">
        <v>2.0</v>
      </c>
      <c r="AL36" s="3">
        <v>1.0</v>
      </c>
      <c r="AM36" s="3">
        <v>4.0</v>
      </c>
      <c r="AN36" s="3">
        <v>3.0</v>
      </c>
      <c r="AO36" s="27">
        <f t="shared" si="1"/>
        <v>90</v>
      </c>
      <c r="AP36" s="28">
        <f t="shared" si="2"/>
        <v>-0.378030303</v>
      </c>
    </row>
    <row r="37" ht="9.0" customHeight="1">
      <c r="A37" s="3" t="s">
        <v>119</v>
      </c>
      <c r="B37" s="3">
        <v>4.0</v>
      </c>
      <c r="C37" s="3">
        <v>2.0</v>
      </c>
      <c r="D37" s="3">
        <v>3.0</v>
      </c>
      <c r="E37" s="3">
        <v>3.0</v>
      </c>
      <c r="F37" s="3">
        <v>3.0</v>
      </c>
      <c r="G37" s="3">
        <v>3.0</v>
      </c>
      <c r="H37" s="3">
        <v>3.0</v>
      </c>
      <c r="I37" s="3">
        <v>3.0</v>
      </c>
      <c r="J37" s="3">
        <v>3.0</v>
      </c>
      <c r="K37" s="3">
        <v>3.0</v>
      </c>
      <c r="L37" s="3">
        <v>3.0</v>
      </c>
      <c r="M37" s="3">
        <v>3.0</v>
      </c>
      <c r="N37" s="3">
        <v>3.0</v>
      </c>
      <c r="O37" s="3">
        <v>3.0</v>
      </c>
      <c r="P37" s="3">
        <v>3.0</v>
      </c>
      <c r="Q37" s="3">
        <v>3.0</v>
      </c>
      <c r="R37" s="3">
        <v>5.0</v>
      </c>
      <c r="S37" s="3">
        <v>2.0</v>
      </c>
      <c r="T37" s="3">
        <v>2.0</v>
      </c>
      <c r="U37" s="3">
        <v>1.0</v>
      </c>
      <c r="V37" s="3">
        <v>4.0</v>
      </c>
      <c r="W37" s="3">
        <v>3.0</v>
      </c>
      <c r="X37" s="3">
        <v>3.0</v>
      </c>
      <c r="Y37" s="3">
        <v>3.0</v>
      </c>
      <c r="Z37" s="3">
        <v>2.0</v>
      </c>
      <c r="AA37" s="3">
        <v>3.0</v>
      </c>
      <c r="AB37" s="3">
        <v>3.0</v>
      </c>
      <c r="AC37" s="3">
        <v>3.0</v>
      </c>
      <c r="AD37" s="3">
        <v>3.0</v>
      </c>
      <c r="AE37" s="3">
        <v>3.0</v>
      </c>
      <c r="AF37" s="3">
        <v>3.0</v>
      </c>
      <c r="AG37" s="3">
        <v>3.0</v>
      </c>
      <c r="AH37" s="3">
        <v>4.0</v>
      </c>
      <c r="AI37" s="3">
        <v>2.0</v>
      </c>
      <c r="AJ37" s="3">
        <v>3.0</v>
      </c>
      <c r="AK37" s="3">
        <v>1.0</v>
      </c>
      <c r="AL37" s="3">
        <v>1.0</v>
      </c>
      <c r="AM37" s="3">
        <v>4.0</v>
      </c>
      <c r="AN37" s="3">
        <v>3.0</v>
      </c>
      <c r="AO37" s="3">
        <f t="shared" si="1"/>
        <v>112</v>
      </c>
      <c r="AP37" s="29">
        <f t="shared" si="2"/>
        <v>-0.1073457792</v>
      </c>
    </row>
    <row r="38" ht="9.0" customHeight="1">
      <c r="A38" s="3" t="s">
        <v>120</v>
      </c>
      <c r="B38" s="3">
        <v>4.0</v>
      </c>
      <c r="C38" s="3">
        <v>4.0</v>
      </c>
      <c r="D38" s="3">
        <v>5.0</v>
      </c>
      <c r="E38" s="3">
        <v>2.0</v>
      </c>
      <c r="F38" s="3">
        <v>2.0</v>
      </c>
      <c r="G38" s="3">
        <v>4.0</v>
      </c>
      <c r="H38" s="3">
        <v>1.0</v>
      </c>
      <c r="I38" s="3">
        <v>2.0</v>
      </c>
      <c r="J38" s="3">
        <v>1.0</v>
      </c>
      <c r="K38" s="3">
        <v>4.0</v>
      </c>
      <c r="L38" s="3">
        <v>1.0</v>
      </c>
      <c r="M38" s="3">
        <v>2.0</v>
      </c>
      <c r="N38" s="3">
        <v>4.0</v>
      </c>
      <c r="O38" s="3">
        <v>4.0</v>
      </c>
      <c r="P38" s="3">
        <v>2.0</v>
      </c>
      <c r="Q38" s="3">
        <v>1.0</v>
      </c>
      <c r="R38" s="3">
        <v>5.0</v>
      </c>
      <c r="S38" s="3">
        <v>2.0</v>
      </c>
      <c r="T38" s="3">
        <v>2.0</v>
      </c>
      <c r="U38" s="3">
        <v>1.0</v>
      </c>
      <c r="V38" s="3">
        <v>5.0</v>
      </c>
      <c r="W38" s="3">
        <v>2.0</v>
      </c>
      <c r="X38" s="3">
        <v>1.0</v>
      </c>
      <c r="Y38" s="3">
        <v>4.0</v>
      </c>
      <c r="Z38" s="3">
        <v>3.0</v>
      </c>
      <c r="AA38" s="3">
        <v>2.0</v>
      </c>
      <c r="AB38" s="3">
        <v>2.0</v>
      </c>
      <c r="AC38" s="3">
        <v>5.0</v>
      </c>
      <c r="AD38" s="3">
        <v>3.0</v>
      </c>
      <c r="AE38" s="3">
        <v>3.0</v>
      </c>
      <c r="AF38" s="3">
        <v>2.0</v>
      </c>
      <c r="AG38" s="26">
        <v>1.0</v>
      </c>
      <c r="AH38" s="3">
        <v>5.0</v>
      </c>
      <c r="AI38" s="3">
        <v>2.0</v>
      </c>
      <c r="AJ38" s="3">
        <v>1.0</v>
      </c>
      <c r="AK38" s="3">
        <v>1.0</v>
      </c>
      <c r="AL38" s="3">
        <v>2.0</v>
      </c>
      <c r="AM38" s="3">
        <v>4.0</v>
      </c>
      <c r="AN38" s="3">
        <v>5.0</v>
      </c>
      <c r="AO38" s="3">
        <f t="shared" si="1"/>
        <v>106</v>
      </c>
      <c r="AP38" s="29">
        <f t="shared" si="2"/>
        <v>-0.170025729</v>
      </c>
    </row>
    <row r="39" ht="9.0" customHeight="1">
      <c r="A39" s="3" t="s">
        <v>121</v>
      </c>
      <c r="B39" s="3">
        <v>4.0</v>
      </c>
      <c r="C39" s="3">
        <v>3.0</v>
      </c>
      <c r="D39" s="3">
        <v>3.0</v>
      </c>
      <c r="E39" s="3">
        <v>4.0</v>
      </c>
      <c r="F39" s="3">
        <v>3.0</v>
      </c>
      <c r="G39" s="3">
        <v>4.0</v>
      </c>
      <c r="H39" s="3">
        <v>3.0</v>
      </c>
      <c r="I39" s="3">
        <v>4.0</v>
      </c>
      <c r="J39" s="3">
        <v>3.0</v>
      </c>
      <c r="K39" s="3">
        <v>5.0</v>
      </c>
      <c r="L39" s="3">
        <v>2.0</v>
      </c>
      <c r="M39" s="3">
        <v>3.0</v>
      </c>
      <c r="N39" s="3">
        <v>3.0</v>
      </c>
      <c r="O39" s="3">
        <v>3.0</v>
      </c>
      <c r="P39" s="3">
        <v>4.0</v>
      </c>
      <c r="Q39" s="3">
        <v>3.0</v>
      </c>
      <c r="R39" s="3">
        <v>5.0</v>
      </c>
      <c r="S39" s="3">
        <v>4.0</v>
      </c>
      <c r="T39" s="3">
        <v>3.0</v>
      </c>
      <c r="U39" s="3">
        <v>2.0</v>
      </c>
      <c r="V39" s="3">
        <v>5.0</v>
      </c>
      <c r="W39" s="3">
        <v>3.0</v>
      </c>
      <c r="X39" s="3">
        <v>4.0</v>
      </c>
      <c r="Y39" s="3">
        <v>5.0</v>
      </c>
      <c r="Z39" s="3">
        <v>4.0</v>
      </c>
      <c r="AA39" s="3">
        <v>3.0</v>
      </c>
      <c r="AB39" s="3">
        <v>2.0</v>
      </c>
      <c r="AC39" s="3">
        <v>3.0</v>
      </c>
      <c r="AD39" s="3">
        <v>5.0</v>
      </c>
      <c r="AE39" s="3">
        <v>4.0</v>
      </c>
      <c r="AF39" s="3">
        <v>4.0</v>
      </c>
      <c r="AG39" s="3">
        <v>5.0</v>
      </c>
      <c r="AH39" s="26">
        <v>1.0</v>
      </c>
      <c r="AI39" s="3">
        <v>2.0</v>
      </c>
      <c r="AJ39" s="3">
        <v>2.0</v>
      </c>
      <c r="AK39" s="3">
        <v>2.0</v>
      </c>
      <c r="AL39" s="3">
        <v>2.0</v>
      </c>
      <c r="AM39" s="3">
        <v>5.0</v>
      </c>
      <c r="AN39" s="3">
        <v>5.0</v>
      </c>
      <c r="AO39" s="3">
        <f t="shared" si="1"/>
        <v>134</v>
      </c>
      <c r="AP39" s="29">
        <f t="shared" si="2"/>
        <v>0.07445725916</v>
      </c>
    </row>
    <row r="40" ht="9.0" customHeight="1">
      <c r="A40" s="3" t="s">
        <v>122</v>
      </c>
      <c r="B40" s="3">
        <v>5.0</v>
      </c>
      <c r="C40" s="3">
        <v>5.0</v>
      </c>
      <c r="D40" s="3">
        <v>4.0</v>
      </c>
      <c r="E40" s="3">
        <v>3.0</v>
      </c>
      <c r="F40" s="3">
        <v>4.0</v>
      </c>
      <c r="G40" s="3">
        <v>4.0</v>
      </c>
      <c r="H40" s="3">
        <v>3.0</v>
      </c>
      <c r="I40" s="3">
        <v>4.0</v>
      </c>
      <c r="J40" s="3">
        <v>4.0</v>
      </c>
      <c r="K40" s="3">
        <v>4.0</v>
      </c>
      <c r="L40" s="3">
        <v>4.0</v>
      </c>
      <c r="M40" s="3">
        <v>4.0</v>
      </c>
      <c r="N40" s="3">
        <v>5.0</v>
      </c>
      <c r="O40" s="3">
        <v>3.0</v>
      </c>
      <c r="P40" s="3">
        <v>5.0</v>
      </c>
      <c r="Q40" s="3">
        <v>3.0</v>
      </c>
      <c r="R40" s="3">
        <v>3.0</v>
      </c>
      <c r="S40" s="3">
        <v>4.0</v>
      </c>
      <c r="T40" s="3">
        <v>4.0</v>
      </c>
      <c r="U40" s="3">
        <v>3.0</v>
      </c>
      <c r="V40" s="3">
        <v>4.0</v>
      </c>
      <c r="W40" s="3">
        <v>4.0</v>
      </c>
      <c r="X40" s="3">
        <v>4.0</v>
      </c>
      <c r="Y40" s="3">
        <v>3.0</v>
      </c>
      <c r="Z40" s="3">
        <v>4.0</v>
      </c>
      <c r="AA40" s="3">
        <v>4.0</v>
      </c>
      <c r="AB40" s="3">
        <v>3.0</v>
      </c>
      <c r="AC40" s="3">
        <v>4.0</v>
      </c>
      <c r="AD40" s="3">
        <v>4.0</v>
      </c>
      <c r="AE40" s="3">
        <v>4.0</v>
      </c>
      <c r="AF40" s="3">
        <v>4.0</v>
      </c>
      <c r="AG40" s="3">
        <v>3.0</v>
      </c>
      <c r="AH40" s="3">
        <v>4.0</v>
      </c>
      <c r="AI40" s="26">
        <v>1.0</v>
      </c>
      <c r="AJ40" s="3">
        <v>4.0</v>
      </c>
      <c r="AK40" s="3">
        <v>3.0</v>
      </c>
      <c r="AL40" s="3">
        <v>5.0</v>
      </c>
      <c r="AM40" s="3">
        <v>5.0</v>
      </c>
      <c r="AN40" s="3">
        <v>3.0</v>
      </c>
      <c r="AO40" s="3">
        <f t="shared" si="1"/>
        <v>148</v>
      </c>
      <c r="AP40" s="29">
        <f t="shared" si="2"/>
        <v>0.1620085995</v>
      </c>
    </row>
    <row r="41" ht="9.0" customHeight="1">
      <c r="A41" s="3" t="s">
        <v>123</v>
      </c>
      <c r="B41" s="3">
        <v>5.0</v>
      </c>
      <c r="C41" s="3">
        <v>4.0</v>
      </c>
      <c r="D41" s="3">
        <v>5.0</v>
      </c>
      <c r="E41" s="3">
        <v>5.0</v>
      </c>
      <c r="F41" s="3">
        <v>5.0</v>
      </c>
      <c r="G41" s="3">
        <v>5.0</v>
      </c>
      <c r="H41" s="3">
        <v>4.0</v>
      </c>
      <c r="I41" s="3">
        <v>4.0</v>
      </c>
      <c r="J41" s="3">
        <v>4.0</v>
      </c>
      <c r="K41" s="3">
        <v>5.0</v>
      </c>
      <c r="L41" s="3">
        <v>4.0</v>
      </c>
      <c r="M41" s="3">
        <v>4.0</v>
      </c>
      <c r="N41" s="3">
        <v>5.0</v>
      </c>
      <c r="O41" s="3">
        <v>4.0</v>
      </c>
      <c r="P41" s="3">
        <v>4.0</v>
      </c>
      <c r="Q41" s="3">
        <v>3.0</v>
      </c>
      <c r="R41" s="3">
        <v>5.0</v>
      </c>
      <c r="S41" s="3">
        <v>4.0</v>
      </c>
      <c r="T41" s="3">
        <v>4.0</v>
      </c>
      <c r="U41" s="3">
        <v>3.0</v>
      </c>
      <c r="V41" s="3">
        <v>4.0</v>
      </c>
      <c r="W41" s="3">
        <v>5.0</v>
      </c>
      <c r="X41" s="3">
        <v>5.0</v>
      </c>
      <c r="Y41" s="3">
        <v>5.0</v>
      </c>
      <c r="Z41" s="3">
        <v>5.0</v>
      </c>
      <c r="AA41" s="3">
        <v>3.0</v>
      </c>
      <c r="AB41" s="3">
        <v>3.0</v>
      </c>
      <c r="AC41" s="3">
        <v>3.0</v>
      </c>
      <c r="AD41" s="3">
        <v>5.0</v>
      </c>
      <c r="AE41" s="3">
        <v>5.0</v>
      </c>
      <c r="AF41" s="3">
        <v>5.0</v>
      </c>
      <c r="AG41" s="3">
        <v>4.0</v>
      </c>
      <c r="AH41" s="3">
        <v>5.0</v>
      </c>
      <c r="AI41" s="3">
        <v>3.0</v>
      </c>
      <c r="AJ41" s="26">
        <v>1.0</v>
      </c>
      <c r="AK41" s="3">
        <v>3.0</v>
      </c>
      <c r="AL41" s="3">
        <v>3.0</v>
      </c>
      <c r="AM41" s="3">
        <v>5.0</v>
      </c>
      <c r="AN41" s="3">
        <v>5.0</v>
      </c>
      <c r="AO41" s="3">
        <f t="shared" si="1"/>
        <v>163</v>
      </c>
      <c r="AP41" s="29">
        <f t="shared" si="2"/>
        <v>0.2391243726</v>
      </c>
    </row>
    <row r="42" ht="9.0" customHeight="1">
      <c r="A42" s="3" t="s">
        <v>124</v>
      </c>
      <c r="B42" s="3">
        <v>2.0</v>
      </c>
      <c r="C42" s="3">
        <v>3.0</v>
      </c>
      <c r="D42" s="3">
        <v>3.0</v>
      </c>
      <c r="E42" s="3">
        <v>2.0</v>
      </c>
      <c r="F42" s="3">
        <v>3.0</v>
      </c>
      <c r="G42" s="3">
        <v>3.0</v>
      </c>
      <c r="H42" s="3">
        <v>2.0</v>
      </c>
      <c r="I42" s="3">
        <v>3.0</v>
      </c>
      <c r="J42" s="3">
        <v>4.0</v>
      </c>
      <c r="K42" s="3">
        <v>3.0</v>
      </c>
      <c r="L42" s="3">
        <v>4.0</v>
      </c>
      <c r="M42" s="3">
        <v>4.0</v>
      </c>
      <c r="N42" s="3">
        <v>2.0</v>
      </c>
      <c r="O42" s="3">
        <v>3.0</v>
      </c>
      <c r="P42" s="3">
        <v>4.0</v>
      </c>
      <c r="Q42" s="3">
        <v>2.0</v>
      </c>
      <c r="R42" s="3">
        <v>5.0</v>
      </c>
      <c r="S42" s="3">
        <v>3.0</v>
      </c>
      <c r="T42" s="3">
        <v>4.0</v>
      </c>
      <c r="U42" s="3">
        <v>1.0</v>
      </c>
      <c r="V42" s="3">
        <v>3.0</v>
      </c>
      <c r="W42" s="3">
        <v>5.0</v>
      </c>
      <c r="X42" s="3">
        <v>2.0</v>
      </c>
      <c r="Y42" s="3">
        <v>4.0</v>
      </c>
      <c r="Z42" s="3">
        <v>5.0</v>
      </c>
      <c r="AA42" s="3">
        <v>3.0</v>
      </c>
      <c r="AB42" s="3">
        <v>3.0</v>
      </c>
      <c r="AC42" s="3">
        <v>4.0</v>
      </c>
      <c r="AD42" s="3">
        <v>4.0</v>
      </c>
      <c r="AE42" s="3">
        <v>3.0</v>
      </c>
      <c r="AF42" s="3">
        <v>3.0</v>
      </c>
      <c r="AG42" s="3">
        <v>4.0</v>
      </c>
      <c r="AH42" s="3">
        <v>3.0</v>
      </c>
      <c r="AI42" s="3">
        <v>2.0</v>
      </c>
      <c r="AJ42" s="3">
        <v>2.0</v>
      </c>
      <c r="AK42" s="26">
        <v>1.0</v>
      </c>
      <c r="AL42" s="3">
        <v>2.0</v>
      </c>
      <c r="AM42" s="3">
        <v>3.0</v>
      </c>
      <c r="AN42" s="3">
        <v>4.0</v>
      </c>
      <c r="AO42" s="3">
        <f t="shared" si="1"/>
        <v>120</v>
      </c>
      <c r="AP42" s="29">
        <f t="shared" si="2"/>
        <v>-0.03352272727</v>
      </c>
    </row>
    <row r="43" ht="9.0" customHeight="1">
      <c r="A43" s="3" t="s">
        <v>125</v>
      </c>
      <c r="B43" s="3">
        <v>3.0</v>
      </c>
      <c r="C43" s="3">
        <v>2.0</v>
      </c>
      <c r="D43" s="3">
        <v>3.0</v>
      </c>
      <c r="E43" s="3">
        <v>3.0</v>
      </c>
      <c r="F43" s="3">
        <v>3.0</v>
      </c>
      <c r="G43" s="3">
        <v>3.0</v>
      </c>
      <c r="H43" s="3">
        <v>3.0</v>
      </c>
      <c r="I43" s="3">
        <v>3.0</v>
      </c>
      <c r="J43" s="3">
        <v>3.0</v>
      </c>
      <c r="K43" s="3">
        <v>3.0</v>
      </c>
      <c r="L43" s="3">
        <v>3.0</v>
      </c>
      <c r="M43" s="3">
        <v>2.0</v>
      </c>
      <c r="N43" s="3">
        <v>2.0</v>
      </c>
      <c r="O43" s="3">
        <v>2.0</v>
      </c>
      <c r="P43" s="3">
        <v>1.0</v>
      </c>
      <c r="Q43" s="3">
        <v>3.0</v>
      </c>
      <c r="R43" s="3">
        <v>5.0</v>
      </c>
      <c r="S43" s="3">
        <v>1.0</v>
      </c>
      <c r="T43" s="3">
        <v>4.0</v>
      </c>
      <c r="U43" s="3">
        <v>1.0</v>
      </c>
      <c r="V43" s="3">
        <v>3.0</v>
      </c>
      <c r="W43" s="3">
        <v>5.0</v>
      </c>
      <c r="X43" s="3">
        <v>3.0</v>
      </c>
      <c r="Y43" s="3">
        <v>4.0</v>
      </c>
      <c r="Z43" s="3">
        <v>3.0</v>
      </c>
      <c r="AA43" s="3">
        <v>2.0</v>
      </c>
      <c r="AB43" s="3">
        <v>3.0</v>
      </c>
      <c r="AC43" s="3">
        <v>1.0</v>
      </c>
      <c r="AD43" s="3">
        <v>4.0</v>
      </c>
      <c r="AE43" s="3">
        <v>4.0</v>
      </c>
      <c r="AF43" s="3">
        <v>3.0</v>
      </c>
      <c r="AG43" s="3">
        <v>3.0</v>
      </c>
      <c r="AH43" s="3">
        <v>4.0</v>
      </c>
      <c r="AI43" s="3">
        <v>3.0</v>
      </c>
      <c r="AJ43" s="3">
        <v>4.0</v>
      </c>
      <c r="AK43" s="3">
        <v>2.0</v>
      </c>
      <c r="AL43" s="26">
        <v>1.0</v>
      </c>
      <c r="AM43" s="3">
        <v>4.0</v>
      </c>
      <c r="AN43" s="3">
        <v>5.0</v>
      </c>
      <c r="AO43" s="3">
        <f t="shared" si="1"/>
        <v>114</v>
      </c>
      <c r="AP43" s="29">
        <f t="shared" si="2"/>
        <v>-0.08791866029</v>
      </c>
    </row>
    <row r="44" ht="9.0" customHeight="1">
      <c r="A44" s="3" t="s">
        <v>126</v>
      </c>
      <c r="B44" s="3">
        <v>3.0</v>
      </c>
      <c r="C44" s="3">
        <v>4.0</v>
      </c>
      <c r="D44" s="3">
        <v>3.0</v>
      </c>
      <c r="E44" s="3">
        <v>3.0</v>
      </c>
      <c r="F44" s="3">
        <v>3.0</v>
      </c>
      <c r="G44" s="3">
        <v>5.0</v>
      </c>
      <c r="H44" s="3">
        <v>3.0</v>
      </c>
      <c r="I44" s="3">
        <v>5.0</v>
      </c>
      <c r="J44" s="3">
        <v>3.0</v>
      </c>
      <c r="K44" s="3">
        <v>4.0</v>
      </c>
      <c r="L44" s="3">
        <v>2.0</v>
      </c>
      <c r="M44" s="3">
        <v>3.0</v>
      </c>
      <c r="N44" s="3">
        <v>4.0</v>
      </c>
      <c r="O44" s="3">
        <v>3.0</v>
      </c>
      <c r="P44" s="3">
        <v>4.0</v>
      </c>
      <c r="Q44" s="3">
        <v>3.0</v>
      </c>
      <c r="R44" s="3">
        <v>4.0</v>
      </c>
      <c r="S44" s="3">
        <v>3.0</v>
      </c>
      <c r="T44" s="3">
        <v>3.0</v>
      </c>
      <c r="U44" s="3">
        <v>2.0</v>
      </c>
      <c r="V44" s="3">
        <v>4.0</v>
      </c>
      <c r="W44" s="3">
        <v>3.0</v>
      </c>
      <c r="X44" s="3">
        <v>4.0</v>
      </c>
      <c r="Y44" s="3">
        <v>5.0</v>
      </c>
      <c r="Z44" s="3">
        <v>4.0</v>
      </c>
      <c r="AA44" s="3">
        <v>2.0</v>
      </c>
      <c r="AB44" s="3">
        <v>3.0</v>
      </c>
      <c r="AC44" s="3">
        <v>3.0</v>
      </c>
      <c r="AD44" s="3">
        <v>4.0</v>
      </c>
      <c r="AE44" s="3">
        <v>4.0</v>
      </c>
      <c r="AF44" s="3">
        <v>3.0</v>
      </c>
      <c r="AG44" s="3">
        <v>4.0</v>
      </c>
      <c r="AH44" s="3">
        <v>4.0</v>
      </c>
      <c r="AI44" s="3">
        <v>2.0</v>
      </c>
      <c r="AJ44" s="3">
        <v>3.0</v>
      </c>
      <c r="AK44" s="3">
        <v>2.0</v>
      </c>
      <c r="AL44" s="3">
        <v>3.0</v>
      </c>
      <c r="AM44" s="26">
        <v>1.0</v>
      </c>
      <c r="AN44" s="3">
        <v>5.0</v>
      </c>
      <c r="AO44" s="3">
        <f t="shared" si="1"/>
        <v>130</v>
      </c>
      <c r="AP44" s="29">
        <f t="shared" si="2"/>
        <v>0.04597902098</v>
      </c>
    </row>
    <row r="45" ht="9.0" customHeight="1">
      <c r="A45" s="3" t="s">
        <v>127</v>
      </c>
      <c r="B45" s="3">
        <v>3.0</v>
      </c>
      <c r="C45" s="3">
        <v>3.0</v>
      </c>
      <c r="D45" s="3">
        <v>3.0</v>
      </c>
      <c r="E45" s="3">
        <v>3.0</v>
      </c>
      <c r="F45" s="3">
        <v>3.0</v>
      </c>
      <c r="G45" s="3">
        <v>3.0</v>
      </c>
      <c r="H45" s="3">
        <v>2.0</v>
      </c>
      <c r="I45" s="3">
        <v>3.0</v>
      </c>
      <c r="J45" s="3">
        <v>2.0</v>
      </c>
      <c r="K45" s="3">
        <v>5.0</v>
      </c>
      <c r="L45" s="3">
        <v>3.0</v>
      </c>
      <c r="M45" s="3">
        <v>4.0</v>
      </c>
      <c r="N45" s="3">
        <v>2.0</v>
      </c>
      <c r="O45" s="3">
        <v>3.0</v>
      </c>
      <c r="P45" s="3">
        <v>3.0</v>
      </c>
      <c r="Q45" s="3">
        <v>2.0</v>
      </c>
      <c r="R45" s="3">
        <v>5.0</v>
      </c>
      <c r="S45" s="3">
        <v>2.0</v>
      </c>
      <c r="T45" s="3">
        <v>3.0</v>
      </c>
      <c r="U45" s="3">
        <v>2.0</v>
      </c>
      <c r="V45" s="3">
        <v>4.0</v>
      </c>
      <c r="W45" s="3">
        <v>3.0</v>
      </c>
      <c r="X45" s="3">
        <v>4.0</v>
      </c>
      <c r="Y45" s="3">
        <v>4.0</v>
      </c>
      <c r="Z45" s="3">
        <v>3.0</v>
      </c>
      <c r="AA45" s="3">
        <v>3.0</v>
      </c>
      <c r="AB45" s="3">
        <v>2.0</v>
      </c>
      <c r="AC45" s="3">
        <v>3.0</v>
      </c>
      <c r="AD45" s="3">
        <v>3.0</v>
      </c>
      <c r="AE45" s="3">
        <v>3.0</v>
      </c>
      <c r="AF45" s="3">
        <v>2.0</v>
      </c>
      <c r="AG45" s="3">
        <v>4.0</v>
      </c>
      <c r="AH45" s="3">
        <v>3.0</v>
      </c>
      <c r="AI45" s="3">
        <v>3.0</v>
      </c>
      <c r="AJ45" s="3">
        <v>2.0</v>
      </c>
      <c r="AK45" s="3">
        <v>2.0</v>
      </c>
      <c r="AL45" s="3">
        <v>2.0</v>
      </c>
      <c r="AM45" s="3">
        <v>4.0</v>
      </c>
      <c r="AN45" s="26">
        <v>1.0</v>
      </c>
      <c r="AO45" s="3">
        <f t="shared" si="1"/>
        <v>114</v>
      </c>
      <c r="AP45" s="29">
        <f t="shared" si="2"/>
        <v>-0.08791866029</v>
      </c>
    </row>
    <row r="46" ht="9.0" customHeight="1">
      <c r="A46" s="31" t="s">
        <v>2</v>
      </c>
      <c r="B46" s="14">
        <f t="shared" ref="B46:AN46" si="3">SUM(B2:B45)</f>
        <v>150</v>
      </c>
      <c r="C46" s="14">
        <f t="shared" si="3"/>
        <v>140</v>
      </c>
      <c r="D46" s="14">
        <f t="shared" si="3"/>
        <v>137</v>
      </c>
      <c r="E46" s="14">
        <f t="shared" si="3"/>
        <v>123</v>
      </c>
      <c r="F46" s="14">
        <f t="shared" si="3"/>
        <v>143</v>
      </c>
      <c r="G46" s="14">
        <f t="shared" si="3"/>
        <v>167</v>
      </c>
      <c r="H46" s="14">
        <f t="shared" si="3"/>
        <v>126</v>
      </c>
      <c r="I46" s="14">
        <f t="shared" si="3"/>
        <v>140</v>
      </c>
      <c r="J46" s="14">
        <f t="shared" si="3"/>
        <v>132</v>
      </c>
      <c r="K46" s="14">
        <f t="shared" si="3"/>
        <v>167</v>
      </c>
      <c r="L46" s="14">
        <f t="shared" si="3"/>
        <v>112</v>
      </c>
      <c r="M46" s="14">
        <f t="shared" si="3"/>
        <v>138</v>
      </c>
      <c r="N46" s="14">
        <f t="shared" si="3"/>
        <v>138</v>
      </c>
      <c r="O46" s="14">
        <f t="shared" si="3"/>
        <v>123</v>
      </c>
      <c r="P46" s="14">
        <f t="shared" si="3"/>
        <v>159</v>
      </c>
      <c r="Q46" s="14">
        <f t="shared" si="3"/>
        <v>99</v>
      </c>
      <c r="R46" s="14">
        <f t="shared" si="3"/>
        <v>178</v>
      </c>
      <c r="S46" s="14">
        <f t="shared" si="3"/>
        <v>126</v>
      </c>
      <c r="T46" s="14">
        <f t="shared" si="3"/>
        <v>141</v>
      </c>
      <c r="U46" s="14">
        <f t="shared" si="3"/>
        <v>96</v>
      </c>
      <c r="V46" s="14">
        <f t="shared" si="3"/>
        <v>150</v>
      </c>
      <c r="W46" s="14">
        <f t="shared" si="3"/>
        <v>148</v>
      </c>
      <c r="X46" s="14">
        <f t="shared" si="3"/>
        <v>144</v>
      </c>
      <c r="Y46" s="14">
        <f t="shared" si="3"/>
        <v>172</v>
      </c>
      <c r="Z46" s="14">
        <f t="shared" si="3"/>
        <v>156</v>
      </c>
      <c r="AA46" s="14">
        <f t="shared" si="3"/>
        <v>121</v>
      </c>
      <c r="AB46" s="14">
        <f t="shared" si="3"/>
        <v>117</v>
      </c>
      <c r="AC46" s="14">
        <f t="shared" si="3"/>
        <v>164</v>
      </c>
      <c r="AD46" s="14">
        <f t="shared" si="3"/>
        <v>157</v>
      </c>
      <c r="AE46" s="14">
        <f t="shared" si="3"/>
        <v>132</v>
      </c>
      <c r="AF46" s="14">
        <f t="shared" si="3"/>
        <v>136</v>
      </c>
      <c r="AG46" s="14">
        <f t="shared" si="3"/>
        <v>144</v>
      </c>
      <c r="AH46" s="14">
        <f t="shared" si="3"/>
        <v>169</v>
      </c>
      <c r="AI46" s="14">
        <f t="shared" si="3"/>
        <v>122</v>
      </c>
      <c r="AJ46" s="14">
        <f t="shared" si="3"/>
        <v>113</v>
      </c>
      <c r="AK46" s="14">
        <f t="shared" si="3"/>
        <v>123</v>
      </c>
      <c r="AL46" s="14">
        <f t="shared" si="3"/>
        <v>99</v>
      </c>
      <c r="AM46" s="14">
        <f t="shared" si="3"/>
        <v>176</v>
      </c>
      <c r="AN46" s="14">
        <f t="shared" si="3"/>
        <v>179</v>
      </c>
    </row>
    <row r="47" ht="9.0" customHeight="1">
      <c r="A47" s="31" t="s">
        <v>128</v>
      </c>
      <c r="B47" s="14">
        <f t="shared" ref="B47:AN47" si="4">countif(B2:B45,5)</f>
        <v>6</v>
      </c>
      <c r="C47" s="14">
        <f t="shared" si="4"/>
        <v>6</v>
      </c>
      <c r="D47" s="14">
        <f t="shared" si="4"/>
        <v>3</v>
      </c>
      <c r="E47" s="14">
        <f t="shared" si="4"/>
        <v>2</v>
      </c>
      <c r="F47" s="14">
        <f t="shared" si="4"/>
        <v>5</v>
      </c>
      <c r="G47" s="14">
        <f t="shared" si="4"/>
        <v>11</v>
      </c>
      <c r="H47" s="14">
        <f t="shared" si="4"/>
        <v>0</v>
      </c>
      <c r="I47" s="14">
        <f t="shared" si="4"/>
        <v>2</v>
      </c>
      <c r="J47" s="14">
        <f t="shared" si="4"/>
        <v>2</v>
      </c>
      <c r="K47" s="14">
        <f t="shared" si="4"/>
        <v>14</v>
      </c>
      <c r="L47" s="14">
        <f t="shared" si="4"/>
        <v>1</v>
      </c>
      <c r="M47" s="14">
        <f t="shared" si="4"/>
        <v>0</v>
      </c>
      <c r="N47" s="14">
        <f t="shared" si="4"/>
        <v>3</v>
      </c>
      <c r="O47" s="14">
        <f t="shared" si="4"/>
        <v>1</v>
      </c>
      <c r="P47" s="14">
        <f t="shared" si="4"/>
        <v>8</v>
      </c>
      <c r="Q47" s="14">
        <f t="shared" si="4"/>
        <v>0</v>
      </c>
      <c r="R47" s="14">
        <f t="shared" si="4"/>
        <v>18</v>
      </c>
      <c r="S47" s="14">
        <f t="shared" si="4"/>
        <v>0</v>
      </c>
      <c r="T47" s="14">
        <f t="shared" si="4"/>
        <v>2</v>
      </c>
      <c r="U47" s="14">
        <f t="shared" si="4"/>
        <v>1</v>
      </c>
      <c r="V47" s="14">
        <f t="shared" si="4"/>
        <v>5</v>
      </c>
      <c r="W47" s="14">
        <f t="shared" si="4"/>
        <v>7</v>
      </c>
      <c r="X47" s="14">
        <f t="shared" si="4"/>
        <v>5</v>
      </c>
      <c r="Y47" s="14">
        <f t="shared" si="4"/>
        <v>16</v>
      </c>
      <c r="Z47" s="14">
        <f t="shared" si="4"/>
        <v>6</v>
      </c>
      <c r="AA47" s="14">
        <f t="shared" si="4"/>
        <v>0</v>
      </c>
      <c r="AB47" s="14">
        <f t="shared" si="4"/>
        <v>1</v>
      </c>
      <c r="AC47" s="14">
        <f t="shared" si="4"/>
        <v>12</v>
      </c>
      <c r="AD47" s="14">
        <f t="shared" si="4"/>
        <v>7</v>
      </c>
      <c r="AE47" s="14">
        <f t="shared" si="4"/>
        <v>3</v>
      </c>
      <c r="AF47" s="14">
        <f t="shared" si="4"/>
        <v>1</v>
      </c>
      <c r="AG47" s="14">
        <f t="shared" si="4"/>
        <v>4</v>
      </c>
      <c r="AH47" s="14">
        <f t="shared" si="4"/>
        <v>12</v>
      </c>
      <c r="AI47" s="14">
        <f t="shared" si="4"/>
        <v>2</v>
      </c>
      <c r="AJ47" s="14">
        <f t="shared" si="4"/>
        <v>2</v>
      </c>
      <c r="AK47" s="14">
        <f t="shared" si="4"/>
        <v>3</v>
      </c>
      <c r="AL47" s="14">
        <f t="shared" si="4"/>
        <v>1</v>
      </c>
      <c r="AM47" s="14">
        <f t="shared" si="4"/>
        <v>14</v>
      </c>
      <c r="AN47" s="14">
        <f t="shared" si="4"/>
        <v>18</v>
      </c>
    </row>
    <row r="48" ht="9.0" customHeight="1">
      <c r="A48" s="31" t="s">
        <v>129</v>
      </c>
      <c r="B48" s="14">
        <f t="shared" ref="B48:AN48" si="5">countif(B2:B45,4)</f>
        <v>13</v>
      </c>
      <c r="C48" s="14">
        <f t="shared" si="5"/>
        <v>10</v>
      </c>
      <c r="D48" s="14">
        <f t="shared" si="5"/>
        <v>8</v>
      </c>
      <c r="E48" s="14">
        <f t="shared" si="5"/>
        <v>2</v>
      </c>
      <c r="F48" s="14">
        <f t="shared" si="5"/>
        <v>11</v>
      </c>
      <c r="G48" s="14">
        <f t="shared" si="5"/>
        <v>15</v>
      </c>
      <c r="H48" s="14">
        <f t="shared" si="5"/>
        <v>11</v>
      </c>
      <c r="I48" s="14">
        <f t="shared" si="5"/>
        <v>16</v>
      </c>
      <c r="J48" s="14">
        <f t="shared" si="5"/>
        <v>11</v>
      </c>
      <c r="K48" s="14">
        <f t="shared" si="5"/>
        <v>11</v>
      </c>
      <c r="L48" s="14">
        <f t="shared" si="5"/>
        <v>5</v>
      </c>
      <c r="M48" s="14">
        <f t="shared" si="5"/>
        <v>15</v>
      </c>
      <c r="N48" s="14">
        <f t="shared" si="5"/>
        <v>11</v>
      </c>
      <c r="O48" s="14">
        <f t="shared" si="5"/>
        <v>6</v>
      </c>
      <c r="P48" s="14">
        <f t="shared" si="5"/>
        <v>20</v>
      </c>
      <c r="Q48" s="14">
        <f t="shared" si="5"/>
        <v>2</v>
      </c>
      <c r="R48" s="14">
        <f t="shared" si="5"/>
        <v>15</v>
      </c>
      <c r="S48" s="14">
        <f t="shared" si="5"/>
        <v>11</v>
      </c>
      <c r="T48" s="14">
        <f t="shared" si="5"/>
        <v>13</v>
      </c>
      <c r="U48" s="14">
        <f t="shared" si="5"/>
        <v>4</v>
      </c>
      <c r="V48" s="14">
        <f t="shared" si="5"/>
        <v>15</v>
      </c>
      <c r="W48" s="14">
        <f t="shared" si="5"/>
        <v>13</v>
      </c>
      <c r="X48" s="14">
        <f t="shared" si="5"/>
        <v>15</v>
      </c>
      <c r="Y48" s="14">
        <f t="shared" si="5"/>
        <v>14</v>
      </c>
      <c r="Z48" s="14">
        <f t="shared" si="5"/>
        <v>19</v>
      </c>
      <c r="AA48" s="14">
        <f t="shared" si="5"/>
        <v>5</v>
      </c>
      <c r="AB48" s="14">
        <f t="shared" si="5"/>
        <v>5</v>
      </c>
      <c r="AC48" s="14">
        <f t="shared" si="5"/>
        <v>14</v>
      </c>
      <c r="AD48" s="14">
        <f t="shared" si="5"/>
        <v>17</v>
      </c>
      <c r="AE48" s="14">
        <f t="shared" si="5"/>
        <v>9</v>
      </c>
      <c r="AF48" s="14">
        <f t="shared" si="5"/>
        <v>13</v>
      </c>
      <c r="AG48" s="14">
        <f t="shared" si="5"/>
        <v>15</v>
      </c>
      <c r="AH48" s="14">
        <f t="shared" si="5"/>
        <v>17</v>
      </c>
      <c r="AI48" s="14">
        <f t="shared" si="5"/>
        <v>5</v>
      </c>
      <c r="AJ48" s="14">
        <f t="shared" si="5"/>
        <v>5</v>
      </c>
      <c r="AK48" s="14">
        <f t="shared" si="5"/>
        <v>7</v>
      </c>
      <c r="AL48" s="14">
        <f t="shared" si="5"/>
        <v>2</v>
      </c>
      <c r="AM48" s="14">
        <f t="shared" si="5"/>
        <v>19</v>
      </c>
      <c r="AN48" s="14">
        <f t="shared" si="5"/>
        <v>14</v>
      </c>
    </row>
    <row r="49" ht="9.0" customHeight="1">
      <c r="A49" s="31" t="s">
        <v>130</v>
      </c>
      <c r="B49" s="14">
        <f t="shared" ref="B49:AN49" si="6">countif(B2:B45,3)</f>
        <v>19</v>
      </c>
      <c r="C49" s="14">
        <f t="shared" si="6"/>
        <v>17</v>
      </c>
      <c r="D49" s="14">
        <f t="shared" si="6"/>
        <v>27</v>
      </c>
      <c r="E49" s="14">
        <f t="shared" si="6"/>
        <v>28</v>
      </c>
      <c r="F49" s="14">
        <f t="shared" si="6"/>
        <v>20</v>
      </c>
      <c r="G49" s="14">
        <f t="shared" si="6"/>
        <v>17</v>
      </c>
      <c r="H49" s="14">
        <f t="shared" si="6"/>
        <v>20</v>
      </c>
      <c r="I49" s="14">
        <f t="shared" si="6"/>
        <v>16</v>
      </c>
      <c r="J49" s="14">
        <f t="shared" si="6"/>
        <v>19</v>
      </c>
      <c r="K49" s="14">
        <f t="shared" si="6"/>
        <v>16</v>
      </c>
      <c r="L49" s="14">
        <f t="shared" si="6"/>
        <v>19</v>
      </c>
      <c r="M49" s="14">
        <f t="shared" si="6"/>
        <v>21</v>
      </c>
      <c r="N49" s="14">
        <f t="shared" si="6"/>
        <v>21</v>
      </c>
      <c r="O49" s="14">
        <f t="shared" si="6"/>
        <v>24</v>
      </c>
      <c r="P49" s="14">
        <f t="shared" si="6"/>
        <v>9</v>
      </c>
      <c r="Q49" s="14">
        <f t="shared" si="6"/>
        <v>16</v>
      </c>
      <c r="R49" s="14">
        <f t="shared" si="6"/>
        <v>8</v>
      </c>
      <c r="S49" s="14">
        <f t="shared" si="6"/>
        <v>19</v>
      </c>
      <c r="T49" s="14">
        <f t="shared" si="6"/>
        <v>22</v>
      </c>
      <c r="U49" s="14">
        <f t="shared" si="6"/>
        <v>12</v>
      </c>
      <c r="V49" s="14">
        <f t="shared" si="6"/>
        <v>18</v>
      </c>
      <c r="W49" s="14">
        <f t="shared" si="6"/>
        <v>18</v>
      </c>
      <c r="X49" s="14">
        <f t="shared" si="6"/>
        <v>15</v>
      </c>
      <c r="Y49" s="14">
        <f t="shared" si="6"/>
        <v>9</v>
      </c>
      <c r="Z49" s="14">
        <f t="shared" si="6"/>
        <v>13</v>
      </c>
      <c r="AA49" s="14">
        <f t="shared" si="6"/>
        <v>25</v>
      </c>
      <c r="AB49" s="14">
        <f t="shared" si="6"/>
        <v>19</v>
      </c>
      <c r="AC49" s="14">
        <f t="shared" si="6"/>
        <v>14</v>
      </c>
      <c r="AD49" s="14">
        <f t="shared" si="6"/>
        <v>16</v>
      </c>
      <c r="AE49" s="14">
        <f t="shared" si="6"/>
        <v>20</v>
      </c>
      <c r="AF49" s="14">
        <f t="shared" si="6"/>
        <v>22</v>
      </c>
      <c r="AG49" s="14">
        <f t="shared" si="6"/>
        <v>16</v>
      </c>
      <c r="AH49" s="14">
        <f t="shared" si="6"/>
        <v>12</v>
      </c>
      <c r="AI49" s="14">
        <f t="shared" si="6"/>
        <v>21</v>
      </c>
      <c r="AJ49" s="14">
        <f t="shared" si="6"/>
        <v>16</v>
      </c>
      <c r="AK49" s="14">
        <f t="shared" si="6"/>
        <v>17</v>
      </c>
      <c r="AL49" s="14">
        <f t="shared" si="6"/>
        <v>12</v>
      </c>
      <c r="AM49" s="14">
        <f t="shared" si="6"/>
        <v>9</v>
      </c>
      <c r="AN49" s="14">
        <f t="shared" si="6"/>
        <v>10</v>
      </c>
    </row>
    <row r="50" ht="9.0" customHeight="1">
      <c r="A50" s="31" t="s">
        <v>131</v>
      </c>
      <c r="B50" s="14">
        <f t="shared" ref="B50:AN50" si="7">countif(B2:B45,2)</f>
        <v>5</v>
      </c>
      <c r="C50" s="14">
        <f t="shared" si="7"/>
        <v>8</v>
      </c>
      <c r="D50" s="14">
        <f t="shared" si="7"/>
        <v>3</v>
      </c>
      <c r="E50" s="14">
        <f t="shared" si="7"/>
        <v>9</v>
      </c>
      <c r="F50" s="14">
        <f t="shared" si="7"/>
        <v>6</v>
      </c>
      <c r="G50" s="14">
        <f t="shared" si="7"/>
        <v>0</v>
      </c>
      <c r="H50" s="14">
        <f t="shared" si="7"/>
        <v>9</v>
      </c>
      <c r="I50" s="14">
        <f t="shared" si="7"/>
        <v>8</v>
      </c>
      <c r="J50" s="14">
        <f t="shared" si="7"/>
        <v>9</v>
      </c>
      <c r="K50" s="14">
        <f t="shared" si="7"/>
        <v>2</v>
      </c>
      <c r="L50" s="14">
        <f t="shared" si="7"/>
        <v>11</v>
      </c>
      <c r="M50" s="14">
        <f t="shared" si="7"/>
        <v>7</v>
      </c>
      <c r="N50" s="14">
        <f t="shared" si="7"/>
        <v>7</v>
      </c>
      <c r="O50" s="14">
        <f t="shared" si="7"/>
        <v>9</v>
      </c>
      <c r="P50" s="14">
        <f t="shared" si="7"/>
        <v>5</v>
      </c>
      <c r="Q50" s="14">
        <f t="shared" si="7"/>
        <v>17</v>
      </c>
      <c r="R50" s="14">
        <f t="shared" si="7"/>
        <v>1</v>
      </c>
      <c r="S50" s="14">
        <f t="shared" si="7"/>
        <v>11</v>
      </c>
      <c r="T50" s="14">
        <f t="shared" si="7"/>
        <v>6</v>
      </c>
      <c r="U50" s="14">
        <f t="shared" si="7"/>
        <v>12</v>
      </c>
      <c r="V50" s="14">
        <f t="shared" si="7"/>
        <v>5</v>
      </c>
      <c r="W50" s="14">
        <f t="shared" si="7"/>
        <v>1</v>
      </c>
      <c r="X50" s="14">
        <f t="shared" si="7"/>
        <v>5</v>
      </c>
      <c r="Y50" s="14">
        <f t="shared" si="7"/>
        <v>4</v>
      </c>
      <c r="Z50" s="14">
        <f t="shared" si="7"/>
        <v>5</v>
      </c>
      <c r="AA50" s="14">
        <f t="shared" si="7"/>
        <v>12</v>
      </c>
      <c r="AB50" s="14">
        <f t="shared" si="7"/>
        <v>16</v>
      </c>
      <c r="AC50" s="14">
        <f t="shared" si="7"/>
        <v>2</v>
      </c>
      <c r="AD50" s="14">
        <f t="shared" si="7"/>
        <v>2</v>
      </c>
      <c r="AE50" s="14">
        <f t="shared" si="7"/>
        <v>9</v>
      </c>
      <c r="AF50" s="14">
        <f t="shared" si="7"/>
        <v>5</v>
      </c>
      <c r="AG50" s="14">
        <f t="shared" si="7"/>
        <v>7</v>
      </c>
      <c r="AH50" s="14">
        <f t="shared" si="7"/>
        <v>2</v>
      </c>
      <c r="AI50" s="14">
        <f t="shared" si="7"/>
        <v>13</v>
      </c>
      <c r="AJ50" s="14">
        <f t="shared" si="7"/>
        <v>14</v>
      </c>
      <c r="AK50" s="14">
        <f t="shared" si="7"/>
        <v>12</v>
      </c>
      <c r="AL50" s="14">
        <f t="shared" si="7"/>
        <v>21</v>
      </c>
      <c r="AM50" s="14">
        <f t="shared" si="7"/>
        <v>1</v>
      </c>
      <c r="AN50" s="14">
        <f t="shared" si="7"/>
        <v>1</v>
      </c>
    </row>
    <row r="51" ht="9.0" customHeight="1">
      <c r="A51" s="31" t="s">
        <v>132</v>
      </c>
      <c r="B51" s="14">
        <f t="shared" ref="B51:AN51" si="8">countif(B2:B45,1)</f>
        <v>1</v>
      </c>
      <c r="C51" s="14">
        <f t="shared" si="8"/>
        <v>3</v>
      </c>
      <c r="D51" s="14">
        <f t="shared" si="8"/>
        <v>3</v>
      </c>
      <c r="E51" s="14">
        <f t="shared" si="8"/>
        <v>3</v>
      </c>
      <c r="F51" s="14">
        <f t="shared" si="8"/>
        <v>2</v>
      </c>
      <c r="G51" s="14">
        <f t="shared" si="8"/>
        <v>1</v>
      </c>
      <c r="H51" s="14">
        <f t="shared" si="8"/>
        <v>4</v>
      </c>
      <c r="I51" s="14">
        <f t="shared" si="8"/>
        <v>2</v>
      </c>
      <c r="J51" s="14">
        <f t="shared" si="8"/>
        <v>3</v>
      </c>
      <c r="K51" s="14">
        <f t="shared" si="8"/>
        <v>1</v>
      </c>
      <c r="L51" s="14">
        <f t="shared" si="8"/>
        <v>8</v>
      </c>
      <c r="M51" s="14">
        <f t="shared" si="8"/>
        <v>1</v>
      </c>
      <c r="N51" s="14">
        <f t="shared" si="8"/>
        <v>2</v>
      </c>
      <c r="O51" s="14">
        <f t="shared" si="8"/>
        <v>4</v>
      </c>
      <c r="P51" s="14">
        <f t="shared" si="8"/>
        <v>2</v>
      </c>
      <c r="Q51" s="14">
        <f t="shared" si="8"/>
        <v>9</v>
      </c>
      <c r="R51" s="14">
        <f t="shared" si="8"/>
        <v>2</v>
      </c>
      <c r="S51" s="14">
        <f t="shared" si="8"/>
        <v>3</v>
      </c>
      <c r="T51" s="14">
        <f t="shared" si="8"/>
        <v>1</v>
      </c>
      <c r="U51" s="14">
        <f t="shared" si="8"/>
        <v>15</v>
      </c>
      <c r="V51" s="14">
        <f t="shared" si="8"/>
        <v>1</v>
      </c>
      <c r="W51" s="14">
        <f t="shared" si="8"/>
        <v>5</v>
      </c>
      <c r="X51" s="14">
        <f t="shared" si="8"/>
        <v>4</v>
      </c>
      <c r="Y51" s="14">
        <f t="shared" si="8"/>
        <v>1</v>
      </c>
      <c r="Z51" s="14">
        <f t="shared" si="8"/>
        <v>1</v>
      </c>
      <c r="AA51" s="14">
        <f t="shared" si="8"/>
        <v>2</v>
      </c>
      <c r="AB51" s="14">
        <f t="shared" si="8"/>
        <v>3</v>
      </c>
      <c r="AC51" s="14">
        <f t="shared" si="8"/>
        <v>2</v>
      </c>
      <c r="AD51" s="14">
        <f t="shared" si="8"/>
        <v>2</v>
      </c>
      <c r="AE51" s="14">
        <f t="shared" si="8"/>
        <v>3</v>
      </c>
      <c r="AF51" s="14">
        <f t="shared" si="8"/>
        <v>3</v>
      </c>
      <c r="AG51" s="14">
        <f t="shared" si="8"/>
        <v>2</v>
      </c>
      <c r="AH51" s="14">
        <f t="shared" si="8"/>
        <v>1</v>
      </c>
      <c r="AI51" s="14">
        <f t="shared" si="8"/>
        <v>3</v>
      </c>
      <c r="AJ51" s="14">
        <f t="shared" si="8"/>
        <v>7</v>
      </c>
      <c r="AK51" s="14">
        <f t="shared" si="8"/>
        <v>5</v>
      </c>
      <c r="AL51" s="14">
        <f t="shared" si="8"/>
        <v>8</v>
      </c>
      <c r="AM51" s="14">
        <f t="shared" si="8"/>
        <v>1</v>
      </c>
      <c r="AN51" s="14">
        <f t="shared" si="8"/>
        <v>1</v>
      </c>
    </row>
    <row r="52" ht="9.0" customHeight="1">
      <c r="A52" s="32"/>
      <c r="B52" s="32">
        <f t="shared" ref="B52:AN52" si="9">AVERAGE(B2:B45)</f>
        <v>3.409090909</v>
      </c>
      <c r="C52" s="32">
        <f t="shared" si="9"/>
        <v>3.181818182</v>
      </c>
      <c r="D52" s="32">
        <f t="shared" si="9"/>
        <v>3.113636364</v>
      </c>
      <c r="E52" s="32">
        <f t="shared" si="9"/>
        <v>2.795454545</v>
      </c>
      <c r="F52" s="32">
        <f t="shared" si="9"/>
        <v>3.25</v>
      </c>
      <c r="G52" s="32">
        <f t="shared" si="9"/>
        <v>3.795454545</v>
      </c>
      <c r="H52" s="32">
        <f t="shared" si="9"/>
        <v>2.863636364</v>
      </c>
      <c r="I52" s="32">
        <f t="shared" si="9"/>
        <v>3.181818182</v>
      </c>
      <c r="J52" s="32">
        <f t="shared" si="9"/>
        <v>3</v>
      </c>
      <c r="K52" s="32">
        <f t="shared" si="9"/>
        <v>3.795454545</v>
      </c>
      <c r="L52" s="32">
        <f t="shared" si="9"/>
        <v>2.545454545</v>
      </c>
      <c r="M52" s="32">
        <f t="shared" si="9"/>
        <v>3.136363636</v>
      </c>
      <c r="N52" s="32">
        <f t="shared" si="9"/>
        <v>3.136363636</v>
      </c>
      <c r="O52" s="32">
        <f t="shared" si="9"/>
        <v>2.795454545</v>
      </c>
      <c r="P52" s="32">
        <f t="shared" si="9"/>
        <v>3.613636364</v>
      </c>
      <c r="Q52" s="32">
        <f t="shared" si="9"/>
        <v>2.25</v>
      </c>
      <c r="R52" s="32">
        <f t="shared" si="9"/>
        <v>4.045454545</v>
      </c>
      <c r="S52" s="32">
        <f t="shared" si="9"/>
        <v>2.863636364</v>
      </c>
      <c r="T52" s="32">
        <f t="shared" si="9"/>
        <v>3.204545455</v>
      </c>
      <c r="U52" s="32">
        <f t="shared" si="9"/>
        <v>2.181818182</v>
      </c>
      <c r="V52" s="32">
        <f t="shared" si="9"/>
        <v>3.409090909</v>
      </c>
      <c r="W52" s="32">
        <f t="shared" si="9"/>
        <v>3.363636364</v>
      </c>
      <c r="X52" s="32">
        <f t="shared" si="9"/>
        <v>3.272727273</v>
      </c>
      <c r="Y52" s="32">
        <f t="shared" si="9"/>
        <v>3.909090909</v>
      </c>
      <c r="Z52" s="32">
        <f t="shared" si="9"/>
        <v>3.545454545</v>
      </c>
      <c r="AA52" s="32">
        <f t="shared" si="9"/>
        <v>2.75</v>
      </c>
      <c r="AB52" s="32">
        <f t="shared" si="9"/>
        <v>2.659090909</v>
      </c>
      <c r="AC52" s="32">
        <f t="shared" si="9"/>
        <v>3.727272727</v>
      </c>
      <c r="AD52" s="32">
        <f t="shared" si="9"/>
        <v>3.568181818</v>
      </c>
      <c r="AE52" s="32">
        <f t="shared" si="9"/>
        <v>3</v>
      </c>
      <c r="AF52" s="32">
        <f t="shared" si="9"/>
        <v>3.090909091</v>
      </c>
      <c r="AG52" s="32">
        <f t="shared" si="9"/>
        <v>3.272727273</v>
      </c>
      <c r="AH52" s="32">
        <f t="shared" si="9"/>
        <v>3.840909091</v>
      </c>
      <c r="AI52" s="32">
        <f t="shared" si="9"/>
        <v>2.772727273</v>
      </c>
      <c r="AJ52" s="32">
        <f t="shared" si="9"/>
        <v>2.568181818</v>
      </c>
      <c r="AK52" s="32">
        <f t="shared" si="9"/>
        <v>2.795454545</v>
      </c>
      <c r="AL52" s="32">
        <f t="shared" si="9"/>
        <v>2.25</v>
      </c>
      <c r="AM52" s="32">
        <f t="shared" si="9"/>
        <v>4</v>
      </c>
      <c r="AN52" s="32">
        <f t="shared" si="9"/>
        <v>4.068181818</v>
      </c>
      <c r="AO52">
        <f>COUNTIF(B52:AN52,"&gt;3.3333333333")</f>
        <v>14</v>
      </c>
    </row>
    <row r="53" ht="9.0" customHeight="1">
      <c r="A53" s="3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AO53">
        <f>(AO52-5)/38</f>
        <v>0.2368421053</v>
      </c>
    </row>
    <row r="54" ht="9.0" customHeight="1">
      <c r="A54" s="33" t="s">
        <v>133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ht="9.0" customHeight="1">
      <c r="A55" s="34" t="s">
        <v>134</v>
      </c>
      <c r="B55" s="35">
        <f>average(AO2:AO45)</f>
        <v>124.0227273</v>
      </c>
      <c r="C55" s="34" t="s">
        <v>135</v>
      </c>
      <c r="D55" s="32"/>
      <c r="E55" s="32"/>
      <c r="F55" s="32"/>
      <c r="G55" s="32"/>
      <c r="H55" s="32"/>
      <c r="I55" s="32"/>
      <c r="J55" s="32"/>
      <c r="K55" s="32"/>
      <c r="L55" s="32"/>
    </row>
    <row r="56" ht="9.0" customHeight="1"/>
    <row r="57" ht="9.0" customHeight="1"/>
    <row r="58" ht="9.0" customHeight="1"/>
    <row r="59" ht="9.0" customHeight="1"/>
    <row r="60" ht="9.0" customHeight="1"/>
    <row r="61" ht="9.0" customHeight="1"/>
    <row r="62" ht="9.0" customHeight="1"/>
    <row r="63" ht="9.0" customHeight="1"/>
    <row r="64" ht="9.0" customHeight="1"/>
    <row r="65" ht="9.0" customHeight="1"/>
    <row r="66" ht="9.0" customHeight="1"/>
    <row r="67" ht="9.0" customHeight="1"/>
    <row r="68" ht="9.0" customHeight="1"/>
    <row r="69" ht="9.0" customHeight="1"/>
    <row r="70" ht="9.0" customHeight="1"/>
    <row r="71" ht="9.0" customHeight="1"/>
    <row r="72" ht="9.0" customHeight="1"/>
    <row r="73" ht="9.0" customHeight="1"/>
    <row r="74" ht="9.0" customHeight="1"/>
    <row r="75" ht="9.0" customHeight="1"/>
    <row r="76" ht="9.0" customHeight="1"/>
    <row r="77" ht="9.0" customHeight="1"/>
    <row r="78" ht="9.0" customHeight="1"/>
    <row r="79" ht="9.0" customHeight="1"/>
    <row r="80" ht="9.0" customHeight="1"/>
    <row r="81" ht="9.0" customHeight="1"/>
    <row r="82" ht="9.0" customHeight="1"/>
    <row r="83" ht="9.0" customHeight="1"/>
    <row r="84" ht="9.0" customHeight="1"/>
    <row r="85" ht="9.0" customHeight="1"/>
    <row r="86" ht="9.0" customHeight="1"/>
    <row r="87" ht="9.0" customHeight="1"/>
    <row r="88" ht="9.0" customHeight="1"/>
    <row r="89" ht="9.0" customHeight="1"/>
    <row r="90" ht="9.0" customHeight="1"/>
    <row r="91" ht="9.0" customHeight="1"/>
    <row r="92" ht="9.0" customHeight="1"/>
    <row r="93" ht="9.0" customHeight="1"/>
    <row r="94" ht="9.0" customHeight="1"/>
    <row r="95" ht="9.0" customHeight="1"/>
    <row r="96" ht="9.0" customHeight="1"/>
    <row r="97" ht="9.0" customHeight="1"/>
    <row r="98" ht="9.0" customHeight="1"/>
    <row r="99" ht="9.0" customHeight="1"/>
    <row r="100" ht="9.0" customHeight="1"/>
    <row r="101" ht="9.0" customHeight="1"/>
    <row r="102" ht="9.0" customHeight="1"/>
    <row r="103" ht="9.0" customHeight="1"/>
    <row r="104" ht="9.0" customHeight="1"/>
    <row r="105" ht="9.0" customHeight="1"/>
    <row r="106" ht="9.0" customHeight="1"/>
    <row r="107" ht="9.0" customHeight="1"/>
    <row r="108" ht="9.0" customHeight="1"/>
    <row r="109" ht="9.0" customHeight="1"/>
    <row r="110" ht="9.0" customHeight="1"/>
    <row r="111" ht="9.0" customHeight="1"/>
    <row r="112" ht="9.0" customHeight="1"/>
    <row r="113" ht="9.0" customHeight="1"/>
    <row r="114" ht="9.0" customHeight="1"/>
    <row r="115" ht="9.0" customHeight="1"/>
    <row r="116" ht="9.0" customHeight="1"/>
    <row r="117" ht="9.0" customHeight="1"/>
    <row r="118" ht="9.0" customHeight="1"/>
    <row r="119" ht="9.0" customHeight="1"/>
    <row r="120" ht="9.0" customHeight="1"/>
    <row r="121" ht="9.0" customHeight="1"/>
    <row r="122" ht="9.0" customHeight="1"/>
    <row r="123" ht="9.0" customHeight="1"/>
    <row r="124" ht="9.0" customHeight="1"/>
    <row r="125" ht="9.0" customHeight="1"/>
    <row r="126" ht="9.0" customHeight="1"/>
    <row r="127" ht="9.0" customHeight="1"/>
    <row r="128" ht="9.0" customHeight="1"/>
    <row r="129" ht="9.0" customHeight="1"/>
    <row r="130" ht="9.0" customHeight="1"/>
    <row r="131" ht="9.0" customHeight="1"/>
    <row r="132" ht="9.0" customHeight="1"/>
    <row r="133" ht="9.0" customHeight="1"/>
    <row r="134" ht="9.0" customHeight="1"/>
    <row r="135" ht="9.0" customHeight="1"/>
    <row r="136" ht="9.0" customHeight="1"/>
    <row r="137" ht="9.0" customHeight="1"/>
    <row r="138" ht="9.0" customHeight="1"/>
    <row r="139" ht="9.0" customHeight="1"/>
    <row r="140" ht="9.0" customHeight="1"/>
    <row r="141" ht="9.0" customHeight="1"/>
    <row r="142" ht="9.0" customHeight="1"/>
    <row r="143" ht="9.0" customHeight="1"/>
    <row r="144" ht="9.0" customHeight="1"/>
    <row r="145" ht="9.0" customHeight="1"/>
    <row r="146" ht="9.0" customHeight="1"/>
    <row r="147" ht="9.0" customHeight="1"/>
    <row r="148" ht="9.0" customHeight="1"/>
    <row r="149" ht="9.0" customHeight="1"/>
    <row r="150" ht="9.0" customHeight="1"/>
    <row r="151" ht="9.0" customHeight="1"/>
    <row r="152" ht="9.0" customHeight="1"/>
    <row r="153" ht="9.0" customHeight="1"/>
    <row r="154" ht="9.0" customHeight="1"/>
    <row r="155" ht="9.0" customHeight="1"/>
    <row r="156" ht="9.0" customHeight="1"/>
    <row r="157" ht="9.0" customHeight="1"/>
    <row r="158" ht="9.0" customHeight="1"/>
    <row r="159" ht="9.0" customHeight="1"/>
    <row r="160" ht="9.0" customHeight="1"/>
    <row r="161" ht="9.0" customHeight="1"/>
    <row r="162" ht="9.0" customHeight="1"/>
    <row r="163" ht="9.0" customHeight="1"/>
    <row r="164" ht="9.0" customHeight="1"/>
    <row r="165" ht="9.0" customHeight="1"/>
    <row r="166" ht="9.0" customHeight="1"/>
    <row r="167" ht="9.0" customHeight="1"/>
    <row r="168" ht="9.0" customHeight="1"/>
    <row r="169" ht="9.0" customHeight="1"/>
    <row r="170" ht="9.0" customHeight="1"/>
    <row r="171" ht="9.0" customHeight="1">
      <c r="E171" s="36"/>
      <c r="F171" s="37"/>
    </row>
    <row r="172" ht="9.0" customHeight="1">
      <c r="E172" s="10"/>
      <c r="F172" s="37"/>
    </row>
    <row r="173" ht="9.0" customHeight="1">
      <c r="E173" s="10"/>
      <c r="F173" s="37"/>
    </row>
    <row r="174" ht="9.0" customHeight="1">
      <c r="E174" s="10"/>
      <c r="F174" s="37"/>
    </row>
    <row r="175" ht="9.0" customHeight="1">
      <c r="E175" s="10"/>
      <c r="F175" s="37"/>
    </row>
    <row r="176" ht="9.0" customHeight="1">
      <c r="E176" s="10"/>
      <c r="F176" s="37"/>
    </row>
    <row r="177" ht="9.0" customHeight="1">
      <c r="E177" s="10"/>
      <c r="F177" s="37"/>
    </row>
    <row r="178" ht="9.0" customHeight="1">
      <c r="E178" s="10"/>
      <c r="F178" s="37"/>
    </row>
    <row r="179" ht="9.0" customHeight="1">
      <c r="E179" s="10"/>
      <c r="F179" s="37"/>
    </row>
    <row r="180" ht="9.0" customHeight="1">
      <c r="E180" s="10"/>
      <c r="F180" s="37"/>
    </row>
    <row r="181" ht="9.0" customHeight="1">
      <c r="E181" s="10"/>
      <c r="F181" s="37"/>
    </row>
    <row r="182" ht="9.0" customHeight="1">
      <c r="E182" s="10"/>
      <c r="F182" s="37"/>
    </row>
    <row r="183" ht="9.0" customHeight="1">
      <c r="E183" s="10"/>
      <c r="F183" s="37"/>
    </row>
    <row r="184" ht="9.0" customHeight="1">
      <c r="E184" s="10"/>
      <c r="F184" s="37"/>
    </row>
    <row r="185" ht="9.0" customHeight="1">
      <c r="E185" s="10"/>
      <c r="F185" s="37"/>
    </row>
    <row r="186" ht="9.0" customHeight="1">
      <c r="E186" s="10"/>
      <c r="F186" s="37"/>
    </row>
    <row r="187" ht="9.0" customHeight="1">
      <c r="E187" s="10"/>
      <c r="F187" s="37"/>
    </row>
    <row r="188" ht="9.0" customHeight="1">
      <c r="E188" s="10"/>
      <c r="F188" s="37"/>
    </row>
    <row r="189" ht="9.0" customHeight="1">
      <c r="E189" s="10"/>
      <c r="F189" s="37"/>
    </row>
    <row r="190" ht="9.0" customHeight="1">
      <c r="E190" s="10"/>
      <c r="F190" s="37"/>
    </row>
    <row r="191" ht="9.0" customHeight="1">
      <c r="E191" s="10"/>
      <c r="F191" s="37"/>
    </row>
    <row r="192" ht="9.0" customHeight="1">
      <c r="E192" s="36"/>
      <c r="F192" s="37"/>
    </row>
    <row r="193" ht="9.0" customHeight="1">
      <c r="E193" s="36"/>
      <c r="F193" s="37"/>
    </row>
    <row r="194" ht="9.0" customHeight="1">
      <c r="E194" s="36"/>
      <c r="F194" s="37"/>
    </row>
    <row r="195" ht="9.0" customHeight="1">
      <c r="E195" s="38"/>
      <c r="F195" s="37"/>
    </row>
    <row r="196" ht="9.0" customHeight="1">
      <c r="E196" s="36"/>
      <c r="F196" s="37"/>
    </row>
    <row r="197" ht="9.0" customHeight="1">
      <c r="E197" s="36"/>
      <c r="F197" s="37"/>
    </row>
    <row r="198" ht="9.0" customHeight="1">
      <c r="E198" s="38"/>
      <c r="F198" s="37"/>
    </row>
    <row r="199" ht="9.0" customHeight="1">
      <c r="F199" s="37"/>
    </row>
    <row r="200" ht="9.0" customHeight="1">
      <c r="F200" s="37"/>
    </row>
    <row r="201" ht="9.0" customHeight="1">
      <c r="F201" s="37"/>
    </row>
    <row r="202" ht="9.0" customHeight="1">
      <c r="F202" s="37"/>
    </row>
    <row r="203" ht="9.0" customHeight="1">
      <c r="F203" s="37"/>
    </row>
    <row r="204" ht="9.0" customHeight="1">
      <c r="F204" s="37"/>
    </row>
    <row r="205" ht="9.0" customHeight="1">
      <c r="F205" s="37"/>
    </row>
    <row r="206" ht="9.0" customHeight="1">
      <c r="F206" s="37"/>
    </row>
    <row r="207" ht="9.0" customHeight="1">
      <c r="F207" s="37"/>
    </row>
    <row r="208" ht="9.0" customHeight="1">
      <c r="F208" s="37"/>
    </row>
    <row r="209" ht="9.0" customHeight="1">
      <c r="F209" s="37"/>
    </row>
    <row r="210" ht="9.0" customHeight="1">
      <c r="F210" s="37"/>
    </row>
    <row r="211" ht="9.0" customHeight="1">
      <c r="F211" s="37"/>
    </row>
    <row r="212" ht="9.0" customHeight="1">
      <c r="F212" s="37"/>
    </row>
    <row r="213" ht="9.0" customHeight="1"/>
    <row r="214" ht="9.0" customHeight="1"/>
    <row r="215" ht="9.0" customHeight="1"/>
    <row r="216" ht="9.0" customHeight="1"/>
    <row r="217" ht="9.0" customHeight="1"/>
    <row r="218" ht="9.0" customHeight="1"/>
    <row r="219" ht="9.0" customHeight="1"/>
    <row r="220" ht="9.0" customHeight="1"/>
    <row r="221" ht="9.0" customHeight="1"/>
    <row r="222" ht="9.0" customHeight="1"/>
    <row r="223" ht="9.0" customHeight="1"/>
    <row r="224" ht="9.0" customHeight="1"/>
    <row r="225" ht="9.0" customHeight="1"/>
    <row r="226" ht="9.0" customHeight="1"/>
    <row r="227" ht="9.0" customHeight="1"/>
    <row r="228" ht="9.0" customHeight="1"/>
    <row r="229" ht="9.0" customHeight="1"/>
    <row r="230" ht="9.0" customHeight="1"/>
    <row r="231" ht="9.0" customHeight="1"/>
    <row r="232" ht="9.0" customHeight="1"/>
    <row r="233" ht="9.0" customHeight="1"/>
    <row r="234" ht="9.0" customHeight="1"/>
    <row r="235" ht="9.0" customHeight="1"/>
    <row r="236" ht="9.0" customHeight="1"/>
    <row r="237" ht="9.0" customHeight="1"/>
    <row r="238" ht="9.0" customHeight="1"/>
    <row r="239" ht="9.0" customHeight="1"/>
    <row r="240" ht="9.0" customHeight="1"/>
    <row r="241" ht="9.0" customHeight="1"/>
    <row r="242" ht="9.0" customHeight="1"/>
    <row r="243" ht="9.0" customHeight="1"/>
    <row r="244" ht="9.0" customHeight="1"/>
    <row r="245" ht="9.0" customHeight="1"/>
    <row r="246" ht="9.0" customHeight="1"/>
    <row r="247" ht="9.0" customHeight="1"/>
    <row r="248" ht="9.0" customHeight="1"/>
    <row r="249" ht="9.0" customHeight="1"/>
    <row r="250" ht="9.0" customHeight="1"/>
    <row r="251" ht="9.0" customHeight="1"/>
    <row r="252" ht="9.0" customHeight="1"/>
    <row r="253" ht="9.0" customHeight="1"/>
    <row r="254" ht="9.0" customHeight="1"/>
    <row r="255" ht="9.0" customHeight="1"/>
    <row r="256" ht="9.0" customHeight="1"/>
    <row r="257" ht="9.0" customHeight="1"/>
    <row r="258" ht="9.0" customHeight="1"/>
    <row r="259" ht="9.0" customHeight="1"/>
    <row r="260" ht="9.0" customHeight="1"/>
    <row r="261" ht="9.0" customHeight="1"/>
    <row r="262" ht="9.0" customHeight="1"/>
    <row r="263" ht="9.0" customHeight="1"/>
    <row r="264" ht="9.0" customHeight="1"/>
    <row r="265" ht="9.0" customHeight="1"/>
    <row r="266" ht="9.0" customHeight="1"/>
    <row r="267" ht="9.0" customHeight="1"/>
    <row r="268" ht="9.0" customHeight="1"/>
    <row r="269" ht="9.0" customHeight="1"/>
    <row r="270" ht="9.0" customHeight="1"/>
    <row r="271" ht="9.0" customHeight="1"/>
    <row r="272" ht="9.0" customHeight="1"/>
    <row r="273" ht="9.0" customHeight="1"/>
    <row r="274" ht="9.0" customHeight="1"/>
    <row r="275" ht="9.0" customHeight="1"/>
    <row r="276" ht="9.0" customHeight="1"/>
    <row r="277" ht="9.0" customHeight="1"/>
    <row r="278" ht="9.0" customHeight="1"/>
    <row r="279" ht="9.0" customHeight="1"/>
    <row r="280" ht="9.0" customHeight="1"/>
    <row r="281" ht="9.0" customHeight="1"/>
    <row r="282" ht="9.0" customHeight="1"/>
    <row r="283" ht="9.0" customHeight="1"/>
    <row r="284" ht="9.0" customHeight="1"/>
    <row r="285" ht="9.0" customHeight="1"/>
    <row r="286" ht="9.0" customHeight="1"/>
    <row r="287" ht="9.0" customHeight="1"/>
    <row r="288" ht="9.0" customHeight="1"/>
    <row r="289" ht="9.0" customHeight="1"/>
    <row r="290" ht="9.0" customHeight="1"/>
    <row r="291" ht="9.0" customHeight="1"/>
    <row r="292" ht="9.0" customHeight="1"/>
    <row r="293" ht="9.0" customHeight="1"/>
    <row r="294" ht="9.0" customHeight="1"/>
    <row r="295" ht="9.0" customHeight="1"/>
    <row r="296" ht="9.0" customHeight="1"/>
    <row r="297" ht="9.0" customHeight="1"/>
    <row r="298" ht="9.0" customHeight="1"/>
    <row r="299" ht="9.0" customHeight="1"/>
    <row r="300" ht="9.0" customHeight="1"/>
    <row r="301" ht="9.0" customHeight="1"/>
    <row r="302" ht="9.0" customHeight="1"/>
    <row r="303" ht="9.0" customHeight="1"/>
    <row r="304" ht="9.0" customHeight="1"/>
    <row r="305" ht="9.0" customHeight="1"/>
    <row r="306" ht="9.0" customHeight="1"/>
    <row r="307" ht="9.0" customHeight="1"/>
    <row r="308" ht="9.0" customHeight="1"/>
    <row r="309" ht="9.0" customHeight="1"/>
    <row r="310" ht="9.0" customHeight="1"/>
    <row r="311" ht="9.0" customHeight="1"/>
    <row r="312" ht="9.0" customHeight="1"/>
    <row r="313" ht="9.0" customHeight="1"/>
    <row r="314" ht="9.0" customHeight="1"/>
    <row r="315" ht="9.0" customHeight="1"/>
    <row r="316" ht="9.0" customHeight="1"/>
    <row r="317" ht="9.0" customHeight="1"/>
    <row r="318" ht="9.0" customHeight="1"/>
    <row r="319" ht="9.0" customHeight="1"/>
    <row r="320" ht="9.0" customHeight="1"/>
    <row r="321" ht="9.0" customHeight="1"/>
    <row r="322" ht="9.0" customHeight="1"/>
    <row r="323" ht="9.0" customHeight="1"/>
    <row r="324" ht="9.0" customHeight="1"/>
    <row r="325" ht="9.0" customHeight="1"/>
    <row r="326" ht="9.0" customHeight="1"/>
    <row r="327" ht="9.0" customHeight="1"/>
    <row r="328" ht="9.0" customHeight="1"/>
    <row r="329" ht="9.0" customHeight="1"/>
    <row r="330" ht="9.0" customHeight="1"/>
    <row r="331" ht="9.0" customHeight="1"/>
    <row r="332" ht="9.0" customHeight="1"/>
    <row r="333" ht="9.0" customHeight="1"/>
    <row r="334" ht="9.0" customHeight="1"/>
    <row r="335" ht="9.0" customHeight="1"/>
    <row r="336" ht="9.0" customHeight="1"/>
    <row r="337" ht="9.0" customHeight="1"/>
    <row r="338" ht="9.0" customHeight="1"/>
    <row r="339" ht="9.0" customHeight="1"/>
    <row r="340" ht="9.0" customHeight="1"/>
    <row r="341" ht="9.0" customHeight="1"/>
    <row r="342" ht="9.0" customHeight="1"/>
    <row r="343" ht="9.0" customHeight="1"/>
    <row r="344" ht="9.0" customHeight="1"/>
    <row r="345" ht="9.0" customHeight="1"/>
    <row r="346" ht="9.0" customHeight="1"/>
    <row r="347" ht="9.0" customHeight="1"/>
    <row r="348" ht="9.0" customHeight="1"/>
    <row r="349" ht="9.0" customHeight="1"/>
    <row r="350" ht="9.0" customHeight="1"/>
    <row r="351" ht="9.0" customHeight="1"/>
    <row r="352" ht="9.0" customHeight="1"/>
    <row r="353" ht="9.0" customHeight="1"/>
    <row r="354" ht="9.0" customHeight="1"/>
    <row r="355" ht="9.0" customHeight="1"/>
    <row r="356" ht="9.0" customHeight="1"/>
    <row r="357" ht="9.0" customHeight="1"/>
    <row r="358" ht="9.0" customHeight="1"/>
    <row r="359" ht="9.0" customHeight="1"/>
    <row r="360" ht="9.0" customHeight="1"/>
    <row r="361" ht="9.0" customHeight="1"/>
    <row r="362" ht="9.0" customHeight="1"/>
    <row r="363" ht="9.0" customHeight="1"/>
    <row r="364" ht="9.0" customHeight="1"/>
    <row r="365" ht="9.0" customHeight="1"/>
    <row r="366" ht="9.0" customHeight="1"/>
    <row r="367" ht="9.0" customHeight="1"/>
    <row r="368" ht="9.0" customHeight="1"/>
    <row r="369" ht="9.0" customHeight="1"/>
    <row r="370" ht="9.0" customHeight="1"/>
    <row r="371" ht="9.0" customHeight="1"/>
    <row r="372" ht="9.0" customHeight="1"/>
    <row r="373" ht="9.0" customHeight="1"/>
    <row r="374" ht="9.0" customHeight="1"/>
    <row r="375" ht="9.0" customHeight="1"/>
    <row r="376" ht="9.0" customHeight="1"/>
    <row r="377" ht="9.0" customHeight="1"/>
    <row r="378" ht="9.0" customHeight="1"/>
    <row r="379" ht="9.0" customHeight="1"/>
    <row r="380" ht="9.0" customHeight="1"/>
    <row r="381" ht="9.0" customHeight="1"/>
    <row r="382" ht="9.0" customHeight="1"/>
    <row r="383" ht="9.0" customHeight="1"/>
    <row r="384" ht="9.0" customHeight="1"/>
    <row r="385" ht="9.0" customHeight="1"/>
    <row r="386" ht="9.0" customHeight="1"/>
    <row r="387" ht="9.0" customHeight="1"/>
    <row r="388" ht="9.0" customHeight="1"/>
    <row r="389" ht="9.0" customHeight="1"/>
    <row r="390" ht="9.0" customHeight="1"/>
    <row r="391" ht="9.0" customHeight="1"/>
    <row r="392" ht="9.0" customHeight="1"/>
    <row r="393" ht="9.0" customHeight="1"/>
    <row r="394" ht="9.0" customHeight="1"/>
    <row r="395" ht="9.0" customHeight="1"/>
    <row r="396" ht="9.0" customHeight="1"/>
    <row r="397" ht="9.0" customHeight="1"/>
    <row r="398" ht="9.0" customHeight="1"/>
    <row r="399" ht="9.0" customHeight="1"/>
    <row r="400" ht="9.0" customHeight="1"/>
    <row r="401" ht="9.0" customHeight="1"/>
    <row r="402" ht="9.0" customHeight="1"/>
    <row r="403" ht="9.0" customHeight="1"/>
    <row r="404" ht="9.0" customHeight="1"/>
    <row r="405" ht="9.0" customHeight="1"/>
    <row r="406" ht="9.0" customHeight="1"/>
    <row r="407" ht="9.0" customHeight="1"/>
    <row r="408" ht="9.0" customHeight="1"/>
    <row r="409" ht="9.0" customHeight="1"/>
    <row r="410" ht="9.0" customHeight="1"/>
    <row r="411" ht="9.0" customHeight="1"/>
    <row r="412" ht="9.0" customHeight="1"/>
    <row r="413" ht="9.0" customHeight="1"/>
    <row r="414" ht="9.0" customHeight="1"/>
    <row r="415" ht="9.0" customHeight="1"/>
    <row r="416" ht="9.0" customHeight="1"/>
    <row r="417" ht="9.0" customHeight="1"/>
    <row r="418" ht="9.0" customHeight="1"/>
    <row r="419" ht="9.0" customHeight="1"/>
    <row r="420" ht="9.0" customHeight="1"/>
    <row r="421" ht="9.0" customHeight="1"/>
    <row r="422" ht="9.0" customHeight="1"/>
    <row r="423" ht="9.0" customHeight="1"/>
    <row r="424" ht="9.0" customHeight="1"/>
    <row r="425" ht="9.0" customHeight="1"/>
    <row r="426" ht="9.0" customHeight="1"/>
    <row r="427" ht="9.0" customHeight="1"/>
    <row r="428" ht="9.0" customHeight="1"/>
    <row r="429" ht="9.0" customHeight="1"/>
    <row r="430" ht="9.0" customHeight="1"/>
    <row r="431" ht="9.0" customHeight="1"/>
    <row r="432" ht="9.0" customHeight="1"/>
    <row r="433" ht="9.0" customHeight="1"/>
    <row r="434" ht="9.0" customHeight="1"/>
    <row r="435" ht="9.0" customHeight="1"/>
    <row r="436" ht="9.0" customHeight="1"/>
    <row r="437" ht="9.0" customHeight="1"/>
    <row r="438" ht="9.0" customHeight="1"/>
    <row r="439" ht="9.0" customHeight="1"/>
    <row r="440" ht="9.0" customHeight="1"/>
    <row r="441" ht="9.0" customHeight="1"/>
    <row r="442" ht="9.0" customHeight="1"/>
    <row r="443" ht="9.0" customHeight="1"/>
    <row r="444" ht="9.0" customHeight="1"/>
    <row r="445" ht="9.0" customHeight="1"/>
    <row r="446" ht="9.0" customHeight="1"/>
    <row r="447" ht="9.0" customHeight="1"/>
    <row r="448" ht="9.0" customHeight="1"/>
    <row r="449" ht="9.0" customHeight="1"/>
    <row r="450" ht="9.0" customHeight="1"/>
    <row r="451" ht="9.0" customHeight="1"/>
    <row r="452" ht="9.0" customHeight="1"/>
    <row r="453" ht="9.0" customHeight="1"/>
    <row r="454" ht="9.0" customHeight="1"/>
    <row r="455" ht="9.0" customHeight="1"/>
    <row r="456" ht="9.0" customHeight="1"/>
    <row r="457" ht="9.0" customHeight="1"/>
    <row r="458" ht="9.0" customHeight="1"/>
    <row r="459" ht="9.0" customHeight="1"/>
    <row r="460" ht="9.0" customHeight="1"/>
    <row r="461" ht="9.0" customHeight="1"/>
    <row r="462" ht="9.0" customHeight="1"/>
    <row r="463" ht="9.0" customHeight="1"/>
    <row r="464" ht="9.0" customHeight="1"/>
    <row r="465" ht="9.0" customHeight="1"/>
    <row r="466" ht="9.0" customHeight="1"/>
    <row r="467" ht="9.0" customHeight="1"/>
    <row r="468" ht="9.0" customHeight="1"/>
    <row r="469" ht="9.0" customHeight="1"/>
    <row r="470" ht="9.0" customHeight="1"/>
    <row r="471" ht="9.0" customHeight="1"/>
    <row r="472" ht="9.0" customHeight="1"/>
    <row r="473" ht="9.0" customHeight="1"/>
    <row r="474" ht="9.0" customHeight="1"/>
    <row r="475" ht="9.0" customHeight="1"/>
    <row r="476" ht="9.0" customHeight="1"/>
    <row r="477" ht="9.0" customHeight="1"/>
    <row r="478" ht="9.0" customHeight="1"/>
    <row r="479" ht="9.0" customHeight="1"/>
    <row r="480" ht="9.0" customHeight="1"/>
    <row r="481" ht="9.0" customHeight="1"/>
    <row r="482" ht="9.0" customHeight="1"/>
    <row r="483" ht="9.0" customHeight="1"/>
    <row r="484" ht="9.0" customHeight="1"/>
    <row r="485" ht="9.0" customHeight="1"/>
    <row r="486" ht="9.0" customHeight="1"/>
    <row r="487" ht="9.0" customHeight="1"/>
    <row r="488" ht="9.0" customHeight="1"/>
    <row r="489" ht="9.0" customHeight="1"/>
    <row r="490" ht="9.0" customHeight="1"/>
    <row r="491" ht="9.0" customHeight="1"/>
    <row r="492" ht="9.0" customHeight="1"/>
    <row r="493" ht="9.0" customHeight="1"/>
    <row r="494" ht="9.0" customHeight="1"/>
    <row r="495" ht="9.0" customHeight="1"/>
    <row r="496" ht="9.0" customHeight="1"/>
    <row r="497" ht="9.0" customHeight="1"/>
    <row r="498" ht="9.0" customHeight="1"/>
    <row r="499" ht="9.0" customHeight="1"/>
    <row r="500" ht="9.0" customHeight="1"/>
    <row r="501" ht="9.0" customHeight="1"/>
    <row r="502" ht="9.0" customHeight="1"/>
    <row r="503" ht="9.0" customHeight="1"/>
    <row r="504" ht="9.0" customHeight="1"/>
    <row r="505" ht="9.0" customHeight="1"/>
    <row r="506" ht="9.0" customHeight="1"/>
    <row r="507" ht="9.0" customHeight="1"/>
    <row r="508" ht="9.0" customHeight="1"/>
    <row r="509" ht="9.0" customHeight="1"/>
    <row r="510" ht="9.0" customHeight="1"/>
    <row r="511" ht="9.0" customHeight="1"/>
    <row r="512" ht="9.0" customHeight="1"/>
    <row r="513" ht="9.0" customHeight="1"/>
    <row r="514" ht="9.0" customHeight="1"/>
    <row r="515" ht="9.0" customHeight="1"/>
    <row r="516" ht="9.0" customHeight="1"/>
    <row r="517" ht="9.0" customHeight="1"/>
    <row r="518" ht="9.0" customHeight="1"/>
    <row r="519" ht="9.0" customHeight="1"/>
    <row r="520" ht="9.0" customHeight="1"/>
    <row r="521" ht="9.0" customHeight="1"/>
    <row r="522" ht="9.0" customHeight="1"/>
    <row r="523" ht="9.0" customHeight="1"/>
    <row r="524" ht="9.0" customHeight="1"/>
    <row r="525" ht="9.0" customHeight="1"/>
    <row r="526" ht="9.0" customHeight="1"/>
    <row r="527" ht="9.0" customHeight="1"/>
    <row r="528" ht="9.0" customHeight="1"/>
    <row r="529" ht="9.0" customHeight="1"/>
    <row r="530" ht="9.0" customHeight="1"/>
    <row r="531" ht="9.0" customHeight="1"/>
    <row r="532" ht="9.0" customHeight="1"/>
    <row r="533" ht="9.0" customHeight="1"/>
    <row r="534" ht="9.0" customHeight="1"/>
    <row r="535" ht="9.0" customHeight="1"/>
    <row r="536" ht="9.0" customHeight="1"/>
    <row r="537" ht="9.0" customHeight="1"/>
    <row r="538" ht="9.0" customHeight="1"/>
    <row r="539" ht="9.0" customHeight="1"/>
    <row r="540" ht="9.0" customHeight="1"/>
    <row r="541" ht="9.0" customHeight="1"/>
    <row r="542" ht="9.0" customHeight="1"/>
    <row r="543" ht="9.0" customHeight="1"/>
    <row r="544" ht="9.0" customHeight="1"/>
    <row r="545" ht="9.0" customHeight="1"/>
    <row r="546" ht="9.0" customHeight="1"/>
    <row r="547" ht="9.0" customHeight="1"/>
    <row r="548" ht="9.0" customHeight="1"/>
    <row r="549" ht="9.0" customHeight="1"/>
    <row r="550" ht="9.0" customHeight="1"/>
    <row r="551" ht="9.0" customHeight="1"/>
    <row r="552" ht="9.0" customHeight="1"/>
    <row r="553" ht="9.0" customHeight="1"/>
    <row r="554" ht="9.0" customHeight="1"/>
    <row r="555" ht="9.0" customHeight="1"/>
    <row r="556" ht="9.0" customHeight="1"/>
    <row r="557" ht="9.0" customHeight="1"/>
    <row r="558" ht="9.0" customHeight="1"/>
    <row r="559" ht="9.0" customHeight="1"/>
    <row r="560" ht="9.0" customHeight="1"/>
    <row r="561" ht="9.0" customHeight="1"/>
    <row r="562" ht="9.0" customHeight="1"/>
    <row r="563" ht="9.0" customHeight="1"/>
    <row r="564" ht="9.0" customHeight="1"/>
    <row r="565" ht="9.0" customHeight="1"/>
    <row r="566" ht="9.0" customHeight="1"/>
    <row r="567" ht="9.0" customHeight="1"/>
    <row r="568" ht="9.0" customHeight="1"/>
    <row r="569" ht="9.0" customHeight="1"/>
    <row r="570" ht="9.0" customHeight="1"/>
    <row r="571" ht="9.0" customHeight="1"/>
    <row r="572" ht="9.0" customHeight="1"/>
    <row r="573" ht="9.0" customHeight="1"/>
    <row r="574" ht="9.0" customHeight="1"/>
    <row r="575" ht="9.0" customHeight="1"/>
    <row r="576" ht="9.0" customHeight="1"/>
    <row r="577" ht="9.0" customHeight="1"/>
    <row r="578" ht="9.0" customHeight="1"/>
    <row r="579" ht="9.0" customHeight="1"/>
    <row r="580" ht="9.0" customHeight="1"/>
    <row r="581" ht="9.0" customHeight="1"/>
    <row r="582" ht="9.0" customHeight="1"/>
    <row r="583" ht="9.0" customHeight="1"/>
    <row r="584" ht="9.0" customHeight="1"/>
    <row r="585" ht="9.0" customHeight="1"/>
    <row r="586" ht="9.0" customHeight="1"/>
    <row r="587" ht="9.0" customHeight="1"/>
    <row r="588" ht="9.0" customHeight="1"/>
    <row r="589" ht="9.0" customHeight="1"/>
    <row r="590" ht="9.0" customHeight="1"/>
    <row r="591" ht="9.0" customHeight="1"/>
    <row r="592" ht="9.0" customHeight="1"/>
    <row r="593" ht="9.0" customHeight="1"/>
    <row r="594" ht="9.0" customHeight="1"/>
    <row r="595" ht="9.0" customHeight="1"/>
    <row r="596" ht="9.0" customHeight="1"/>
    <row r="597" ht="9.0" customHeight="1"/>
    <row r="598" ht="9.0" customHeight="1"/>
    <row r="599" ht="9.0" customHeight="1"/>
    <row r="600" ht="9.0" customHeight="1"/>
    <row r="601" ht="9.0" customHeight="1"/>
    <row r="602" ht="9.0" customHeight="1"/>
    <row r="603" ht="9.0" customHeight="1"/>
    <row r="604" ht="9.0" customHeight="1"/>
    <row r="605" ht="9.0" customHeight="1"/>
    <row r="606" ht="9.0" customHeight="1"/>
    <row r="607" ht="9.0" customHeight="1"/>
    <row r="608" ht="9.0" customHeight="1"/>
    <row r="609" ht="9.0" customHeight="1"/>
    <row r="610" ht="9.0" customHeight="1"/>
    <row r="611" ht="9.0" customHeight="1"/>
    <row r="612" ht="9.0" customHeight="1"/>
    <row r="613" ht="9.0" customHeight="1"/>
    <row r="614" ht="9.0" customHeight="1"/>
    <row r="615" ht="9.0" customHeight="1"/>
    <row r="616" ht="9.0" customHeight="1"/>
    <row r="617" ht="9.0" customHeight="1"/>
    <row r="618" ht="9.0" customHeight="1"/>
    <row r="619" ht="9.0" customHeight="1"/>
    <row r="620" ht="9.0" customHeight="1"/>
    <row r="621" ht="9.0" customHeight="1"/>
    <row r="622" ht="9.0" customHeight="1"/>
    <row r="623" ht="9.0" customHeight="1"/>
    <row r="624" ht="9.0" customHeight="1"/>
    <row r="625" ht="9.0" customHeight="1"/>
    <row r="626" ht="9.0" customHeight="1"/>
    <row r="627" ht="9.0" customHeight="1"/>
    <row r="628" ht="9.0" customHeight="1"/>
    <row r="629" ht="9.0" customHeight="1"/>
    <row r="630" ht="9.0" customHeight="1"/>
    <row r="631" ht="9.0" customHeight="1"/>
    <row r="632" ht="9.0" customHeight="1"/>
    <row r="633" ht="9.0" customHeight="1"/>
    <row r="634" ht="9.0" customHeight="1"/>
    <row r="635" ht="9.0" customHeight="1"/>
    <row r="636" ht="9.0" customHeight="1"/>
    <row r="637" ht="9.0" customHeight="1"/>
    <row r="638" ht="9.0" customHeight="1"/>
    <row r="639" ht="9.0" customHeight="1"/>
    <row r="640" ht="9.0" customHeight="1"/>
    <row r="641" ht="9.0" customHeight="1"/>
    <row r="642" ht="9.0" customHeight="1"/>
    <row r="643" ht="9.0" customHeight="1"/>
    <row r="644" ht="9.0" customHeight="1"/>
    <row r="645" ht="9.0" customHeight="1"/>
    <row r="646" ht="9.0" customHeight="1"/>
    <row r="647" ht="9.0" customHeight="1"/>
    <row r="648" ht="9.0" customHeight="1"/>
    <row r="649" ht="9.0" customHeight="1"/>
    <row r="650" ht="9.0" customHeight="1"/>
    <row r="651" ht="9.0" customHeight="1"/>
    <row r="652" ht="9.0" customHeight="1"/>
    <row r="653" ht="9.0" customHeight="1"/>
    <row r="654" ht="9.0" customHeight="1"/>
    <row r="655" ht="9.0" customHeight="1"/>
    <row r="656" ht="9.0" customHeight="1"/>
    <row r="657" ht="9.0" customHeight="1"/>
    <row r="658" ht="9.0" customHeight="1"/>
    <row r="659" ht="9.0" customHeight="1"/>
    <row r="660" ht="9.0" customHeight="1"/>
    <row r="661" ht="9.0" customHeight="1"/>
    <row r="662" ht="9.0" customHeight="1"/>
    <row r="663" ht="9.0" customHeight="1"/>
    <row r="664" ht="9.0" customHeight="1"/>
    <row r="665" ht="9.0" customHeight="1"/>
    <row r="666" ht="9.0" customHeight="1"/>
    <row r="667" ht="9.0" customHeight="1"/>
    <row r="668" ht="9.0" customHeight="1"/>
    <row r="669" ht="9.0" customHeight="1"/>
    <row r="670" ht="9.0" customHeight="1"/>
    <row r="671" ht="9.0" customHeight="1"/>
    <row r="672" ht="9.0" customHeight="1"/>
    <row r="673" ht="9.0" customHeight="1"/>
    <row r="674" ht="9.0" customHeight="1"/>
    <row r="675" ht="9.0" customHeight="1"/>
    <row r="676" ht="9.0" customHeight="1"/>
    <row r="677" ht="9.0" customHeight="1"/>
    <row r="678" ht="9.0" customHeight="1"/>
    <row r="679" ht="9.0" customHeight="1"/>
    <row r="680" ht="9.0" customHeight="1"/>
    <row r="681" ht="9.0" customHeight="1"/>
    <row r="682" ht="9.0" customHeight="1"/>
    <row r="683" ht="9.0" customHeight="1"/>
    <row r="684" ht="9.0" customHeight="1"/>
    <row r="685" ht="9.0" customHeight="1"/>
    <row r="686" ht="9.0" customHeight="1"/>
    <row r="687" ht="9.0" customHeight="1"/>
    <row r="688" ht="9.0" customHeight="1"/>
    <row r="689" ht="9.0" customHeight="1"/>
    <row r="690" ht="9.0" customHeight="1"/>
    <row r="691" ht="9.0" customHeight="1"/>
    <row r="692" ht="9.0" customHeight="1"/>
    <row r="693" ht="9.0" customHeight="1"/>
    <row r="694" ht="9.0" customHeight="1"/>
    <row r="695" ht="9.0" customHeight="1"/>
    <row r="696" ht="9.0" customHeight="1"/>
    <row r="697" ht="9.0" customHeight="1"/>
    <row r="698" ht="9.0" customHeight="1"/>
    <row r="699" ht="9.0" customHeight="1"/>
    <row r="700" ht="9.0" customHeight="1"/>
    <row r="701" ht="9.0" customHeight="1"/>
    <row r="702" ht="9.0" customHeight="1"/>
    <row r="703" ht="9.0" customHeight="1"/>
    <row r="704" ht="9.0" customHeight="1"/>
    <row r="705" ht="9.0" customHeight="1"/>
    <row r="706" ht="9.0" customHeight="1"/>
    <row r="707" ht="9.0" customHeight="1"/>
    <row r="708" ht="9.0" customHeight="1"/>
    <row r="709" ht="9.0" customHeight="1"/>
    <row r="710" ht="9.0" customHeight="1"/>
    <row r="711" ht="9.0" customHeight="1"/>
    <row r="712" ht="9.0" customHeight="1"/>
    <row r="713" ht="9.0" customHeight="1"/>
    <row r="714" ht="9.0" customHeight="1"/>
    <row r="715" ht="9.0" customHeight="1"/>
    <row r="716" ht="9.0" customHeight="1"/>
    <row r="717" ht="9.0" customHeight="1"/>
    <row r="718" ht="9.0" customHeight="1"/>
    <row r="719" ht="9.0" customHeight="1"/>
    <row r="720" ht="9.0" customHeight="1"/>
    <row r="721" ht="9.0" customHeight="1"/>
    <row r="722" ht="9.0" customHeight="1"/>
    <row r="723" ht="9.0" customHeight="1"/>
    <row r="724" ht="9.0" customHeight="1"/>
    <row r="725" ht="9.0" customHeight="1"/>
    <row r="726" ht="9.0" customHeight="1"/>
    <row r="727" ht="9.0" customHeight="1"/>
    <row r="728" ht="9.0" customHeight="1"/>
    <row r="729" ht="9.0" customHeight="1"/>
    <row r="730" ht="9.0" customHeight="1"/>
    <row r="731" ht="9.0" customHeight="1"/>
    <row r="732" ht="9.0" customHeight="1"/>
    <row r="733" ht="9.0" customHeight="1"/>
    <row r="734" ht="9.0" customHeight="1"/>
    <row r="735" ht="9.0" customHeight="1"/>
    <row r="736" ht="9.0" customHeight="1"/>
    <row r="737" ht="9.0" customHeight="1"/>
    <row r="738" ht="9.0" customHeight="1"/>
    <row r="739" ht="9.0" customHeight="1"/>
    <row r="740" ht="9.0" customHeight="1"/>
    <row r="741" ht="9.0" customHeight="1"/>
    <row r="742" ht="9.0" customHeight="1"/>
    <row r="743" ht="9.0" customHeight="1"/>
    <row r="744" ht="9.0" customHeight="1"/>
    <row r="745" ht="9.0" customHeight="1"/>
    <row r="746" ht="9.0" customHeight="1"/>
    <row r="747" ht="9.0" customHeight="1"/>
    <row r="748" ht="9.0" customHeight="1"/>
    <row r="749" ht="9.0" customHeight="1"/>
    <row r="750" ht="9.0" customHeight="1"/>
    <row r="751" ht="9.0" customHeight="1"/>
    <row r="752" ht="9.0" customHeight="1"/>
    <row r="753" ht="9.0" customHeight="1"/>
    <row r="754" ht="9.0" customHeight="1"/>
    <row r="755" ht="9.0" customHeight="1"/>
    <row r="756" ht="9.0" customHeight="1"/>
    <row r="757" ht="9.0" customHeight="1"/>
    <row r="758" ht="9.0" customHeight="1"/>
    <row r="759" ht="9.0" customHeight="1"/>
    <row r="760" ht="9.0" customHeight="1"/>
    <row r="761" ht="9.0" customHeight="1"/>
    <row r="762" ht="9.0" customHeight="1"/>
    <row r="763" ht="9.0" customHeight="1"/>
    <row r="764" ht="9.0" customHeight="1"/>
    <row r="765" ht="9.0" customHeight="1"/>
    <row r="766" ht="9.0" customHeight="1"/>
    <row r="767" ht="9.0" customHeight="1"/>
    <row r="768" ht="9.0" customHeight="1"/>
    <row r="769" ht="9.0" customHeight="1"/>
    <row r="770" ht="9.0" customHeight="1"/>
    <row r="771" ht="9.0" customHeight="1"/>
    <row r="772" ht="9.0" customHeight="1"/>
    <row r="773" ht="9.0" customHeight="1"/>
    <row r="774" ht="9.0" customHeight="1"/>
    <row r="775" ht="9.0" customHeight="1"/>
    <row r="776" ht="9.0" customHeight="1"/>
    <row r="777" ht="9.0" customHeight="1"/>
    <row r="778" ht="9.0" customHeight="1"/>
    <row r="779" ht="9.0" customHeight="1"/>
    <row r="780" ht="9.0" customHeight="1"/>
    <row r="781" ht="9.0" customHeight="1"/>
    <row r="782" ht="9.0" customHeight="1"/>
    <row r="783" ht="9.0" customHeight="1"/>
    <row r="784" ht="9.0" customHeight="1"/>
    <row r="785" ht="9.0" customHeight="1"/>
    <row r="786" ht="9.0" customHeight="1"/>
    <row r="787" ht="9.0" customHeight="1"/>
    <row r="788" ht="9.0" customHeight="1"/>
    <row r="789" ht="9.0" customHeight="1"/>
    <row r="790" ht="9.0" customHeight="1"/>
    <row r="791" ht="9.0" customHeight="1"/>
    <row r="792" ht="9.0" customHeight="1"/>
    <row r="793" ht="9.0" customHeight="1"/>
    <row r="794" ht="9.0" customHeight="1"/>
    <row r="795" ht="9.0" customHeight="1"/>
    <row r="796" ht="9.0" customHeight="1"/>
    <row r="797" ht="9.0" customHeight="1"/>
    <row r="798" ht="9.0" customHeight="1"/>
    <row r="799" ht="9.0" customHeight="1"/>
    <row r="800" ht="9.0" customHeight="1"/>
    <row r="801" ht="9.0" customHeight="1"/>
    <row r="802" ht="9.0" customHeight="1"/>
    <row r="803" ht="9.0" customHeight="1"/>
    <row r="804" ht="9.0" customHeight="1"/>
    <row r="805" ht="9.0" customHeight="1"/>
    <row r="806" ht="9.0" customHeight="1"/>
    <row r="807" ht="9.0" customHeight="1"/>
    <row r="808" ht="9.0" customHeight="1"/>
    <row r="809" ht="9.0" customHeight="1"/>
    <row r="810" ht="9.0" customHeight="1"/>
    <row r="811" ht="9.0" customHeight="1"/>
    <row r="812" ht="9.0" customHeight="1"/>
    <row r="813" ht="9.0" customHeight="1"/>
    <row r="814" ht="9.0" customHeight="1"/>
    <row r="815" ht="9.0" customHeight="1"/>
    <row r="816" ht="9.0" customHeight="1"/>
    <row r="817" ht="9.0" customHeight="1"/>
    <row r="818" ht="9.0" customHeight="1"/>
    <row r="819" ht="9.0" customHeight="1"/>
    <row r="820" ht="9.0" customHeight="1"/>
    <row r="821" ht="9.0" customHeight="1"/>
    <row r="822" ht="9.0" customHeight="1"/>
    <row r="823" ht="9.0" customHeight="1"/>
    <row r="824" ht="9.0" customHeight="1"/>
    <row r="825" ht="9.0" customHeight="1"/>
    <row r="826" ht="9.0" customHeight="1"/>
    <row r="827" ht="9.0" customHeight="1"/>
    <row r="828" ht="9.0" customHeight="1"/>
    <row r="829" ht="9.0" customHeight="1"/>
    <row r="830" ht="9.0" customHeight="1"/>
    <row r="831" ht="9.0" customHeight="1"/>
    <row r="832" ht="9.0" customHeight="1"/>
    <row r="833" ht="9.0" customHeight="1"/>
    <row r="834" ht="9.0" customHeight="1"/>
    <row r="835" ht="9.0" customHeight="1"/>
    <row r="836" ht="9.0" customHeight="1"/>
    <row r="837" ht="9.0" customHeight="1"/>
    <row r="838" ht="9.0" customHeight="1"/>
    <row r="839" ht="9.0" customHeight="1"/>
    <row r="840" ht="9.0" customHeight="1"/>
    <row r="841" ht="9.0" customHeight="1"/>
    <row r="842" ht="9.0" customHeight="1"/>
    <row r="843" ht="9.0" customHeight="1"/>
    <row r="844" ht="9.0" customHeight="1"/>
    <row r="845" ht="9.0" customHeight="1"/>
    <row r="846" ht="9.0" customHeight="1"/>
    <row r="847" ht="9.0" customHeight="1"/>
    <row r="848" ht="9.0" customHeight="1"/>
    <row r="849" ht="9.0" customHeight="1"/>
    <row r="850" ht="9.0" customHeight="1"/>
    <row r="851" ht="9.0" customHeight="1"/>
    <row r="852" ht="9.0" customHeight="1"/>
    <row r="853" ht="9.0" customHeight="1"/>
    <row r="854" ht="9.0" customHeight="1"/>
    <row r="855" ht="9.0" customHeight="1"/>
    <row r="856" ht="9.0" customHeight="1"/>
    <row r="857" ht="9.0" customHeight="1"/>
    <row r="858" ht="9.0" customHeight="1"/>
    <row r="859" ht="9.0" customHeight="1"/>
    <row r="860" ht="9.0" customHeight="1"/>
    <row r="861" ht="9.0" customHeight="1"/>
    <row r="862" ht="9.0" customHeight="1"/>
    <row r="863" ht="9.0" customHeight="1"/>
    <row r="864" ht="9.0" customHeight="1"/>
    <row r="865" ht="9.0" customHeight="1"/>
    <row r="866" ht="9.0" customHeight="1"/>
    <row r="867" ht="9.0" customHeight="1"/>
    <row r="868" ht="9.0" customHeight="1"/>
    <row r="869" ht="9.0" customHeight="1"/>
    <row r="870" ht="9.0" customHeight="1"/>
    <row r="871" ht="9.0" customHeight="1"/>
    <row r="872" ht="9.0" customHeight="1"/>
    <row r="873" ht="9.0" customHeight="1"/>
    <row r="874" ht="9.0" customHeight="1"/>
    <row r="875" ht="9.0" customHeight="1"/>
    <row r="876" ht="9.0" customHeight="1"/>
    <row r="877" ht="9.0" customHeight="1"/>
    <row r="878" ht="9.0" customHeight="1"/>
    <row r="879" ht="9.0" customHeight="1"/>
    <row r="880" ht="9.0" customHeight="1"/>
    <row r="881" ht="9.0" customHeight="1"/>
    <row r="882" ht="9.0" customHeight="1"/>
    <row r="883" ht="9.0" customHeight="1"/>
    <row r="884" ht="9.0" customHeight="1"/>
    <row r="885" ht="9.0" customHeight="1"/>
    <row r="886" ht="9.0" customHeight="1"/>
    <row r="887" ht="9.0" customHeight="1"/>
    <row r="888" ht="9.0" customHeight="1"/>
    <row r="889" ht="9.0" customHeight="1"/>
    <row r="890" ht="9.0" customHeight="1"/>
    <row r="891" ht="9.0" customHeight="1"/>
    <row r="892" ht="9.0" customHeight="1"/>
    <row r="893" ht="9.0" customHeight="1"/>
    <row r="894" ht="9.0" customHeight="1"/>
    <row r="895" ht="9.0" customHeight="1"/>
    <row r="896" ht="9.0" customHeight="1"/>
    <row r="897" ht="9.0" customHeight="1"/>
    <row r="898" ht="9.0" customHeight="1"/>
    <row r="899" ht="9.0" customHeight="1"/>
    <row r="900" ht="9.0" customHeight="1"/>
    <row r="901" ht="9.0" customHeight="1"/>
    <row r="902" ht="9.0" customHeight="1"/>
    <row r="903" ht="9.0" customHeight="1"/>
    <row r="904" ht="9.0" customHeight="1"/>
    <row r="905" ht="9.0" customHeight="1"/>
    <row r="906" ht="9.0" customHeight="1"/>
    <row r="907" ht="9.0" customHeight="1"/>
    <row r="908" ht="9.0" customHeight="1"/>
    <row r="909" ht="9.0" customHeight="1"/>
    <row r="910" ht="9.0" customHeight="1"/>
    <row r="911" ht="9.0" customHeight="1"/>
    <row r="912" ht="9.0" customHeight="1"/>
    <row r="913" ht="9.0" customHeight="1"/>
    <row r="914" ht="9.0" customHeight="1"/>
    <row r="915" ht="9.0" customHeight="1"/>
    <row r="916" ht="9.0" customHeight="1"/>
    <row r="917" ht="9.0" customHeight="1"/>
    <row r="918" ht="9.0" customHeight="1"/>
    <row r="919" ht="9.0" customHeight="1"/>
    <row r="920" ht="9.0" customHeight="1"/>
    <row r="921" ht="9.0" customHeight="1"/>
    <row r="922" ht="9.0" customHeight="1"/>
    <row r="923" ht="9.0" customHeight="1"/>
    <row r="924" ht="9.0" customHeight="1"/>
    <row r="925" ht="9.0" customHeight="1"/>
    <row r="926" ht="9.0" customHeight="1"/>
    <row r="927" ht="9.0" customHeight="1"/>
    <row r="928" ht="9.0" customHeight="1"/>
    <row r="929" ht="9.0" customHeight="1"/>
    <row r="930" ht="9.0" customHeight="1"/>
    <row r="931" ht="9.0" customHeight="1"/>
    <row r="932" ht="9.0" customHeight="1"/>
    <row r="933" ht="9.0" customHeight="1"/>
    <row r="934" ht="9.0" customHeight="1"/>
    <row r="935" ht="9.0" customHeight="1"/>
    <row r="936" ht="9.0" customHeight="1"/>
    <row r="937" ht="9.0" customHeight="1"/>
    <row r="938" ht="9.0" customHeight="1"/>
    <row r="939" ht="9.0" customHeight="1"/>
    <row r="940" ht="9.0" customHeight="1"/>
    <row r="941" ht="9.0" customHeight="1"/>
    <row r="942" ht="9.0" customHeight="1"/>
    <row r="943" ht="9.0" customHeight="1"/>
    <row r="944" ht="9.0" customHeight="1"/>
    <row r="945" ht="9.0" customHeight="1"/>
    <row r="946" ht="9.0" customHeight="1"/>
    <row r="947" ht="9.0" customHeight="1"/>
    <row r="948" ht="9.0" customHeight="1"/>
    <row r="949" ht="9.0" customHeight="1"/>
    <row r="950" ht="9.0" customHeight="1"/>
    <row r="951" ht="9.0" customHeight="1"/>
    <row r="952" ht="9.0" customHeight="1"/>
    <row r="953" ht="9.0" customHeight="1"/>
    <row r="954" ht="9.0" customHeight="1"/>
    <row r="955" ht="9.0" customHeight="1"/>
    <row r="956" ht="9.0" customHeight="1"/>
    <row r="957" ht="9.0" customHeight="1"/>
    <row r="958" ht="9.0" customHeight="1"/>
    <row r="959" ht="9.0" customHeight="1"/>
    <row r="960" ht="9.0" customHeight="1"/>
    <row r="961" ht="9.0" customHeight="1"/>
    <row r="962" ht="9.0" customHeight="1"/>
    <row r="963" ht="9.0" customHeight="1"/>
    <row r="964" ht="9.0" customHeight="1"/>
    <row r="965" ht="9.0" customHeight="1"/>
    <row r="966" ht="9.0" customHeight="1"/>
    <row r="967" ht="9.0" customHeight="1"/>
    <row r="968" ht="9.0" customHeight="1"/>
    <row r="969" ht="9.0" customHeight="1"/>
    <row r="970" ht="9.0" customHeight="1"/>
    <row r="971" ht="9.0" customHeight="1"/>
    <row r="972" ht="9.0" customHeight="1"/>
    <row r="973" ht="9.0" customHeight="1"/>
    <row r="974" ht="9.0" customHeight="1"/>
    <row r="975" ht="9.0" customHeight="1"/>
    <row r="976" ht="9.0" customHeight="1"/>
    <row r="977" ht="9.0" customHeight="1"/>
    <row r="978" ht="9.0" customHeight="1"/>
    <row r="979" ht="9.0" customHeight="1"/>
    <row r="980" ht="9.0" customHeight="1"/>
    <row r="981" ht="9.0" customHeight="1"/>
    <row r="982" ht="9.0" customHeight="1"/>
    <row r="983" ht="9.0" customHeight="1"/>
    <row r="984" ht="9.0" customHeight="1"/>
    <row r="985" ht="9.0" customHeight="1"/>
    <row r="986" ht="9.0" customHeight="1"/>
    <row r="987" ht="9.0" customHeight="1"/>
    <row r="988" ht="9.0" customHeight="1"/>
    <row r="989" ht="9.0" customHeight="1"/>
    <row r="990" ht="9.0" customHeight="1"/>
    <row r="991" ht="9.0" customHeight="1"/>
    <row r="992" ht="9.0" customHeight="1"/>
    <row r="993" ht="9.0" customHeight="1"/>
    <row r="994" ht="9.0" customHeight="1"/>
    <row r="995" ht="9.0" customHeight="1"/>
    <row r="996" ht="9.0" customHeight="1"/>
    <row r="997" ht="9.0" customHeight="1"/>
    <row r="998" ht="9.0" customHeight="1"/>
  </sheetData>
  <drawing r:id="rId1"/>
</worksheet>
</file>
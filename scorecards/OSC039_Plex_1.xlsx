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ting Results" sheetId="1" r:id="rId4"/>
    <sheet state="visible" name="TOTAL SCORES" sheetId="2" r:id="rId5"/>
  </sheets>
  <definedNames/>
  <calcPr/>
</workbook>
</file>

<file path=xl/sharedStrings.xml><?xml version="1.0" encoding="utf-8"?>
<sst xmlns="http://schemas.openxmlformats.org/spreadsheetml/2006/main" count="38" uniqueCount="38">
  <si>
    <t>Timestamp</t>
  </si>
  <si>
    <t>Voter name (KVR nick)</t>
  </si>
  <si>
    <t>AdagioCm - Mare Desiderii</t>
  </si>
  <si>
    <t>AdagioGm - Desiree</t>
  </si>
  <si>
    <t>Bumtu - Plex Space Cafe</t>
  </si>
  <si>
    <t>bzur - Whispered Shouts</t>
  </si>
  <si>
    <t>Doc Jon - Tribal Dawn</t>
  </si>
  <si>
    <t>evo2slo - Easy As Breathing</t>
  </si>
  <si>
    <t>Gorgorgathgorgorgor - Return of the Nanozombiez</t>
  </si>
  <si>
    <t>Kraftraum - Rotation 5</t>
  </si>
  <si>
    <t>paranow - Essy</t>
  </si>
  <si>
    <t>Quaoar - Implex</t>
  </si>
  <si>
    <t>R0z - Droning</t>
  </si>
  <si>
    <t>R0z - Rainbow Mouse</t>
  </si>
  <si>
    <t>RuediRena - Wing Over (Suspended in Mid-Air)</t>
  </si>
  <si>
    <t>Skyzone - Gentille</t>
  </si>
  <si>
    <t>Skyzone - Plex cant stop singing</t>
  </si>
  <si>
    <t>Skyzone - Plex sings again</t>
  </si>
  <si>
    <t>Skyzone - That plex sounds........</t>
  </si>
  <si>
    <t>Vadymmykh - Move your azz!</t>
  </si>
  <si>
    <t>Yeager - Die !</t>
  </si>
  <si>
    <t>z.prime - Plastique</t>
  </si>
  <si>
    <t>bzur</t>
  </si>
  <si>
    <t>SKYZONE</t>
  </si>
  <si>
    <t>adagiocm</t>
  </si>
  <si>
    <t>IrionDaRonin</t>
  </si>
  <si>
    <t>kraftraum</t>
  </si>
  <si>
    <t>bumtu</t>
  </si>
  <si>
    <t>Gorgorgathgorgorgor</t>
  </si>
  <si>
    <t>vadymmykh</t>
  </si>
  <si>
    <t>Doc Jon</t>
  </si>
  <si>
    <t>rozkun</t>
  </si>
  <si>
    <t>V'ger</t>
  </si>
  <si>
    <t>photonic</t>
  </si>
  <si>
    <t>RuediRena</t>
  </si>
  <si>
    <t>Yeager</t>
  </si>
  <si>
    <t>z.prime</t>
  </si>
  <si>
    <t>evo2slo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</si>
</sst>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/>
    <font>
      <b/>
      <sz val="10.0"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shrinkToFit="0" vertical="bottom" wrapText="1"/>
    </xf>
    <xf borderId="0" fillId="2" fontId="2" numFmtId="0" xfId="0" applyAlignment="1" applyFill="1" applyFont="1">
      <alignment shrinkToFit="0" wrapText="1"/>
    </xf>
    <xf borderId="0" fillId="2" fontId="2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hidden="1" min="1" max="1" width="15.13"/>
    <col customWidth="1" min="2" max="22" width="1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41031.156168981484</v>
      </c>
      <c r="B2" s="3" t="s">
        <v>22</v>
      </c>
      <c r="C2" s="4"/>
      <c r="D2" s="4"/>
      <c r="E2" s="4"/>
      <c r="F2" s="4"/>
      <c r="G2" s="3">
        <v>5.0</v>
      </c>
      <c r="H2" s="4"/>
      <c r="I2" s="4"/>
      <c r="J2" s="4"/>
      <c r="K2" s="4"/>
      <c r="L2" s="4"/>
      <c r="M2" s="4"/>
      <c r="N2" s="4"/>
      <c r="O2" s="3">
        <v>4.0</v>
      </c>
      <c r="P2" s="4"/>
      <c r="Q2" s="4"/>
      <c r="R2" s="4"/>
      <c r="S2" s="3">
        <v>1.0</v>
      </c>
      <c r="T2" s="3">
        <v>2.0</v>
      </c>
      <c r="U2" s="3">
        <v>3.0</v>
      </c>
      <c r="V2" s="4"/>
    </row>
    <row r="3">
      <c r="A3" s="2">
        <v>41031.15665509259</v>
      </c>
      <c r="B3" s="3" t="s">
        <v>23</v>
      </c>
      <c r="C3" s="4"/>
      <c r="D3" s="4"/>
      <c r="E3" s="4"/>
      <c r="F3" s="3">
        <v>3.0</v>
      </c>
      <c r="G3" s="3">
        <v>5.0</v>
      </c>
      <c r="H3" s="3">
        <v>1.0</v>
      </c>
      <c r="I3" s="4"/>
      <c r="J3" s="4"/>
      <c r="K3" s="4"/>
      <c r="L3" s="4"/>
      <c r="M3" s="4"/>
      <c r="N3" s="4"/>
      <c r="O3" s="3">
        <v>2.0</v>
      </c>
      <c r="P3" s="4"/>
      <c r="Q3" s="4"/>
      <c r="R3" s="4"/>
      <c r="S3" s="4"/>
      <c r="T3" s="4"/>
      <c r="U3" s="4"/>
      <c r="V3" s="3">
        <v>4.0</v>
      </c>
    </row>
    <row r="4">
      <c r="A4" s="2">
        <v>41031.64420138889</v>
      </c>
      <c r="B4" s="3" t="s">
        <v>24</v>
      </c>
      <c r="C4" s="4"/>
      <c r="D4" s="4"/>
      <c r="E4" s="4"/>
      <c r="F4" s="3">
        <v>5.0</v>
      </c>
      <c r="G4" s="3">
        <v>4.0</v>
      </c>
      <c r="H4" s="3">
        <v>1.0</v>
      </c>
      <c r="I4" s="4"/>
      <c r="J4" s="4"/>
      <c r="K4" s="4"/>
      <c r="L4" s="4"/>
      <c r="M4" s="4"/>
      <c r="N4" s="4"/>
      <c r="O4" s="3">
        <v>2.0</v>
      </c>
      <c r="P4" s="4"/>
      <c r="Q4" s="4"/>
      <c r="R4" s="3">
        <v>3.0</v>
      </c>
      <c r="S4" s="4"/>
      <c r="T4" s="4"/>
      <c r="U4" s="4"/>
      <c r="V4" s="4"/>
    </row>
    <row r="5">
      <c r="A5" s="2">
        <v>41033.113587962966</v>
      </c>
      <c r="B5" s="3" t="s">
        <v>25</v>
      </c>
      <c r="C5" s="4"/>
      <c r="D5" s="3">
        <v>5.0</v>
      </c>
      <c r="E5" s="3">
        <v>1.0</v>
      </c>
      <c r="F5" s="4"/>
      <c r="G5" s="3">
        <v>3.0</v>
      </c>
      <c r="H5" s="4"/>
      <c r="I5" s="4"/>
      <c r="J5" s="4"/>
      <c r="K5" s="4"/>
      <c r="L5" s="4"/>
      <c r="M5" s="4"/>
      <c r="N5" s="4"/>
      <c r="O5" s="3">
        <v>2.0</v>
      </c>
      <c r="P5" s="4"/>
      <c r="Q5" s="4"/>
      <c r="R5" s="4"/>
      <c r="S5" s="4"/>
      <c r="T5" s="4"/>
      <c r="U5" s="3">
        <v>4.0</v>
      </c>
      <c r="V5" s="4"/>
    </row>
    <row r="6">
      <c r="A6" s="2">
        <v>41033.11405092593</v>
      </c>
      <c r="B6" s="3" t="s">
        <v>26</v>
      </c>
      <c r="C6" s="4"/>
      <c r="D6" s="4"/>
      <c r="E6" s="4"/>
      <c r="F6" s="3">
        <v>4.0</v>
      </c>
      <c r="G6" s="3">
        <v>2.0</v>
      </c>
      <c r="H6" s="4"/>
      <c r="I6" s="4"/>
      <c r="J6" s="4"/>
      <c r="K6" s="4"/>
      <c r="L6" s="4"/>
      <c r="M6" s="4"/>
      <c r="N6" s="4"/>
      <c r="O6" s="3">
        <v>3.0</v>
      </c>
      <c r="P6" s="4"/>
      <c r="Q6" s="4"/>
      <c r="R6" s="4"/>
      <c r="S6" s="4"/>
      <c r="T6" s="4"/>
      <c r="U6" s="3">
        <v>5.0</v>
      </c>
      <c r="V6" s="3">
        <v>1.0</v>
      </c>
    </row>
    <row r="7">
      <c r="A7" s="2">
        <v>41034.11620370371</v>
      </c>
      <c r="B7" s="3" t="s">
        <v>27</v>
      </c>
      <c r="C7" s="4"/>
      <c r="D7" s="4"/>
      <c r="E7" s="4"/>
      <c r="F7" s="4"/>
      <c r="G7" s="3">
        <v>2.0</v>
      </c>
      <c r="H7" s="4"/>
      <c r="I7" s="3">
        <v>1.0</v>
      </c>
      <c r="J7" s="4"/>
      <c r="K7" s="4"/>
      <c r="L7" s="4"/>
      <c r="M7" s="3">
        <v>5.0</v>
      </c>
      <c r="N7" s="4"/>
      <c r="O7" s="4"/>
      <c r="P7" s="3">
        <v>3.0</v>
      </c>
      <c r="Q7" s="4"/>
      <c r="R7" s="4"/>
      <c r="S7" s="4"/>
      <c r="T7" s="4"/>
      <c r="U7" s="4"/>
      <c r="V7" s="3">
        <v>4.0</v>
      </c>
    </row>
    <row r="8">
      <c r="A8" s="2">
        <v>41034.116689814815</v>
      </c>
      <c r="B8" s="3" t="s">
        <v>28</v>
      </c>
      <c r="C8" s="4"/>
      <c r="D8" s="4"/>
      <c r="E8" s="3">
        <v>5.0</v>
      </c>
      <c r="F8" s="3">
        <v>3.0</v>
      </c>
      <c r="G8" s="3">
        <v>4.0</v>
      </c>
      <c r="H8" s="4"/>
      <c r="I8" s="4"/>
      <c r="J8" s="3">
        <v>2.0</v>
      </c>
      <c r="K8" s="4"/>
      <c r="L8" s="4"/>
      <c r="M8" s="4"/>
      <c r="N8" s="4"/>
      <c r="O8" s="3">
        <v>1.0</v>
      </c>
      <c r="P8" s="4"/>
      <c r="Q8" s="4"/>
      <c r="R8" s="4"/>
      <c r="S8" s="4"/>
      <c r="T8" s="4"/>
      <c r="U8" s="4"/>
      <c r="V8" s="4"/>
    </row>
    <row r="9">
      <c r="A9" s="2">
        <v>41034.62228009259</v>
      </c>
      <c r="B9" s="3" t="s">
        <v>29</v>
      </c>
      <c r="C9" s="4"/>
      <c r="D9" s="4"/>
      <c r="E9" s="3">
        <v>1.0</v>
      </c>
      <c r="F9" s="3">
        <v>5.0</v>
      </c>
      <c r="G9" s="3">
        <v>3.0</v>
      </c>
      <c r="H9" s="4"/>
      <c r="I9" s="4"/>
      <c r="J9" s="4"/>
      <c r="K9" s="4"/>
      <c r="L9" s="4"/>
      <c r="M9" s="4"/>
      <c r="N9" s="4"/>
      <c r="O9" s="4"/>
      <c r="P9" s="4"/>
      <c r="Q9" s="3">
        <v>2.0</v>
      </c>
      <c r="R9" s="4"/>
      <c r="S9" s="4"/>
      <c r="T9" s="4"/>
      <c r="U9" s="3">
        <v>4.0</v>
      </c>
      <c r="V9" s="4"/>
    </row>
    <row r="10">
      <c r="A10" s="2">
        <v>41035.75188657407</v>
      </c>
      <c r="B10" s="3" t="s">
        <v>30</v>
      </c>
      <c r="C10" s="4"/>
      <c r="D10" s="4"/>
      <c r="E10" s="3">
        <v>1.0</v>
      </c>
      <c r="F10" s="3">
        <v>3.0</v>
      </c>
      <c r="G10" s="4"/>
      <c r="H10" s="4"/>
      <c r="I10" s="4"/>
      <c r="J10" s="3">
        <v>4.0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3">
        <v>5.0</v>
      </c>
      <c r="V10" s="3">
        <v>2.0</v>
      </c>
    </row>
    <row r="11">
      <c r="A11" s="2">
        <v>41037.00871527778</v>
      </c>
      <c r="B11" s="3" t="s">
        <v>31</v>
      </c>
      <c r="C11" s="3">
        <v>4.0</v>
      </c>
      <c r="D11" s="4"/>
      <c r="E11" s="3">
        <v>1.0</v>
      </c>
      <c r="F11" s="3">
        <v>2.0</v>
      </c>
      <c r="G11" s="3">
        <v>5.0</v>
      </c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3">
        <v>3.0</v>
      </c>
      <c r="V11" s="4"/>
    </row>
    <row r="12">
      <c r="A12" s="2">
        <v>41042.65574074074</v>
      </c>
      <c r="B12" s="3" t="s">
        <v>32</v>
      </c>
      <c r="C12" s="4"/>
      <c r="D12" s="4"/>
      <c r="E12" s="4"/>
      <c r="F12" s="3">
        <v>2.0</v>
      </c>
      <c r="G12" s="3">
        <v>3.0</v>
      </c>
      <c r="H12" s="4"/>
      <c r="I12" s="4"/>
      <c r="J12" s="4"/>
      <c r="K12" s="4"/>
      <c r="L12" s="4"/>
      <c r="M12" s="4"/>
      <c r="N12" s="4"/>
      <c r="O12" s="4"/>
      <c r="P12" s="3">
        <v>1.0</v>
      </c>
      <c r="Q12" s="4"/>
      <c r="R12" s="4"/>
      <c r="S12" s="4"/>
      <c r="T12" s="4"/>
      <c r="U12" s="3">
        <v>5.0</v>
      </c>
      <c r="V12" s="3">
        <v>4.0</v>
      </c>
    </row>
    <row r="13">
      <c r="A13" s="2">
        <v>41042.656122685185</v>
      </c>
      <c r="B13" s="3" t="s">
        <v>33</v>
      </c>
      <c r="C13" s="4"/>
      <c r="D13" s="4"/>
      <c r="E13" s="4"/>
      <c r="F13" s="3">
        <v>4.0</v>
      </c>
      <c r="G13" s="3">
        <v>5.0</v>
      </c>
      <c r="H13" s="4"/>
      <c r="I13" s="4"/>
      <c r="J13" s="4"/>
      <c r="K13" s="4"/>
      <c r="L13" s="4"/>
      <c r="M13" s="4"/>
      <c r="N13" s="4"/>
      <c r="O13" s="4"/>
      <c r="P13" s="3">
        <v>2.0</v>
      </c>
      <c r="Q13" s="4"/>
      <c r="R13" s="4"/>
      <c r="S13" s="4"/>
      <c r="T13" s="4"/>
      <c r="U13" s="3">
        <v>3.0</v>
      </c>
      <c r="V13" s="3">
        <v>1.0</v>
      </c>
    </row>
    <row r="14">
      <c r="A14" s="2">
        <v>41044.03797453704</v>
      </c>
      <c r="B14" s="3" t="s">
        <v>34</v>
      </c>
      <c r="C14" s="4"/>
      <c r="D14" s="3">
        <v>2.0</v>
      </c>
      <c r="E14" s="4"/>
      <c r="F14" s="3">
        <v>4.0</v>
      </c>
      <c r="G14" s="3">
        <v>5.0</v>
      </c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3">
        <v>3.0</v>
      </c>
      <c r="V14" s="3">
        <v>1.0</v>
      </c>
    </row>
    <row r="15">
      <c r="A15" s="2">
        <v>41044.03870370371</v>
      </c>
      <c r="B15" s="3" t="s">
        <v>35</v>
      </c>
      <c r="C15" s="4"/>
      <c r="D15" s="4"/>
      <c r="E15" s="4"/>
      <c r="F15" s="3">
        <v>4.0</v>
      </c>
      <c r="G15" s="3">
        <v>5.0</v>
      </c>
      <c r="H15" s="3">
        <v>1.0</v>
      </c>
      <c r="I15" s="4"/>
      <c r="J15" s="3">
        <v>2.0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3">
        <v>3.0</v>
      </c>
    </row>
    <row r="16">
      <c r="A16" s="2">
        <v>41044.54077546296</v>
      </c>
      <c r="B16" s="3" t="s">
        <v>36</v>
      </c>
      <c r="C16" s="4"/>
      <c r="D16" s="4"/>
      <c r="E16" s="3">
        <v>3.0</v>
      </c>
      <c r="F16" s="3">
        <v>4.0</v>
      </c>
      <c r="G16" s="3">
        <v>2.0</v>
      </c>
      <c r="H16" s="4"/>
      <c r="I16" s="4"/>
      <c r="J16" s="4"/>
      <c r="K16" s="4"/>
      <c r="L16" s="4"/>
      <c r="M16" s="4"/>
      <c r="N16" s="4"/>
      <c r="O16" s="4"/>
      <c r="P16" s="3">
        <v>1.0</v>
      </c>
      <c r="Q16" s="4"/>
      <c r="R16" s="4"/>
      <c r="S16" s="4"/>
      <c r="T16" s="4"/>
      <c r="U16" s="3">
        <v>5.0</v>
      </c>
      <c r="V16" s="4"/>
    </row>
    <row r="17">
      <c r="A17" s="2">
        <v>41044.9328125</v>
      </c>
      <c r="B17" s="3" t="s">
        <v>37</v>
      </c>
      <c r="C17" s="4"/>
      <c r="D17" s="4"/>
      <c r="E17" s="3">
        <v>1.0</v>
      </c>
      <c r="F17" s="3">
        <v>3.0</v>
      </c>
      <c r="G17" s="3">
        <v>5.0</v>
      </c>
      <c r="H17" s="4"/>
      <c r="I17" s="4"/>
      <c r="J17" s="4"/>
      <c r="K17" s="4"/>
      <c r="L17" s="4"/>
      <c r="M17" s="4"/>
      <c r="N17" s="4"/>
      <c r="O17" s="3">
        <v>2.0</v>
      </c>
      <c r="P17" s="4"/>
      <c r="Q17" s="4"/>
      <c r="R17" s="4"/>
      <c r="S17" s="4"/>
      <c r="T17" s="4"/>
      <c r="U17" s="3">
        <v>4.0</v>
      </c>
      <c r="V17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42.75"/>
    <col customWidth="1" min="2" max="2" width="12.25"/>
  </cols>
  <sheetData>
    <row r="1" ht="16.5" customHeight="1">
      <c r="A1" s="5" t="str">
        <f>'Voting Results'!$G$1</f>
        <v>Doc Jon - Tribal Dawn</v>
      </c>
      <c r="B1" s="6">
        <f>SUM('Voting Results'!G1:G111)</f>
        <v>58</v>
      </c>
    </row>
    <row r="2" ht="16.5" customHeight="1">
      <c r="A2" s="5" t="str">
        <f>'Voting Results'!$F$1</f>
        <v>bzur - Whispered Shouts</v>
      </c>
      <c r="B2" s="6">
        <f>SUM('Voting Results'!F1:F113)</f>
        <v>46</v>
      </c>
    </row>
    <row r="3" ht="16.5" customHeight="1">
      <c r="A3" s="5" t="str">
        <f>'Voting Results'!$U$1</f>
        <v>Yeager - Die !</v>
      </c>
      <c r="B3" s="6">
        <f>SUM('Voting Results'!U1:U99)</f>
        <v>44</v>
      </c>
    </row>
    <row r="4" ht="16.5" customHeight="1">
      <c r="A4" s="5" t="str">
        <f>'Voting Results'!$V$1</f>
        <v>z.prime - Plastique</v>
      </c>
      <c r="B4" s="6">
        <f>SUM('Voting Results'!V1:V99)</f>
        <v>20</v>
      </c>
    </row>
    <row r="5" ht="16.5" customHeight="1">
      <c r="A5" s="5" t="str">
        <f>'Voting Results'!$O$1</f>
        <v>RuediRena - Wing Over (Suspended in Mid-Air)</v>
      </c>
      <c r="B5" s="6">
        <f>SUM('Voting Results'!O1:O107)</f>
        <v>16</v>
      </c>
    </row>
    <row r="6" ht="16.5" customHeight="1">
      <c r="A6" s="5" t="str">
        <f>'Voting Results'!$E$1</f>
        <v>Bumtu - Plex Space Cafe</v>
      </c>
      <c r="B6" s="6">
        <f>SUM('Voting Results'!E1:E118)</f>
        <v>13</v>
      </c>
    </row>
    <row r="7" ht="16.5" customHeight="1">
      <c r="A7" s="5" t="str">
        <f>'Voting Results'!$J$1</f>
        <v>Kraftraum - Rotation 5</v>
      </c>
      <c r="B7" s="6">
        <f>SUM('Voting Results'!J1:J114)</f>
        <v>8</v>
      </c>
    </row>
    <row r="8" ht="16.5" customHeight="1">
      <c r="A8" s="5" t="str">
        <f>'Voting Results'!$D$1</f>
        <v>AdagioGm - Desiree</v>
      </c>
      <c r="B8" s="6">
        <f>SUM('Voting Results'!D1:D121)</f>
        <v>7</v>
      </c>
    </row>
    <row r="9" ht="16.5" customHeight="1">
      <c r="A9" s="5" t="str">
        <f>'Voting Results'!$P$1</f>
        <v>Skyzone - Gentille</v>
      </c>
      <c r="B9" s="6">
        <f>SUM('Voting Results'!P1:P110)</f>
        <v>7</v>
      </c>
    </row>
    <row r="10" ht="16.5" customHeight="1">
      <c r="A10" s="5" t="str">
        <f>'Voting Results'!$M$1</f>
        <v>R0z - Droning</v>
      </c>
      <c r="B10" s="6">
        <f>SUM('Voting Results'!M1:M114)</f>
        <v>5</v>
      </c>
    </row>
    <row r="11" ht="16.5" customHeight="1">
      <c r="A11" s="5" t="str">
        <f>'Voting Results'!$C$1</f>
        <v>AdagioCm - Mare Desiderii</v>
      </c>
      <c r="B11" s="6">
        <f>SUM('Voting Results'!C1:C125)</f>
        <v>4</v>
      </c>
    </row>
    <row r="12" ht="16.5" customHeight="1">
      <c r="A12" s="5" t="str">
        <f>'Voting Results'!$H$1</f>
        <v>evo2slo - Easy As Breathing</v>
      </c>
      <c r="B12" s="6">
        <f>SUM('Voting Results'!H1:H121)</f>
        <v>3</v>
      </c>
    </row>
    <row r="13" ht="16.5" customHeight="1">
      <c r="A13" s="5" t="str">
        <f>'Voting Results'!$R$1</f>
        <v>Skyzone - Plex sings again</v>
      </c>
      <c r="B13" s="6">
        <f>SUM('Voting Results'!R1:R112)</f>
        <v>3</v>
      </c>
    </row>
    <row r="14" ht="16.5" customHeight="1">
      <c r="A14" s="5" t="str">
        <f>'Voting Results'!$Q$1</f>
        <v>Skyzone - Plex cant stop singing</v>
      </c>
      <c r="B14" s="6">
        <f>SUM('Voting Results'!Q1:Q114)</f>
        <v>2</v>
      </c>
    </row>
    <row r="15" ht="16.5" customHeight="1">
      <c r="A15" s="5" t="str">
        <f>'Voting Results'!$T$1</f>
        <v>Vadymmykh - Move your azz!</v>
      </c>
      <c r="B15" s="6">
        <f>SUM('Voting Results'!T1:T112)</f>
        <v>2</v>
      </c>
    </row>
    <row r="16" ht="16.5" customHeight="1">
      <c r="A16" s="5" t="str">
        <f>'Voting Results'!$I$1</f>
        <v>Gorgorgathgorgorgor - Return of the Nanozombiez</v>
      </c>
      <c r="B16" s="6">
        <f>SUM('Voting Results'!I1:I124)</f>
        <v>1</v>
      </c>
    </row>
    <row r="17" ht="16.5" customHeight="1">
      <c r="A17" s="5" t="str">
        <f>'Voting Results'!$S$1</f>
        <v>Skyzone - That plex sounds........</v>
      </c>
      <c r="B17" s="6">
        <f>SUM('Voting Results'!S1:S115)</f>
        <v>1</v>
      </c>
    </row>
    <row r="18" ht="16.5" customHeight="1">
      <c r="A18" s="5" t="str">
        <f>'Voting Results'!$K$1</f>
        <v>paranow - Essy</v>
      </c>
      <c r="B18" s="6">
        <f>SUM('Voting Results'!K1:K124)</f>
        <v>0</v>
      </c>
    </row>
    <row r="19" ht="16.5" customHeight="1">
      <c r="A19" s="5" t="str">
        <f>'Voting Results'!$L$1</f>
        <v>Quaoar - Implex</v>
      </c>
      <c r="B19" s="6">
        <f>SUM('Voting Results'!L1:L124)</f>
        <v>0</v>
      </c>
    </row>
    <row r="20" ht="16.5" customHeight="1">
      <c r="A20" s="5" t="str">
        <f>'Voting Results'!$N$1</f>
        <v>R0z - Rainbow Mouse</v>
      </c>
      <c r="B20" s="6">
        <f>SUM('Voting Results'!N1:N123)</f>
        <v>0</v>
      </c>
    </row>
  </sheetData>
  <drawing r:id="rId1"/>
</worksheet>
</file>